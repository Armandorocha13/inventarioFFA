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do\OneDrive\Área de Trabalho\sgi\inventarioFFA\docs\planilhas\"/>
    </mc:Choice>
  </mc:AlternateContent>
  <xr:revisionPtr revIDLastSave="0" documentId="13_ncr:1_{D3F18F28-C728-4961-8181-380B2D817333}" xr6:coauthVersionLast="47" xr6:coauthVersionMax="47" xr10:uidLastSave="{00000000-0000-0000-0000-000000000000}"/>
  <bookViews>
    <workbookView xWindow="20370" yWindow="-7425" windowWidth="29040" windowHeight="15720" tabRatio="837" firstSheet="2" activeTab="2" xr2:uid="{00000000-000D-0000-FFFF-FFFF00000000}"/>
  </bookViews>
  <sheets>
    <sheet name="RIO DE JANEIRO" sheetId="1" state="hidden" r:id="rId1"/>
    <sheet name="VITORIA" sheetId="17" state="hidden" r:id="rId2"/>
    <sheet name="CONTAGEM" sheetId="16" r:id="rId3"/>
    <sheet name="LAGOS" sheetId="22" state="hidden" r:id="rId4"/>
    <sheet name="TERESOPOLIS" sheetId="20" state="hidden" r:id="rId5"/>
    <sheet name="PETROPOLIS" sheetId="21" state="hidden" r:id="rId6"/>
    <sheet name="CAMPOS DOS GOYTACAZES" sheetId="19" state="hidden" r:id="rId7"/>
    <sheet name="SAO PAULO" sheetId="18" state="hidden" r:id="rId8"/>
    <sheet name="NOVA FRIBURGO" sheetId="2" state="hidden" r:id="rId9"/>
    <sheet name="CAMPO GRANDE" sheetId="3" state="hidden" r:id="rId10"/>
    <sheet name="NITEROI" sheetId="4" state="hidden" r:id="rId11"/>
    <sheet name="BELO HORIZONTE" sheetId="5" state="hidden" r:id="rId12"/>
    <sheet name="JUIZ DE FORA" sheetId="11" state="hidden" r:id="rId13"/>
    <sheet name="UBERLANDIA" sheetId="12" state="hidden" r:id="rId14"/>
    <sheet name="VARGINIA" sheetId="13" state="hidden" r:id="rId15"/>
    <sheet name="VALADARES" sheetId="14" state="hidden" r:id="rId16"/>
    <sheet name="de para codigo" sheetId="6" state="hidden" r:id="rId17"/>
    <sheet name="de para abc" sheetId="7" state="hidden" r:id="rId18"/>
    <sheet name="c" sheetId="8" state="hidden" r:id="rId19"/>
    <sheet name="b" sheetId="9" state="hidden" r:id="rId20"/>
    <sheet name="a" sheetId="10" state="hidden" r:id="rId21"/>
  </sheets>
  <externalReferences>
    <externalReference r:id="rId22"/>
  </externalReferences>
  <definedNames>
    <definedName name="_xlnm._FilterDatabase" localSheetId="9" hidden="1">'CAMPO GRANDE'!$A$4:$F$205</definedName>
    <definedName name="_xlnm._FilterDatabase" localSheetId="12" hidden="1">'JUIZ DE FORA'!$A$4:$F$129</definedName>
    <definedName name="_xlnm._FilterDatabase" localSheetId="3" hidden="1">LAGOS!$A$1:$D$102</definedName>
    <definedName name="_xlnm._FilterDatabase" localSheetId="8" hidden="1">'NOVA FRIBURGO'!$A$4:$F$111</definedName>
    <definedName name="_xlnm._FilterDatabase" localSheetId="5" hidden="1">PETROPOLIS!$A$1:$D$71</definedName>
    <definedName name="_xlnm._FilterDatabase" localSheetId="0" hidden="1">'RIO DE JANEIRO'!$A$4:$F$111</definedName>
    <definedName name="_xlnm._FilterDatabase" localSheetId="4" hidden="1">TERESOPOLIS!$A$1:$D$80</definedName>
    <definedName name="_xlnm._FilterDatabase" localSheetId="13" hidden="1">UBERLANDIA!$A$1:$E$374</definedName>
    <definedName name="_xlnm._FilterDatabase" localSheetId="15" hidden="1">VALADARES!$A$1:$E$208</definedName>
    <definedName name="_xlnm._FilterDatabase" localSheetId="14" hidden="1">VARGINIA!$A$1:$E$192</definedName>
    <definedName name="DadosExternos_1" localSheetId="2" hidden="1">CONTAGEM!$A$1:$N$2156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6" l="1"/>
  <c r="E6" i="19" l="1"/>
  <c r="E45" i="19"/>
  <c r="E46" i="19"/>
  <c r="E50" i="19"/>
  <c r="E57" i="19"/>
  <c r="E58" i="19"/>
  <c r="E64" i="19"/>
  <c r="E74" i="19"/>
  <c r="B45" i="19"/>
  <c r="B46" i="19"/>
  <c r="B57" i="19"/>
  <c r="B58" i="19"/>
  <c r="A6" i="19"/>
  <c r="A7" i="19"/>
  <c r="A8" i="19"/>
  <c r="A9" i="19"/>
  <c r="A14" i="19"/>
  <c r="A16" i="19"/>
  <c r="A17" i="19"/>
  <c r="A18" i="19"/>
  <c r="A19" i="19"/>
  <c r="A21" i="19"/>
  <c r="A23" i="19"/>
  <c r="A24" i="19"/>
  <c r="A25" i="19"/>
  <c r="A26" i="19"/>
  <c r="A28" i="19"/>
  <c r="A29" i="19"/>
  <c r="A30" i="19"/>
  <c r="A33" i="19"/>
  <c r="A35" i="19"/>
  <c r="A37" i="19"/>
  <c r="A39" i="19"/>
  <c r="A42" i="19"/>
  <c r="A43" i="19"/>
  <c r="A44" i="19"/>
  <c r="A45" i="19"/>
  <c r="A46" i="19"/>
  <c r="A47" i="19"/>
  <c r="A49" i="19"/>
  <c r="A50" i="19"/>
  <c r="A51" i="19"/>
  <c r="A52" i="19"/>
  <c r="A53" i="19"/>
  <c r="A54" i="19"/>
  <c r="A55" i="19"/>
  <c r="A57" i="19"/>
  <c r="A58" i="19"/>
  <c r="A61" i="19"/>
  <c r="A62" i="19"/>
  <c r="A64" i="19"/>
  <c r="A65" i="19"/>
  <c r="A66" i="19"/>
  <c r="A67" i="19"/>
  <c r="A68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118" i="19"/>
  <c r="A5" i="19"/>
  <c r="J6" i="14"/>
  <c r="I6" i="14"/>
  <c r="J5" i="14"/>
  <c r="J7" i="14" s="1"/>
  <c r="I5" i="14"/>
  <c r="I7" i="14" s="1"/>
  <c r="E6" i="14"/>
  <c r="E10" i="14"/>
  <c r="E14" i="14"/>
  <c r="E18" i="14"/>
  <c r="E22" i="14"/>
  <c r="E26" i="14"/>
  <c r="E30" i="14"/>
  <c r="E34" i="14"/>
  <c r="E38" i="14"/>
  <c r="E42" i="14"/>
  <c r="E46" i="14"/>
  <c r="E50" i="14"/>
  <c r="E54" i="14"/>
  <c r="E58" i="14"/>
  <c r="E62" i="14"/>
  <c r="E5" i="14"/>
  <c r="E7" i="14"/>
  <c r="E8" i="14"/>
  <c r="E9" i="14"/>
  <c r="E11" i="14"/>
  <c r="E12" i="14"/>
  <c r="E13" i="14"/>
  <c r="E15" i="14"/>
  <c r="E16" i="14"/>
  <c r="E17" i="14"/>
  <c r="E19" i="14"/>
  <c r="E20" i="14"/>
  <c r="E21" i="14"/>
  <c r="E23" i="14"/>
  <c r="E24" i="14"/>
  <c r="E25" i="14"/>
  <c r="E27" i="14"/>
  <c r="E28" i="14"/>
  <c r="E29" i="14"/>
  <c r="E31" i="14"/>
  <c r="E32" i="14"/>
  <c r="E33" i="14"/>
  <c r="E35" i="14"/>
  <c r="E36" i="14"/>
  <c r="E37" i="14"/>
  <c r="E39" i="14"/>
  <c r="E40" i="14"/>
  <c r="E41" i="14"/>
  <c r="E43" i="14"/>
  <c r="E44" i="14"/>
  <c r="E45" i="14"/>
  <c r="E47" i="14"/>
  <c r="E48" i="14"/>
  <c r="E49" i="14"/>
  <c r="E51" i="14"/>
  <c r="E52" i="14"/>
  <c r="E53" i="14"/>
  <c r="E55" i="14"/>
  <c r="E56" i="14"/>
  <c r="E57" i="14"/>
  <c r="E59" i="14"/>
  <c r="E60" i="14"/>
  <c r="E61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J6" i="5"/>
  <c r="J5" i="5"/>
  <c r="I6" i="5"/>
  <c r="I7" i="5" s="1"/>
  <c r="I5" i="5"/>
  <c r="J6" i="13"/>
  <c r="J5" i="13"/>
  <c r="I6" i="13"/>
  <c r="I5" i="13"/>
  <c r="J7" i="13"/>
  <c r="I7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J6" i="12"/>
  <c r="I6" i="12"/>
  <c r="J5" i="12"/>
  <c r="J7" i="12" s="1"/>
  <c r="I5" i="12"/>
  <c r="I7" i="12" s="1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J6" i="11"/>
  <c r="J5" i="11"/>
  <c r="I6" i="11"/>
  <c r="I5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91" i="4" a="1"/>
  <c r="E91" i="4" s="1"/>
  <c r="E90" i="4" a="1"/>
  <c r="E90" i="4"/>
  <c r="E89" i="4" a="1"/>
  <c r="E89" i="4" s="1"/>
  <c r="E88" i="4" a="1"/>
  <c r="E88" i="4"/>
  <c r="E87" i="4" a="1"/>
  <c r="E87" i="4" s="1"/>
  <c r="E86" i="4" a="1"/>
  <c r="E86" i="4"/>
  <c r="E85" i="4" a="1"/>
  <c r="E85" i="4" s="1"/>
  <c r="E84" i="4" a="1"/>
  <c r="E84" i="4"/>
  <c r="E83" i="4" a="1"/>
  <c r="E83" i="4" s="1"/>
  <c r="E82" i="4" a="1"/>
  <c r="E82" i="4"/>
  <c r="E81" i="4" a="1"/>
  <c r="E81" i="4" s="1"/>
  <c r="E80" i="4" a="1"/>
  <c r="E80" i="4"/>
  <c r="E79" i="4" a="1"/>
  <c r="E79" i="4" s="1"/>
  <c r="E78" i="4" a="1"/>
  <c r="E78" i="4" s="1"/>
  <c r="E77" i="4" a="1"/>
  <c r="E77" i="4" s="1"/>
  <c r="E76" i="4" a="1"/>
  <c r="E76" i="4" s="1"/>
  <c r="E75" i="4" a="1"/>
  <c r="E75" i="4" s="1"/>
  <c r="E74" i="4" a="1"/>
  <c r="E74" i="4" s="1"/>
  <c r="E73" i="4" a="1"/>
  <c r="E73" i="4" s="1"/>
  <c r="E72" i="4" a="1"/>
  <c r="E72" i="4" s="1"/>
  <c r="E71" i="4" a="1"/>
  <c r="E71" i="4" s="1"/>
  <c r="E70" i="4" a="1"/>
  <c r="E70" i="4" s="1"/>
  <c r="E69" i="4" a="1"/>
  <c r="E69" i="4" s="1"/>
  <c r="E68" i="4" a="1"/>
  <c r="E68" i="4" s="1"/>
  <c r="E67" i="4" a="1"/>
  <c r="E67" i="4" s="1"/>
  <c r="E66" i="4" a="1"/>
  <c r="E66" i="4" s="1"/>
  <c r="E65" i="4" a="1"/>
  <c r="E65" i="4" s="1"/>
  <c r="E64" i="4" a="1"/>
  <c r="E64" i="4" s="1"/>
  <c r="E63" i="4" a="1"/>
  <c r="E63" i="4" s="1"/>
  <c r="E62" i="4" a="1"/>
  <c r="E62" i="4" s="1"/>
  <c r="E61" i="4" a="1"/>
  <c r="E61" i="4" s="1"/>
  <c r="E60" i="4" a="1"/>
  <c r="E60" i="4" s="1"/>
  <c r="E59" i="4" a="1"/>
  <c r="E59" i="4" s="1"/>
  <c r="E58" i="4" a="1"/>
  <c r="E58" i="4" s="1"/>
  <c r="E57" i="4" a="1"/>
  <c r="E57" i="4" s="1"/>
  <c r="E56" i="4" a="1"/>
  <c r="E56" i="4" s="1"/>
  <c r="E55" i="4" a="1"/>
  <c r="E55" i="4" s="1"/>
  <c r="E54" i="4" a="1"/>
  <c r="E54" i="4" s="1"/>
  <c r="E53" i="4" a="1"/>
  <c r="E53" i="4" s="1"/>
  <c r="E52" i="4" a="1"/>
  <c r="E52" i="4" s="1"/>
  <c r="E51" i="4" a="1"/>
  <c r="E51" i="4" s="1"/>
  <c r="E50" i="4" a="1"/>
  <c r="E50" i="4" s="1"/>
  <c r="E49" i="4" a="1"/>
  <c r="E49" i="4" s="1"/>
  <c r="E48" i="4" a="1"/>
  <c r="E48" i="4" s="1"/>
  <c r="E47" i="4" a="1"/>
  <c r="E47" i="4" s="1"/>
  <c r="E46" i="4" a="1"/>
  <c r="E46" i="4" s="1"/>
  <c r="E45" i="4" a="1"/>
  <c r="E45" i="4" s="1"/>
  <c r="E44" i="4" a="1"/>
  <c r="E44" i="4" s="1"/>
  <c r="E43" i="4" a="1"/>
  <c r="E43" i="4" s="1"/>
  <c r="E42" i="4" a="1"/>
  <c r="E42" i="4" s="1"/>
  <c r="E41" i="4" a="1"/>
  <c r="E41" i="4" s="1"/>
  <c r="E40" i="4" a="1"/>
  <c r="E40" i="4" s="1"/>
  <c r="E39" i="4" a="1"/>
  <c r="E39" i="4" s="1"/>
  <c r="E38" i="4" a="1"/>
  <c r="E38" i="4" s="1"/>
  <c r="E37" i="4" a="1"/>
  <c r="E37" i="4" s="1"/>
  <c r="E36" i="4" a="1"/>
  <c r="E36" i="4" s="1"/>
  <c r="E35" i="4" a="1"/>
  <c r="E35" i="4" s="1"/>
  <c r="E34" i="4" a="1"/>
  <c r="E34" i="4" s="1"/>
  <c r="E33" i="4" a="1"/>
  <c r="E33" i="4" s="1"/>
  <c r="E32" i="4" a="1"/>
  <c r="E32" i="4" s="1"/>
  <c r="E31" i="4" a="1"/>
  <c r="E31" i="4" s="1"/>
  <c r="E30" i="4" a="1"/>
  <c r="E30" i="4" s="1"/>
  <c r="E29" i="4" a="1"/>
  <c r="E29" i="4" s="1"/>
  <c r="E28" i="4" a="1"/>
  <c r="E28" i="4" s="1"/>
  <c r="E27" i="4" a="1"/>
  <c r="E27" i="4" s="1"/>
  <c r="E26" i="4" a="1"/>
  <c r="E26" i="4" s="1"/>
  <c r="E25" i="4" a="1"/>
  <c r="E25" i="4" s="1"/>
  <c r="E24" i="4" a="1"/>
  <c r="E24" i="4" s="1"/>
  <c r="E23" i="4" a="1"/>
  <c r="E23" i="4" s="1"/>
  <c r="E22" i="4" a="1"/>
  <c r="E22" i="4" s="1"/>
  <c r="E21" i="4" a="1"/>
  <c r="E21" i="4" s="1"/>
  <c r="E20" i="4" a="1"/>
  <c r="E20" i="4" s="1"/>
  <c r="E19" i="4" a="1"/>
  <c r="E19" i="4" s="1"/>
  <c r="E18" i="4" a="1"/>
  <c r="E18" i="4" s="1"/>
  <c r="E17" i="4" a="1"/>
  <c r="E17" i="4" s="1"/>
  <c r="E16" i="4" a="1"/>
  <c r="E16" i="4" s="1"/>
  <c r="E15" i="4" a="1"/>
  <c r="E15" i="4" s="1"/>
  <c r="E14" i="4" a="1"/>
  <c r="E14" i="4" s="1"/>
  <c r="E13" i="4" a="1"/>
  <c r="E13" i="4" s="1"/>
  <c r="E12" i="4" a="1"/>
  <c r="E12" i="4" s="1"/>
  <c r="E11" i="4" a="1"/>
  <c r="E11" i="4" s="1"/>
  <c r="E10" i="4" a="1"/>
  <c r="E10" i="4" s="1"/>
  <c r="E9" i="4" a="1"/>
  <c r="E9" i="4" s="1"/>
  <c r="E8" i="4" a="1"/>
  <c r="E8" i="4" s="1"/>
  <c r="E7" i="4" a="1"/>
  <c r="E7" i="4" s="1"/>
  <c r="J6" i="4"/>
  <c r="I6" i="4"/>
  <c r="E6" i="4" a="1"/>
  <c r="E6" i="4" s="1"/>
  <c r="J5" i="4"/>
  <c r="I5" i="4"/>
  <c r="E5" i="4" a="1"/>
  <c r="E5" i="4" s="1"/>
  <c r="F205" i="3"/>
  <c r="B204" i="3" a="1"/>
  <c r="B204" i="3"/>
  <c r="E204" i="3" s="1" a="1"/>
  <c r="E204" i="3" s="1"/>
  <c r="E203" i="3" a="1"/>
  <c r="E203" i="3"/>
  <c r="E202" i="3" a="1"/>
  <c r="E202" i="3"/>
  <c r="E201" i="3" a="1"/>
  <c r="E201" i="3"/>
  <c r="E200" i="3" a="1"/>
  <c r="E200" i="3"/>
  <c r="E199" i="3" a="1"/>
  <c r="E199" i="3"/>
  <c r="E198" i="3" a="1"/>
  <c r="E198" i="3"/>
  <c r="E197" i="3" a="1"/>
  <c r="E197" i="3"/>
  <c r="E196" i="3" a="1"/>
  <c r="E196" i="3"/>
  <c r="E195" i="3" a="1"/>
  <c r="E195" i="3"/>
  <c r="E194" i="3" a="1"/>
  <c r="E194" i="3"/>
  <c r="E193" i="3" a="1"/>
  <c r="E193" i="3"/>
  <c r="E192" i="3" a="1"/>
  <c r="E192" i="3"/>
  <c r="E191" i="3" a="1"/>
  <c r="E191" i="3"/>
  <c r="E190" i="3" a="1"/>
  <c r="E190" i="3"/>
  <c r="E189" i="3" a="1"/>
  <c r="E189" i="3"/>
  <c r="E188" i="3" a="1"/>
  <c r="E188" i="3"/>
  <c r="E187" i="3" a="1"/>
  <c r="E187" i="3"/>
  <c r="E186" i="3" a="1"/>
  <c r="E186" i="3"/>
  <c r="E185" i="3" a="1"/>
  <c r="E185" i="3"/>
  <c r="E184" i="3" a="1"/>
  <c r="E184" i="3"/>
  <c r="E183" i="3" a="1"/>
  <c r="E183" i="3"/>
  <c r="E182" i="3" a="1"/>
  <c r="E182" i="3"/>
  <c r="E181" i="3" a="1"/>
  <c r="E181" i="3"/>
  <c r="E180" i="3" a="1"/>
  <c r="E180" i="3"/>
  <c r="E179" i="3" a="1"/>
  <c r="E179" i="3"/>
  <c r="E178" i="3" a="1"/>
  <c r="E178" i="3"/>
  <c r="E177" i="3" a="1"/>
  <c r="E177" i="3"/>
  <c r="E176" i="3" a="1"/>
  <c r="E176" i="3"/>
  <c r="E175" i="3" a="1"/>
  <c r="E175" i="3"/>
  <c r="E174" i="3" a="1"/>
  <c r="E174" i="3"/>
  <c r="E173" i="3" a="1"/>
  <c r="E173" i="3"/>
  <c r="E172" i="3" a="1"/>
  <c r="E172" i="3"/>
  <c r="E171" i="3" a="1"/>
  <c r="E171" i="3"/>
  <c r="E170" i="3" a="1"/>
  <c r="E170" i="3"/>
  <c r="E169" i="3" a="1"/>
  <c r="E169" i="3"/>
  <c r="E168" i="3" a="1"/>
  <c r="E168" i="3"/>
  <c r="E167" i="3" a="1"/>
  <c r="E167" i="3"/>
  <c r="B166" i="3" a="1"/>
  <c r="B166" i="3"/>
  <c r="E166" i="3" s="1" a="1"/>
  <c r="E166" i="3" s="1"/>
  <c r="E165" i="3" a="1"/>
  <c r="E165" i="3"/>
  <c r="E164" i="3"/>
  <c r="B164" i="3" a="1"/>
  <c r="B164" i="3"/>
  <c r="E164" i="3" s="1" a="1"/>
  <c r="E163" i="3" a="1"/>
  <c r="E163" i="3"/>
  <c r="E162" i="3" a="1"/>
  <c r="E162" i="3"/>
  <c r="E161" i="3" a="1"/>
  <c r="E161" i="3"/>
  <c r="E160" i="3" a="1"/>
  <c r="E160" i="3"/>
  <c r="E159" i="3" a="1"/>
  <c r="E159" i="3"/>
  <c r="E158" i="3" a="1"/>
  <c r="E158" i="3"/>
  <c r="E157" i="3" a="1"/>
  <c r="E157" i="3"/>
  <c r="E156" i="3" a="1"/>
  <c r="E156" i="3"/>
  <c r="E155" i="3" a="1"/>
  <c r="E155" i="3"/>
  <c r="E154" i="3" a="1"/>
  <c r="E154" i="3"/>
  <c r="E153" i="3" a="1"/>
  <c r="E153" i="3"/>
  <c r="E152" i="3" a="1"/>
  <c r="E152" i="3"/>
  <c r="E151" i="3" a="1"/>
  <c r="E151" i="3"/>
  <c r="E150" i="3" a="1"/>
  <c r="E150" i="3"/>
  <c r="E149" i="3" a="1"/>
  <c r="E149" i="3"/>
  <c r="E148" i="3" a="1"/>
  <c r="E148" i="3"/>
  <c r="E147" i="3" a="1"/>
  <c r="E147" i="3"/>
  <c r="E146" i="3" a="1"/>
  <c r="E146" i="3"/>
  <c r="E145" i="3" a="1"/>
  <c r="E145" i="3"/>
  <c r="E144" i="3" a="1"/>
  <c r="E144" i="3"/>
  <c r="E143" i="3" a="1"/>
  <c r="E143" i="3"/>
  <c r="E142" i="3" a="1"/>
  <c r="E142" i="3"/>
  <c r="E141" i="3" a="1"/>
  <c r="E141" i="3"/>
  <c r="E140" i="3" a="1"/>
  <c r="E140" i="3"/>
  <c r="E139" i="3" a="1"/>
  <c r="E139" i="3"/>
  <c r="E138" i="3" a="1"/>
  <c r="E138" i="3"/>
  <c r="E137" i="3" a="1"/>
  <c r="E137" i="3"/>
  <c r="E136" i="3" a="1"/>
  <c r="E136" i="3"/>
  <c r="E135" i="3" a="1"/>
  <c r="E135" i="3"/>
  <c r="E134" i="3" a="1"/>
  <c r="E134" i="3"/>
  <c r="E133" i="3" a="1"/>
  <c r="E133" i="3"/>
  <c r="E132" i="3" a="1"/>
  <c r="E132" i="3"/>
  <c r="E131" i="3" a="1"/>
  <c r="E131" i="3"/>
  <c r="E130" i="3" a="1"/>
  <c r="E130" i="3"/>
  <c r="E129" i="3" a="1"/>
  <c r="E129" i="3"/>
  <c r="E128" i="3" a="1"/>
  <c r="E128" i="3"/>
  <c r="E127" i="3" a="1"/>
  <c r="E127" i="3"/>
  <c r="E126" i="3" a="1"/>
  <c r="E126" i="3"/>
  <c r="E125" i="3" a="1"/>
  <c r="E125" i="3"/>
  <c r="E124" i="3" a="1"/>
  <c r="E124" i="3"/>
  <c r="E123" i="3" a="1"/>
  <c r="E123" i="3"/>
  <c r="E122" i="3" a="1"/>
  <c r="E122" i="3"/>
  <c r="E121" i="3" a="1"/>
  <c r="E121" i="3"/>
  <c r="E120" i="3" a="1"/>
  <c r="E120" i="3"/>
  <c r="E119" i="3" a="1"/>
  <c r="E119" i="3"/>
  <c r="E118" i="3" a="1"/>
  <c r="E118" i="3"/>
  <c r="E117" i="3" a="1"/>
  <c r="E117" i="3"/>
  <c r="E116" i="3" a="1"/>
  <c r="E116" i="3"/>
  <c r="E115" i="3" a="1"/>
  <c r="E115" i="3"/>
  <c r="E114" i="3" a="1"/>
  <c r="E114" i="3"/>
  <c r="E113" i="3" a="1"/>
  <c r="E113" i="3"/>
  <c r="E112" i="3" a="1"/>
  <c r="E112" i="3"/>
  <c r="E111" i="3" a="1"/>
  <c r="E111" i="3"/>
  <c r="E110" i="3" a="1"/>
  <c r="E110" i="3"/>
  <c r="E109" i="3" a="1"/>
  <c r="E109" i="3"/>
  <c r="E108" i="3" a="1"/>
  <c r="E108" i="3"/>
  <c r="E107" i="3" a="1"/>
  <c r="E107" i="3"/>
  <c r="E106" i="3" a="1"/>
  <c r="E106" i="3"/>
  <c r="E105" i="3" a="1"/>
  <c r="E105" i="3"/>
  <c r="E104" i="3" a="1"/>
  <c r="E104" i="3"/>
  <c r="E103" i="3" a="1"/>
  <c r="E103" i="3"/>
  <c r="E102" i="3" a="1"/>
  <c r="E102" i="3"/>
  <c r="E101" i="3" a="1"/>
  <c r="E101" i="3"/>
  <c r="E100" i="3" a="1"/>
  <c r="E100" i="3"/>
  <c r="E99" i="3" a="1"/>
  <c r="E99" i="3"/>
  <c r="E98" i="3" a="1"/>
  <c r="E98" i="3"/>
  <c r="E97" i="3" a="1"/>
  <c r="E97" i="3"/>
  <c r="E96" i="3" a="1"/>
  <c r="E96" i="3"/>
  <c r="E95" i="3" a="1"/>
  <c r="E95" i="3"/>
  <c r="E94" i="3" a="1"/>
  <c r="E94" i="3"/>
  <c r="E93" i="3" a="1"/>
  <c r="E93" i="3"/>
  <c r="E92" i="3" a="1"/>
  <c r="E92" i="3"/>
  <c r="E91" i="3" a="1"/>
  <c r="E91" i="3"/>
  <c r="E90" i="3" a="1"/>
  <c r="E90" i="3"/>
  <c r="E89" i="3" a="1"/>
  <c r="E89" i="3"/>
  <c r="E88" i="3" a="1"/>
  <c r="E88" i="3"/>
  <c r="E87" i="3" a="1"/>
  <c r="E87" i="3"/>
  <c r="E86" i="3" a="1"/>
  <c r="E86" i="3"/>
  <c r="E85" i="3" a="1"/>
  <c r="E85" i="3"/>
  <c r="E84" i="3" a="1"/>
  <c r="E84" i="3"/>
  <c r="E83" i="3" a="1"/>
  <c r="E83" i="3"/>
  <c r="E82" i="3" a="1"/>
  <c r="E82" i="3"/>
  <c r="E81" i="3" a="1"/>
  <c r="E81" i="3"/>
  <c r="E80" i="3" a="1"/>
  <c r="E80" i="3"/>
  <c r="E79" i="3" a="1"/>
  <c r="E79" i="3"/>
  <c r="E78" i="3" a="1"/>
  <c r="E78" i="3"/>
  <c r="E77" i="3" a="1"/>
  <c r="E77" i="3"/>
  <c r="E76" i="3" a="1"/>
  <c r="E76" i="3"/>
  <c r="E75" i="3" a="1"/>
  <c r="E75" i="3"/>
  <c r="E74" i="3" a="1"/>
  <c r="E74" i="3"/>
  <c r="E73" i="3" a="1"/>
  <c r="E73" i="3"/>
  <c r="E72" i="3" a="1"/>
  <c r="E72" i="3"/>
  <c r="E71" i="3" a="1"/>
  <c r="E71" i="3"/>
  <c r="E70" i="3" a="1"/>
  <c r="E70" i="3"/>
  <c r="E69" i="3" a="1"/>
  <c r="E69" i="3"/>
  <c r="E68" i="3" a="1"/>
  <c r="E68" i="3"/>
  <c r="E67" i="3" a="1"/>
  <c r="E67" i="3"/>
  <c r="E66" i="3"/>
  <c r="B66" i="3" a="1"/>
  <c r="B66" i="3"/>
  <c r="E66" i="3" s="1" a="1"/>
  <c r="E65" i="3"/>
  <c r="B65" i="3" a="1"/>
  <c r="B65" i="3"/>
  <c r="E65" i="3" s="1" a="1"/>
  <c r="E64" i="3" a="1"/>
  <c r="E64" i="3"/>
  <c r="E63" i="3" a="1"/>
  <c r="E63" i="3" s="1"/>
  <c r="E62" i="3" a="1"/>
  <c r="E62" i="3"/>
  <c r="E61" i="3" a="1"/>
  <c r="E61" i="3" s="1"/>
  <c r="E60" i="3" a="1"/>
  <c r="E60" i="3"/>
  <c r="E59" i="3" a="1"/>
  <c r="E59" i="3" s="1"/>
  <c r="E58" i="3" a="1"/>
  <c r="E58" i="3"/>
  <c r="E57" i="3" a="1"/>
  <c r="E57" i="3" s="1"/>
  <c r="B57" i="3" a="1"/>
  <c r="B57" i="3"/>
  <c r="E56" i="3" a="1"/>
  <c r="E56" i="3" s="1"/>
  <c r="B56" i="3" a="1"/>
  <c r="B56" i="3"/>
  <c r="E55" i="3" a="1"/>
  <c r="E55" i="3" s="1"/>
  <c r="E54" i="3" a="1"/>
  <c r="E54" i="3"/>
  <c r="E53" i="3" a="1"/>
  <c r="E53" i="3" s="1"/>
  <c r="B53" i="3" a="1"/>
  <c r="B53" i="3"/>
  <c r="E52" i="3" a="1"/>
  <c r="E52" i="3" s="1"/>
  <c r="B51" i="3" a="1"/>
  <c r="B51" i="3"/>
  <c r="E51" i="3" s="1" a="1"/>
  <c r="E51" i="3" s="1"/>
  <c r="B50" i="3" a="1"/>
  <c r="B50" i="3"/>
  <c r="E50" i="3" s="1" a="1"/>
  <c r="E50" i="3" s="1"/>
  <c r="E49" i="3" a="1"/>
  <c r="E49" i="3"/>
  <c r="E48" i="3" a="1"/>
  <c r="E48" i="3"/>
  <c r="E47" i="3" a="1"/>
  <c r="E47" i="3"/>
  <c r="E46" i="3" a="1"/>
  <c r="E46" i="3"/>
  <c r="E45" i="3"/>
  <c r="B45" i="3" a="1"/>
  <c r="B45" i="3"/>
  <c r="E45" i="3" s="1" a="1"/>
  <c r="E44" i="3" a="1"/>
  <c r="E44" i="3"/>
  <c r="E43" i="3" a="1"/>
  <c r="E43" i="3"/>
  <c r="E42" i="3" a="1"/>
  <c r="E42" i="3"/>
  <c r="E41" i="3" a="1"/>
  <c r="E41" i="3"/>
  <c r="E40" i="3" a="1"/>
  <c r="E40" i="3"/>
  <c r="E39" i="3" a="1"/>
  <c r="E39" i="3"/>
  <c r="E38" i="3" a="1"/>
  <c r="E38" i="3"/>
  <c r="E37" i="3" a="1"/>
  <c r="E37" i="3"/>
  <c r="E36" i="3" a="1"/>
  <c r="E36" i="3"/>
  <c r="E35" i="3" a="1"/>
  <c r="E35" i="3"/>
  <c r="E34" i="3" a="1"/>
  <c r="E34" i="3"/>
  <c r="E33" i="3" a="1"/>
  <c r="E33" i="3"/>
  <c r="E32" i="3" a="1"/>
  <c r="E32" i="3"/>
  <c r="E31" i="3" a="1"/>
  <c r="E31" i="3"/>
  <c r="E30" i="3" a="1"/>
  <c r="E30" i="3"/>
  <c r="B29" i="3" a="1"/>
  <c r="B29" i="3"/>
  <c r="E29" i="3" s="1" a="1"/>
  <c r="E29" i="3" s="1"/>
  <c r="E28" i="3" a="1"/>
  <c r="E28" i="3" s="1"/>
  <c r="E27" i="3" a="1"/>
  <c r="E27" i="3"/>
  <c r="E26" i="3" a="1"/>
  <c r="E26" i="3" s="1"/>
  <c r="E25" i="3" a="1"/>
  <c r="E25" i="3"/>
  <c r="E24" i="3" a="1"/>
  <c r="E24" i="3" s="1"/>
  <c r="E23" i="3" a="1"/>
  <c r="E23" i="3"/>
  <c r="E22" i="3" a="1"/>
  <c r="E22" i="3" s="1"/>
  <c r="E21" i="3" a="1"/>
  <c r="E21" i="3"/>
  <c r="E20" i="3" a="1"/>
  <c r="E20" i="3" s="1"/>
  <c r="E19" i="3" a="1"/>
  <c r="E19" i="3"/>
  <c r="B18" i="3" a="1"/>
  <c r="B18" i="3"/>
  <c r="E18" i="3" s="1" a="1"/>
  <c r="E18" i="3" s="1"/>
  <c r="E17" i="3" a="1"/>
  <c r="E17" i="3" s="1"/>
  <c r="E16" i="3" a="1"/>
  <c r="E16" i="3"/>
  <c r="E15" i="3" a="1"/>
  <c r="E15" i="3" s="1"/>
  <c r="E14" i="3" a="1"/>
  <c r="E14" i="3"/>
  <c r="E13" i="3" a="1"/>
  <c r="E13" i="3" s="1"/>
  <c r="E12" i="3" a="1"/>
  <c r="E12" i="3"/>
  <c r="E11" i="3" a="1"/>
  <c r="E11" i="3" s="1"/>
  <c r="E10" i="3" a="1"/>
  <c r="E10" i="3"/>
  <c r="E9" i="3" a="1"/>
  <c r="E9" i="3" s="1"/>
  <c r="E8" i="3" a="1"/>
  <c r="E8" i="3"/>
  <c r="E7" i="3" a="1"/>
  <c r="E7" i="3"/>
  <c r="J6" i="3"/>
  <c r="I6" i="3"/>
  <c r="E6" i="3" a="1"/>
  <c r="E6" i="3"/>
  <c r="J5" i="3"/>
  <c r="J7" i="3" s="1"/>
  <c r="I5" i="3"/>
  <c r="I7" i="3" s="1"/>
  <c r="E5" i="3" a="1"/>
  <c r="E5" i="3"/>
  <c r="F111" i="2"/>
  <c r="B110" i="2" a="1"/>
  <c r="B110" i="2" s="1"/>
  <c r="B106" i="2" a="1"/>
  <c r="B106" i="2"/>
  <c r="B105" i="2" a="1"/>
  <c r="B105" i="2" s="1"/>
  <c r="B103" i="2" a="1"/>
  <c r="B103" i="2"/>
  <c r="B102" i="2" a="1"/>
  <c r="B102" i="2" s="1"/>
  <c r="B101" i="2" a="1"/>
  <c r="B101" i="2"/>
  <c r="B100" i="2" a="1"/>
  <c r="B100" i="2" s="1"/>
  <c r="B99" i="2" a="1"/>
  <c r="B99" i="2" s="1"/>
  <c r="B98" i="2" a="1"/>
  <c r="B98" i="2" s="1"/>
  <c r="E97" i="2" a="1"/>
  <c r="E97" i="2"/>
  <c r="B97" i="2" a="1"/>
  <c r="B97" i="2" s="1"/>
  <c r="B95" i="2" a="1"/>
  <c r="B95" i="2" s="1"/>
  <c r="B94" i="2" a="1"/>
  <c r="B94" i="2" s="1"/>
  <c r="B92" i="2" a="1"/>
  <c r="B92" i="2"/>
  <c r="B90" i="2" a="1"/>
  <c r="B90" i="2" s="1"/>
  <c r="B89" i="2" a="1"/>
  <c r="B89" i="2" s="1"/>
  <c r="B88" i="2" a="1"/>
  <c r="B88" i="2" s="1"/>
  <c r="E87" i="2" a="1"/>
  <c r="E87" i="2"/>
  <c r="B87" i="2" a="1"/>
  <c r="B87" i="2" s="1"/>
  <c r="B86" i="2" a="1"/>
  <c r="B86" i="2"/>
  <c r="B85" i="2" a="1"/>
  <c r="B85" i="2" s="1"/>
  <c r="B84" i="2" a="1"/>
  <c r="B84" i="2"/>
  <c r="B83" i="2" a="1"/>
  <c r="B83" i="2" s="1"/>
  <c r="B82" i="2" a="1"/>
  <c r="B82" i="2" s="1"/>
  <c r="B81" i="2" a="1"/>
  <c r="B81" i="2" s="1"/>
  <c r="B80" i="2" a="1"/>
  <c r="B80" i="2"/>
  <c r="E79" i="2" a="1"/>
  <c r="E79" i="2" s="1"/>
  <c r="B79" i="2" a="1"/>
  <c r="B79" i="2"/>
  <c r="B78" i="2" a="1"/>
  <c r="B78" i="2" s="1"/>
  <c r="B77" i="2" a="1"/>
  <c r="B77" i="2"/>
  <c r="E75" i="2" a="1"/>
  <c r="E75" i="2" s="1"/>
  <c r="B75" i="2" a="1"/>
  <c r="B75" i="2" s="1"/>
  <c r="B74" i="2" a="1"/>
  <c r="B74" i="2" s="1"/>
  <c r="B73" i="2" a="1"/>
  <c r="B73" i="2"/>
  <c r="E72" i="2" a="1"/>
  <c r="E72" i="2" s="1"/>
  <c r="B72" i="2" a="1"/>
  <c r="B72" i="2"/>
  <c r="E71" i="2" a="1"/>
  <c r="E71" i="2" s="1"/>
  <c r="B71" i="2" a="1"/>
  <c r="B71" i="2"/>
  <c r="E70" i="2" a="1"/>
  <c r="E70" i="2" s="1"/>
  <c r="B70" i="2" a="1"/>
  <c r="B70" i="2" s="1"/>
  <c r="E69" i="2" a="1"/>
  <c r="E69" i="2" s="1"/>
  <c r="B69" i="2" a="1"/>
  <c r="B69" i="2"/>
  <c r="E68" i="2" a="1"/>
  <c r="E68" i="2" s="1"/>
  <c r="B68" i="2" a="1"/>
  <c r="B68" i="2"/>
  <c r="E67" i="2" a="1"/>
  <c r="E67" i="2" s="1"/>
  <c r="B67" i="2" a="1"/>
  <c r="B67" i="2"/>
  <c r="E66" i="2" a="1"/>
  <c r="E66" i="2" s="1"/>
  <c r="B66" i="2" a="1"/>
  <c r="B66" i="2" s="1"/>
  <c r="E65" i="2" a="1"/>
  <c r="E65" i="2" s="1"/>
  <c r="B65" i="2" a="1"/>
  <c r="B65" i="2"/>
  <c r="E64" i="2" a="1"/>
  <c r="E64" i="2" s="1"/>
  <c r="B64" i="2" a="1"/>
  <c r="B64" i="2"/>
  <c r="E63" i="2" a="1"/>
  <c r="E63" i="2" s="1"/>
  <c r="B63" i="2" a="1"/>
  <c r="B63" i="2"/>
  <c r="E62" i="2" a="1"/>
  <c r="E62" i="2" s="1"/>
  <c r="B62" i="2" a="1"/>
  <c r="B62" i="2" s="1"/>
  <c r="E61" i="2" a="1"/>
  <c r="E61" i="2" s="1"/>
  <c r="B61" i="2" a="1"/>
  <c r="B61" i="2"/>
  <c r="E60" i="2" a="1"/>
  <c r="E60" i="2" s="1"/>
  <c r="B60" i="2" a="1"/>
  <c r="B60" i="2"/>
  <c r="E59" i="2" a="1"/>
  <c r="E59" i="2" s="1"/>
  <c r="B59" i="2" a="1"/>
  <c r="B59" i="2"/>
  <c r="E58" i="2" a="1"/>
  <c r="E58" i="2" s="1"/>
  <c r="B58" i="2" a="1"/>
  <c r="B58" i="2" s="1"/>
  <c r="E57" i="2" a="1"/>
  <c r="E57" i="2" s="1"/>
  <c r="B57" i="2" a="1"/>
  <c r="B57" i="2"/>
  <c r="E56" i="2" a="1"/>
  <c r="E56" i="2" s="1"/>
  <c r="B56" i="2" a="1"/>
  <c r="B56" i="2"/>
  <c r="E55" i="2" a="1"/>
  <c r="E55" i="2" s="1"/>
  <c r="B55" i="2" a="1"/>
  <c r="B55" i="2"/>
  <c r="E54" i="2" a="1"/>
  <c r="E54" i="2" s="1"/>
  <c r="B54" i="2" a="1"/>
  <c r="B54" i="2"/>
  <c r="E53" i="2" a="1"/>
  <c r="E53" i="2" s="1"/>
  <c r="B53" i="2" a="1"/>
  <c r="B53" i="2"/>
  <c r="E52" i="2" a="1"/>
  <c r="E52" i="2" s="1"/>
  <c r="B52" i="2" a="1"/>
  <c r="B52" i="2"/>
  <c r="E51" i="2" a="1"/>
  <c r="E51" i="2" s="1"/>
  <c r="B51" i="2" a="1"/>
  <c r="B51" i="2"/>
  <c r="E50" i="2" a="1"/>
  <c r="E50" i="2" s="1"/>
  <c r="B50" i="2" a="1"/>
  <c r="B50" i="2"/>
  <c r="E49" i="2" a="1"/>
  <c r="E49" i="2" s="1"/>
  <c r="B49" i="2" a="1"/>
  <c r="B49" i="2"/>
  <c r="E48" i="2" a="1"/>
  <c r="E48" i="2" s="1"/>
  <c r="B48" i="2" a="1"/>
  <c r="B48" i="2"/>
  <c r="E47" i="2" a="1"/>
  <c r="E47" i="2" s="1"/>
  <c r="B47" i="2" a="1"/>
  <c r="B47" i="2"/>
  <c r="E46" i="2" a="1"/>
  <c r="E46" i="2" s="1"/>
  <c r="B46" i="2" a="1"/>
  <c r="B46" i="2"/>
  <c r="E45" i="2" a="1"/>
  <c r="E45" i="2" s="1"/>
  <c r="B45" i="2" a="1"/>
  <c r="B45" i="2"/>
  <c r="E44" i="2" a="1"/>
  <c r="E44" i="2" s="1"/>
  <c r="B44" i="2" a="1"/>
  <c r="B44" i="2"/>
  <c r="E43" i="2" a="1"/>
  <c r="E43" i="2" s="1"/>
  <c r="B43" i="2" a="1"/>
  <c r="B43" i="2"/>
  <c r="E42" i="2" a="1"/>
  <c r="E42" i="2" s="1"/>
  <c r="B42" i="2" a="1"/>
  <c r="B42" i="2"/>
  <c r="E41" i="2" a="1"/>
  <c r="E41" i="2" s="1"/>
  <c r="B41" i="2" a="1"/>
  <c r="B41" i="2"/>
  <c r="E40" i="2" a="1"/>
  <c r="E40" i="2" s="1"/>
  <c r="B40" i="2" a="1"/>
  <c r="B40" i="2"/>
  <c r="E39" i="2" a="1"/>
  <c r="E39" i="2" s="1"/>
  <c r="B39" i="2" a="1"/>
  <c r="B39" i="2"/>
  <c r="E38" i="2" a="1"/>
  <c r="E38" i="2" s="1"/>
  <c r="B38" i="2" a="1"/>
  <c r="B38" i="2"/>
  <c r="E37" i="2" a="1"/>
  <c r="E37" i="2" s="1"/>
  <c r="B37" i="2" a="1"/>
  <c r="B37" i="2"/>
  <c r="E36" i="2" a="1"/>
  <c r="E36" i="2" s="1"/>
  <c r="B36" i="2" a="1"/>
  <c r="B36" i="2"/>
  <c r="E35" i="2" a="1"/>
  <c r="E35" i="2" s="1"/>
  <c r="B35" i="2" a="1"/>
  <c r="B35" i="2"/>
  <c r="E34" i="2" a="1"/>
  <c r="E34" i="2" s="1"/>
  <c r="B34" i="2" a="1"/>
  <c r="B34" i="2"/>
  <c r="E33" i="2" a="1"/>
  <c r="E33" i="2" s="1"/>
  <c r="B33" i="2" a="1"/>
  <c r="B33" i="2"/>
  <c r="E32" i="2" a="1"/>
  <c r="E32" i="2" s="1"/>
  <c r="B32" i="2" a="1"/>
  <c r="B32" i="2"/>
  <c r="E31" i="2" a="1"/>
  <c r="E31" i="2" s="1"/>
  <c r="B31" i="2" a="1"/>
  <c r="B31" i="2"/>
  <c r="E30" i="2" a="1"/>
  <c r="E30" i="2" s="1"/>
  <c r="B30" i="2" a="1"/>
  <c r="B30" i="2"/>
  <c r="E29" i="2" a="1"/>
  <c r="E29" i="2" s="1"/>
  <c r="B29" i="2" a="1"/>
  <c r="B29" i="2"/>
  <c r="E28" i="2" a="1"/>
  <c r="E28" i="2" s="1"/>
  <c r="B28" i="2" a="1"/>
  <c r="B28" i="2"/>
  <c r="E27" i="2" a="1"/>
  <c r="E27" i="2" s="1"/>
  <c r="B27" i="2" a="1"/>
  <c r="B27" i="2"/>
  <c r="E26" i="2" a="1"/>
  <c r="E26" i="2" s="1"/>
  <c r="B26" i="2" a="1"/>
  <c r="B26" i="2"/>
  <c r="E25" i="2" a="1"/>
  <c r="E25" i="2" s="1"/>
  <c r="B25" i="2" a="1"/>
  <c r="B25" i="2"/>
  <c r="E24" i="2" a="1"/>
  <c r="E24" i="2" s="1"/>
  <c r="B24" i="2" a="1"/>
  <c r="B24" i="2"/>
  <c r="E23" i="2" a="1"/>
  <c r="E23" i="2" s="1"/>
  <c r="B23" i="2" a="1"/>
  <c r="B23" i="2"/>
  <c r="E22" i="2" a="1"/>
  <c r="E22" i="2" s="1"/>
  <c r="B22" i="2" a="1"/>
  <c r="B22" i="2"/>
  <c r="E21" i="2" a="1"/>
  <c r="E21" i="2" s="1"/>
  <c r="B21" i="2" a="1"/>
  <c r="B21" i="2"/>
  <c r="B20" i="2" a="1"/>
  <c r="B20" i="2" s="1"/>
  <c r="E19" i="2" a="1"/>
  <c r="E19" i="2"/>
  <c r="B19" i="2" a="1"/>
  <c r="B19" i="2" s="1"/>
  <c r="E18" i="2" a="1"/>
  <c r="E18" i="2"/>
  <c r="B18" i="2" a="1"/>
  <c r="B18" i="2" s="1"/>
  <c r="E17" i="2" a="1"/>
  <c r="E17" i="2"/>
  <c r="B17" i="2" a="1"/>
  <c r="B17" i="2" s="1"/>
  <c r="B16" i="2" a="1"/>
  <c r="B16" i="2"/>
  <c r="E15" i="2" a="1"/>
  <c r="E15" i="2" s="1"/>
  <c r="B15" i="2" a="1"/>
  <c r="B15" i="2"/>
  <c r="E14" i="2" a="1"/>
  <c r="E14" i="2" s="1"/>
  <c r="B14" i="2" a="1"/>
  <c r="B14" i="2"/>
  <c r="E13" i="2" a="1"/>
  <c r="E13" i="2" s="1"/>
  <c r="B13" i="2" a="1"/>
  <c r="B13" i="2"/>
  <c r="E12" i="2" a="1"/>
  <c r="E12" i="2" s="1"/>
  <c r="B12" i="2" a="1"/>
  <c r="B12" i="2"/>
  <c r="E11" i="2" a="1"/>
  <c r="E11" i="2" s="1"/>
  <c r="B11" i="2" a="1"/>
  <c r="B11" i="2"/>
  <c r="E10" i="2" a="1"/>
  <c r="E10" i="2" s="1"/>
  <c r="B10" i="2" a="1"/>
  <c r="B10" i="2"/>
  <c r="E9" i="2" a="1"/>
  <c r="E9" i="2" s="1"/>
  <c r="B9" i="2" a="1"/>
  <c r="B9" i="2"/>
  <c r="E8" i="2" a="1"/>
  <c r="E8" i="2" s="1"/>
  <c r="B8" i="2" a="1"/>
  <c r="B8" i="2"/>
  <c r="E7" i="2" a="1"/>
  <c r="E7" i="2" s="1"/>
  <c r="B7" i="2" a="1"/>
  <c r="B7" i="2"/>
  <c r="E6" i="2" a="1"/>
  <c r="E6" i="2" s="1"/>
  <c r="B6" i="2" a="1"/>
  <c r="B6" i="2"/>
  <c r="E5" i="2" a="1"/>
  <c r="E5" i="2" s="1"/>
  <c r="B5" i="2" a="1"/>
  <c r="B5" i="2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111" i="1" s="1"/>
  <c r="F6" i="1"/>
  <c r="F5" i="1"/>
  <c r="J7" i="11" l="1"/>
  <c r="I7" i="11"/>
  <c r="J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1586CE-8B3A-414A-B80A-3A6367B9F4B8}" keepAlive="1" name="Consulta - Consulta1" description="Conexão com a consulta 'Consulta1' na pasta de trabalho." type="5" refreshedVersion="7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<sst xmlns="http://schemas.openxmlformats.org/spreadsheetml/2006/main" count="38326" uniqueCount="3879">
  <si>
    <t>CONSOLIDADO DE ESTOQUE — RIO DE JANEIRO</t>
  </si>
  <si>
    <t>Itens únicos (sem repetição entre abas — prioridade A→B→C). Coluna Categoria identifica Ferramentaria ou SSO.</t>
  </si>
  <si>
    <t>Categoria</t>
  </si>
  <si>
    <t>Código</t>
  </si>
  <si>
    <t>Descrição</t>
  </si>
  <si>
    <t>Unidade</t>
  </si>
  <si>
    <t>Aba origem</t>
  </si>
  <si>
    <t>Quantidade</t>
  </si>
  <si>
    <t>Ferramentaria</t>
  </si>
  <si>
    <t>ALICATE DE BICO 6</t>
  </si>
  <si>
    <t>PÇ</t>
  </si>
  <si>
    <t>A</t>
  </si>
  <si>
    <t>ALICATE DE CORTE 6</t>
  </si>
  <si>
    <t>ALICATE DE GRIMPAR RJ11 / RJ45</t>
  </si>
  <si>
    <t>UND</t>
  </si>
  <si>
    <t>ALICATE DE PRESSÃO RG6</t>
  </si>
  <si>
    <t>ALICATE UNIVERSAL 8</t>
  </si>
  <si>
    <t>APLICADOR DE COLA QUENTE</t>
  </si>
  <si>
    <t>UN</t>
  </si>
  <si>
    <t>BADISCO DIGITAL GANDOLA</t>
  </si>
  <si>
    <t>BROCA CHATA MADEIRA 10 MM X 150 MM</t>
  </si>
  <si>
    <t>BROCA CHATA MADEIRA 8 MM X 150 MM</t>
  </si>
  <si>
    <t>BROCA DE WIDEA 10MM X 400MM (LONGA)</t>
  </si>
  <si>
    <t>CAMERA SONDA ENDOSCOPICA- 5 M</t>
  </si>
  <si>
    <t>CANETA DETECTORA DE TENSÃO 90 - 100</t>
  </si>
  <si>
    <t>CANETA OPTICA - VISUAL FAULT RY V31</t>
  </si>
  <si>
    <t>CANETA P/ LIMPEZA DE CONECTOR 2.5mm</t>
  </si>
  <si>
    <t>CHAVE DE ARMÁRIO TRIANGULAR</t>
  </si>
  <si>
    <t>CHAVE DE FENDA MEDIA</t>
  </si>
  <si>
    <t>CHAVE DE INSERÇÃO TYCON</t>
  </si>
  <si>
    <t>CHAVE GTP TRAVA E DESTRAVA CURTA</t>
  </si>
  <si>
    <t>CHAVE MINI TRAP ST1 P/ CONECTOR RG</t>
  </si>
  <si>
    <t>CHAVE P/ CAIXA SUBTERRANEA</t>
  </si>
  <si>
    <t>CHAVE TORQUE PARA CONECTOR 20K</t>
  </si>
  <si>
    <t>ESCADA 5 DEGRAUS DOMESTICA</t>
  </si>
  <si>
    <t>EXTENSAO ELET. 10MTS</t>
  </si>
  <si>
    <t>EXTENSÃO 20 MTS</t>
  </si>
  <si>
    <t>FERRO DE ABRIR CAIXA TIPO T</t>
  </si>
  <si>
    <t>FURADEIRA - IMPACTO</t>
  </si>
  <si>
    <t>FURADEIRA HAMMER 700W</t>
  </si>
  <si>
    <t>JOGO CHAVE ALLEN C/ 25 PÇS</t>
  </si>
  <si>
    <t>LANTERNA PARA CABEÇA</t>
  </si>
  <si>
    <t>LEITOR DE CODIGO DE BARRAS</t>
  </si>
  <si>
    <t>MARTELO UNHA</t>
  </si>
  <si>
    <t>NIVELADOR ESCADA DE MADEIRA</t>
  </si>
  <si>
    <t>TESTADOR DE CABO DE REDE LAN (ETHER)</t>
  </si>
  <si>
    <t>ALICATE DECAPADOR DE FIBRA OPTICA</t>
  </si>
  <si>
    <t>B</t>
  </si>
  <si>
    <t>BALDE DE LONA</t>
  </si>
  <si>
    <t>BROCA CHATA MADEIRA 6MM X 150MM</t>
  </si>
  <si>
    <t>CAVALETE SUPORTE PARA BOBINA</t>
  </si>
  <si>
    <t>CHAVE DE FENDA GRANDE</t>
  </si>
  <si>
    <t>CHAVE DE FENDA PEQUENA</t>
  </si>
  <si>
    <t>CHAVE PHILIPS MEDIA</t>
  </si>
  <si>
    <t>LANTERNA</t>
  </si>
  <si>
    <t>TESOURÃO CORTA VERGALHÃO 30</t>
  </si>
  <si>
    <t>ALICATE COMPRESSÃO P/ CABO COAXIAL</t>
  </si>
  <si>
    <t>C</t>
  </si>
  <si>
    <t>BROCA DE WIDEA 8MM X 400MM (LONGA)</t>
  </si>
  <si>
    <t>UNID</t>
  </si>
  <si>
    <t>BROCA WIDEA 6MM</t>
  </si>
  <si>
    <t>CHAVE CANHÃO 7 MM</t>
  </si>
  <si>
    <t>CHAVE CANHÃO 8 MM</t>
  </si>
  <si>
    <t>CHAVE INGLESA 10MM</t>
  </si>
  <si>
    <t>CHAVE PHILIPS GRANDE</t>
  </si>
  <si>
    <t>CHAVE PHILIPS PEQUENA</t>
  </si>
  <si>
    <t>FERRO DE CAIXA</t>
  </si>
  <si>
    <t>TRENA FIBRA DE VIDRO 50M</t>
  </si>
  <si>
    <t>VERRUMA</t>
  </si>
  <si>
    <t>SSO</t>
  </si>
  <si>
    <t>BOTA DE COURO SEM CADARÇO TAM. 36</t>
  </si>
  <si>
    <t>PAR</t>
  </si>
  <si>
    <t>BOTA DE COURO SEM CADARÇO TAM. 37</t>
  </si>
  <si>
    <t>BOTA DE COURO SEM CADARÇO TAM. 38</t>
  </si>
  <si>
    <t>BOTA DE COURO SEM CADARÇO TAM. 39</t>
  </si>
  <si>
    <t>BOTA DE COURO SEM CADARÇO TAM. 40</t>
  </si>
  <si>
    <t>BOTA DE COURO SEM CADARÇO TAM. 41</t>
  </si>
  <si>
    <t>BOTA DE COURO SEM CADARÇO TAM. 46</t>
  </si>
  <si>
    <t>CALÇA CINZA CLARO - P</t>
  </si>
  <si>
    <t>CALÇA CLARO FFA CINZA - EXGG</t>
  </si>
  <si>
    <t>CALÇA CLARO FFA CINZA - P</t>
  </si>
  <si>
    <t>CALÇA JEANS C/ FAIXA REFLETIVA IHS (1999)</t>
  </si>
  <si>
    <t>CALÇA JEANS C/ FAIXA REFLETIVA IHS (6798)</t>
  </si>
  <si>
    <t>CALÇA JEANS C/ FAIXA REFLETIVA IHS (1996)</t>
  </si>
  <si>
    <t>CALÇA JEANS COM LOGO FFA 42</t>
  </si>
  <si>
    <t>CAMISA MALHA CINZA GOLA POLO CLARO</t>
  </si>
  <si>
    <t>CAMISA MALHA PV AZUL ROYAL EXG</t>
  </si>
  <si>
    <t>CAMISA MALHA PV AZUL ROYAL G</t>
  </si>
  <si>
    <t>CAMISA MALHA PV AZUL ROYAL GG</t>
  </si>
  <si>
    <t>CAMISA MALHA PV AZUL ROYAL M</t>
  </si>
  <si>
    <t>CAMISA POLO CINZA - CLARO FFA - EXG</t>
  </si>
  <si>
    <t>CAMISA POLO CINZA - CLARO FFA - P</t>
  </si>
  <si>
    <t>CAMISA SOCIAL SUPERVISOR CLARO IAT (1909)</t>
  </si>
  <si>
    <t>CAMISA SOCIAL SUPERVISOR CLARO IAT (1906)</t>
  </si>
  <si>
    <t>CAMISA SOCIAL SUPERVISOR CLARO IAT (1905)</t>
  </si>
  <si>
    <t>CAMISA SOCIAL SUPERVISOR CLARO IAT (1907)</t>
  </si>
  <si>
    <t>CAPA P/ CHUVA FORRADA AMARELA</t>
  </si>
  <si>
    <t>CAPACETE ABA TOTAL AZESC</t>
  </si>
  <si>
    <t>CAPACETE CICLISTA</t>
  </si>
  <si>
    <t>CARNEIRA P/CAPACETE</t>
  </si>
  <si>
    <t>CINTO SEG. PQD C/3 PONTAS E PROT. L</t>
  </si>
  <si>
    <t>PC</t>
  </si>
  <si>
    <t>COLETE REFLETIVO TP X NOTURNO</t>
  </si>
  <si>
    <t>CONE SINALIZAÇÃO GRANDE</t>
  </si>
  <si>
    <t>CONE SINALIZAÇÃO PEQUENO - LARANJA</t>
  </si>
  <si>
    <t>CORDA TRANC 12 MM LVM 20M</t>
  </si>
  <si>
    <t>FREIO ABS PARA LINHA DE VIDA</t>
  </si>
  <si>
    <t>JAQUETA CLARO COM CAPUZ - G</t>
  </si>
  <si>
    <t>JAQUETA CLARO COM CAPUZ - XG</t>
  </si>
  <si>
    <t>JAQUETA IHS - EXG</t>
  </si>
  <si>
    <t>JAQUETA IHS - EXG1</t>
  </si>
  <si>
    <t>JUGULAR P/CAPACETE</t>
  </si>
  <si>
    <t>LENÇO UMIDECIDO COM ALCOOL PARA LIMPEZA</t>
  </si>
  <si>
    <t>LUVA DE MALHA PIGMENTADA</t>
  </si>
  <si>
    <t>LUVA DE VAQUETA MISTA CANO CURTO</t>
  </si>
  <si>
    <t>LUVA MULTITATO PU</t>
  </si>
  <si>
    <t>MOSQUETAO DE FERRO</t>
  </si>
  <si>
    <t>OCULOS DE PROTEÇÃO - PRETO</t>
  </si>
  <si>
    <t>POLO VERDE C/ ZIPER C/ FAIXA REFLETIVA (6826)</t>
  </si>
  <si>
    <t>POLO VERDE C/ ZIPER C/ FAIXA REFLETIVA (1987)</t>
  </si>
  <si>
    <t>POLO VERDE C/ ZIPER C/ FAIXA REFLETIVA (1991)</t>
  </si>
  <si>
    <t>PROTETOR SOLAR</t>
  </si>
  <si>
    <t>TALABARTE (APA SEG)TIPO Y DE FITA</t>
  </si>
  <si>
    <t>TALABARTE DE POSICIONAMENTO REGULÁVEL</t>
  </si>
  <si>
    <t>ÓCULOS DE PROTEÇÃO INCOLOR</t>
  </si>
  <si>
    <t>TOTAL GERAL</t>
  </si>
  <si>
    <t>CONSOLIDADO DE ESTOQUE — NOVA FRIBURGO</t>
  </si>
  <si>
    <t>Itens da unidade Nova Friburgo. Código e classe (A/B/C) buscados na aba 'de para abc' pelo nome do item.</t>
  </si>
  <si>
    <t>Classe (A/B/C)</t>
  </si>
  <si>
    <t>ADAPTADOR P/ CONECTOR SC-APC (POWER METER)</t>
  </si>
  <si>
    <t>BATERIA 9 V</t>
  </si>
  <si>
    <t>BOLSA DE LONA</t>
  </si>
  <si>
    <t>BROCA 5/16 X 8 WIDIA</t>
  </si>
  <si>
    <t>BROCA CHATA MADEIRA  6MM X 150MM</t>
  </si>
  <si>
    <t>BROCA DE VIDIA 12 MM X 30 CM</t>
  </si>
  <si>
    <t>BROCA DE WIDEA 10MM X 400MM ( LONGA)</t>
  </si>
  <si>
    <t>BROCA WIDEA 10 MM X 150 MM</t>
  </si>
  <si>
    <t>BROCA WIDEA 8 MM X 110 MM</t>
  </si>
  <si>
    <t>CAIXA VAZADA 50L PRETA</t>
  </si>
  <si>
    <t>CANETA  P/ LIMPEZA DE CONECTOR 2.5mm</t>
  </si>
  <si>
    <t>CANETA OPTICA - VISUAL FAULT RY V3105</t>
  </si>
  <si>
    <t>CHAVE BOCA / ESTRIA 11MM</t>
  </si>
  <si>
    <t>CHAVE DE TESTE</t>
  </si>
  <si>
    <t>CHAVE MINI TRAP ST1 P/ CONECTOR RG 59/6 F-7/16</t>
  </si>
  <si>
    <t>CLIVADOR DE PRECISÃO OPTICO</t>
  </si>
  <si>
    <t>CLIVADOR FIBER CLEAVER</t>
  </si>
  <si>
    <t>CORRENTE C/ CADEADO SEGURANÇA</t>
  </si>
  <si>
    <t>DECAPADOR DE CABO COAXIAL CANETA AMARELA RG11</t>
  </si>
  <si>
    <t>DECAPADOR DE CABOS</t>
  </si>
  <si>
    <t>DECAPADOR PARA CABO DROP</t>
  </si>
  <si>
    <t>ESCADA DE FIBRA EXTENSIVEL 3,60 X 6,00</t>
  </si>
  <si>
    <t>ESTILETE</t>
  </si>
  <si>
    <t>FURADEIRA SKIL MODELO 6662 550W 127V</t>
  </si>
  <si>
    <t>GABARITO AZUL  (CLIVADOR)</t>
  </si>
  <si>
    <t>JOGO DE CHAVE ALLEN LONGA 1,5 A 10 MM</t>
  </si>
  <si>
    <t>JOGO DE CHAVES ALLEN</t>
  </si>
  <si>
    <t>KIT DE CHAVE RELOJOEIRO C/ 6 PÇS</t>
  </si>
  <si>
    <t>CJ</t>
  </si>
  <si>
    <t>LENÇO UMIDECIDO COM ALCOOL  PARA LIMPEZA</t>
  </si>
  <si>
    <t>MAQUINA FUSIMEC</t>
  </si>
  <si>
    <t>MULTIMETRO DIGITAL</t>
  </si>
  <si>
    <t>ORGANIZADOR GRANDE</t>
  </si>
  <si>
    <t>PASSA FIO 20Mts ALMA DE AÇO</t>
  </si>
  <si>
    <t>POWER MEETER</t>
  </si>
  <si>
    <t>RECIPIENTE PARA ALCOOL</t>
  </si>
  <si>
    <t>TESTADOR DE CABO DE REDE LAN (ETHERNET)</t>
  </si>
  <si>
    <t>TUBO DE COLA QUENTE</t>
  </si>
  <si>
    <t>ANEL DE ANCORAGEM 1,50M</t>
  </si>
  <si>
    <t>ANEL DE ANCORAGEM 2,00 MT</t>
  </si>
  <si>
    <t>BANDEROLA DE SINALIZAÇÃO</t>
  </si>
  <si>
    <t>BOLSA DE LONA PARA KIT LINHA DE VI...</t>
  </si>
  <si>
    <t>BOTA DE COURO SEM CADARÇO TAM. 42</t>
  </si>
  <si>
    <t>BOTA DE COURO SEM CADARÇO TAM. 43</t>
  </si>
  <si>
    <t>BOTA DE COURO SEM CADARÇO TAM. 44</t>
  </si>
  <si>
    <t>BOTA DE COURO SEM CADARÇO TAM. 45</t>
  </si>
  <si>
    <t>CALÇA CLARO FFA CINZA - G</t>
  </si>
  <si>
    <t>CALÇA CLARO FFA CINZA - XG</t>
  </si>
  <si>
    <t>CAMISA POLO CINZA - CLARO FFA - GG</t>
  </si>
  <si>
    <t>CINTO SEG. PQD C/3 PONTAS E PROT. L...</t>
  </si>
  <si>
    <t>CONE SINALIZAÇÃO PEQUENO - LARANJA/...</t>
  </si>
  <si>
    <t>FITA CARTRACA LINHA DE VIDA</t>
  </si>
  <si>
    <t>FITA DE ANCORAGEM PARA ESCADA C/ AB...</t>
  </si>
  <si>
    <t>FITA ZEBRADA 160M</t>
  </si>
  <si>
    <t>RL</t>
  </si>
  <si>
    <t>LUVA VAQUETA MISTA CANO CURTO</t>
  </si>
  <si>
    <t>MOSQUETÃO CARABINEIRO ROSCA</t>
  </si>
  <si>
    <t>OCULOS SEGURANÇA CINZA</t>
  </si>
  <si>
    <t>TALABARTE (APA SEG)TIPO Y DE FITA C...</t>
  </si>
  <si>
    <t>TALABARTE DE POSICIONAMENTO REGULÁV...</t>
  </si>
  <si>
    <t>TRAVA QUEDAS MOD DOBRADIÇA CORDA 12...</t>
  </si>
  <si>
    <t>CONSOLIDADO DE ESTOQUE — CAMPO GRANDE</t>
  </si>
  <si>
    <t>Itens da unidade Campo Grande. Classe (A/B/C) e código buscados nas abas 'de para abc' e 'de para codigo'.</t>
  </si>
  <si>
    <t>Itens</t>
  </si>
  <si>
    <t>ALICATE COMPRESSÃO P/ CABO COAXIAL...</t>
  </si>
  <si>
    <t>Total</t>
  </si>
  <si>
    <t>ALICATE DECAPADOR FIBRA OPT (DROP FLAT) P-22</t>
  </si>
  <si>
    <t>BROCA CHATA MADEIRA 3/8 Pl</t>
  </si>
  <si>
    <t>BROCA 3 PONTAS MADEIRA 8 MM</t>
  </si>
  <si>
    <t>BROCA DE WIDEA 10MM X 400MM ( LONGA...</t>
  </si>
  <si>
    <t>CANETA P/ LIMPEZA DE CONECTOR 2.5m...</t>
  </si>
  <si>
    <t>CANETA OPTICA - VISUAL FAULT RY V31...</t>
  </si>
  <si>
    <t>CHAVE GTP TRAVA E DESTRAVA LONGA</t>
  </si>
  <si>
    <t>CHAVE MINI TRAP ST1 P/ CONECTOR RG ...</t>
  </si>
  <si>
    <t>FERRO DE CAIXA TIPO J</t>
  </si>
  <si>
    <t>FURADEIRA SKIL MODELO 6662 550W 127...</t>
  </si>
  <si>
    <t>INVERSOR DE ENERGIA 12V PARA 110V</t>
  </si>
  <si>
    <t>JOGO CHAVE ALLEN C/ 6 PÇS</t>
  </si>
  <si>
    <t>OCULOS INCOLOR</t>
  </si>
  <si>
    <t>OCULOS PRETO</t>
  </si>
  <si>
    <t>POWER METER</t>
  </si>
  <si>
    <t>TESTADOR DE CABO DE REDE LAN (ETHER...</t>
  </si>
  <si>
    <t>ANEL DE ANCORAGEM - 2 M</t>
  </si>
  <si>
    <t>ANEL DE ANCORAGEM - 1,5 M</t>
  </si>
  <si>
    <t>BERMUDA EM BRIM COM LOGO FFA - P</t>
  </si>
  <si>
    <t>BERMUDA JEANS COM LOGO FFA TAM 38</t>
  </si>
  <si>
    <t>BERMUDA JEANS COM LOGO FFA TAM 40</t>
  </si>
  <si>
    <t>BERMUDA JEANS COM LOGO FFA TAM 42</t>
  </si>
  <si>
    <t>BERMUDA JEANS COM LOGO FFA TAM 46</t>
  </si>
  <si>
    <t>BERMUDA JEANS COM LOGO FFA TAM. 48</t>
  </si>
  <si>
    <t>BERMUDA JEANS COM LOGO FFA TAM. 52</t>
  </si>
  <si>
    <t>BANDEROLA</t>
  </si>
  <si>
    <t>BOLSA DE LONA LINHA DE VIDA</t>
  </si>
  <si>
    <t>BOTA BORRACHA PVC 39</t>
  </si>
  <si>
    <t>BOTA BORRACHA PVC 41</t>
  </si>
  <si>
    <t>BOTA BORRACHA PVC 42</t>
  </si>
  <si>
    <t>BOTA BORRACHA PVC 44</t>
  </si>
  <si>
    <t>BOTA BORRACHA PVC 46</t>
  </si>
  <si>
    <t>BOTA DE COURO SEM CADARÇO TAM. 48</t>
  </si>
  <si>
    <t>UN 54</t>
  </si>
  <si>
    <t>BOTA DE COURO SEM CADARÇO TAM. 50</t>
  </si>
  <si>
    <t>CALÇA CINZA VIVO C/ FAIXA REFLETIVA...</t>
  </si>
  <si>
    <t>CALÇA CLARO FFA CAQUI</t>
  </si>
  <si>
    <t>CALÇA CLARO FFA CÁQUI EXG</t>
  </si>
  <si>
    <t>un</t>
  </si>
  <si>
    <t>CALÇA CLARO FFA CÁQUI G</t>
  </si>
  <si>
    <t>CALÇA CLARO FFA CÁQUI GG</t>
  </si>
  <si>
    <t>CALÇA CLARO FFA CAQUI P</t>
  </si>
  <si>
    <t>CALÇA CLARO FFA CÁQUI XG</t>
  </si>
  <si>
    <t>CALÇA CLARO FFA CINZA - EXG</t>
  </si>
  <si>
    <t>CALÇA CLARO FFA CINZA - GG</t>
  </si>
  <si>
    <t>CALÇA CLARO FFA CINZA – M</t>
  </si>
  <si>
    <t>CALÇA CLARO FFA CINZA - XXG</t>
  </si>
  <si>
    <t>CALÇA DE BRIM AZUL MARINHO GIGA + T...</t>
  </si>
  <si>
    <t>CALÇA JEANS COM LOGO FFA - 50</t>
  </si>
  <si>
    <t>CALÇA JEANS COM LOGO FFA - EXGG</t>
  </si>
  <si>
    <t>CALÇA JEANS COM LOGO FFA - GG</t>
  </si>
  <si>
    <t>CALÇA JEANS COM LOGO FFA - XG</t>
  </si>
  <si>
    <t>CALÇA JEANS COM LOGO FFA 36</t>
  </si>
  <si>
    <t>CALÇA JEANS COM LOGO FFA 40</t>
  </si>
  <si>
    <t>CALÇA JEANS COM LOGO FFA 48</t>
  </si>
  <si>
    <t>CALÇA JEANS COM LOGO FFA 52</t>
  </si>
  <si>
    <t>CAMISA AZUL MARINHO GIGA + TAM EXG</t>
  </si>
  <si>
    <t>CAMISA AZUL MARINHO GIGA + TAM G</t>
  </si>
  <si>
    <t>CAMISA AZUL MARINHO GIGA + TAM GG</t>
  </si>
  <si>
    <t>CAMISA MALHA CINZA GOLA POLO CLARO ...</t>
  </si>
  <si>
    <t>CAMISA MALHA PV AZUL ROYAL EXG3</t>
  </si>
  <si>
    <t>CAMISA MALHA PV AZUL ROYAL XG</t>
  </si>
  <si>
    <t>CAMISA POLO AZUL MARINHO CLARO FFA ...</t>
  </si>
  <si>
    <t>CAMISA POLO CINZA - CLARO FFA - EXG...</t>
  </si>
  <si>
    <t>CAMISA POLO CINZA - CLARO FFA - G</t>
  </si>
  <si>
    <t>CAMISA POLO CINZA - CLARO FFA - XG</t>
  </si>
  <si>
    <t>CAMISA POLO CINZA - CLARO FFA - XXG</t>
  </si>
  <si>
    <t>CAMISA POLO CINZA CLARO FFA - M</t>
  </si>
  <si>
    <t>CAMISA SOCIAL MANGA CURTA - G (SUPE...</t>
  </si>
  <si>
    <t>CAMISA SOCIAL MANGA CURTA - GG (SUP...</t>
  </si>
  <si>
    <t>CAMISA SOCIAL SUPERVISOR CLARO IAT ...</t>
  </si>
  <si>
    <t>CANETA DETECTORA DE TENSÃO 90 - 100...</t>
  </si>
  <si>
    <t>CAPA DE CHUVA PVC MOTOBOY TAM G</t>
  </si>
  <si>
    <t>CAPACETE ABA TOTAL COMPLETO</t>
  </si>
  <si>
    <t>CAPACETE AZUL COM JUGULAR</t>
  </si>
  <si>
    <t>CAPACETE CINZA</t>
  </si>
  <si>
    <t>CONE REFLETIVO GRANDE</t>
  </si>
  <si>
    <t>CORDA</t>
  </si>
  <si>
    <t>M</t>
  </si>
  <si>
    <t>CORDA 12MM TRAÇADA</t>
  </si>
  <si>
    <t>CORDA PP TRAN 12MM BRANCA LVM 16M</t>
  </si>
  <si>
    <t>CORDA SEMI ESTATICA 12MM C/ 7M KIT...</t>
  </si>
  <si>
    <t>CORRENTE P/ ESCADA</t>
  </si>
  <si>
    <t>FAIXA REFLETIVA 5 X 30 CM - SHERMA...</t>
  </si>
  <si>
    <t>FITA CATRACA LINHA DE VIDA</t>
  </si>
  <si>
    <t>FITA ANCORAGEM P/ESCADA C/ABS</t>
  </si>
  <si>
    <t>FREIO ABS KIT LINHA DE VIDA</t>
  </si>
  <si>
    <t>JAQUETA CLARO COM CAPUZ - EXG</t>
  </si>
  <si>
    <t>JAQUETA CLARO COM CAPUZ - GG</t>
  </si>
  <si>
    <t>JAQUETA IHS - G</t>
  </si>
  <si>
    <t>JAQUETA IHS - GG</t>
  </si>
  <si>
    <t>LANTERNA DE CABEÇA DE LED- NAUTIKA</t>
  </si>
  <si>
    <t>LUVA PVC 46CM VERDE</t>
  </si>
  <si>
    <t>LUVA VAQUETA MISA C/ LONGO</t>
  </si>
  <si>
    <t>MASCARA DE SOLDA</t>
  </si>
  <si>
    <t>MOSQUETÃO KIT LINHA DE VIDA</t>
  </si>
  <si>
    <t>ÓCULOS INCOLOR</t>
  </si>
  <si>
    <t>PROTETOR AURICULAR</t>
  </si>
  <si>
    <t>PROTETOR SOLAR ( P FRASCO ML)</t>
  </si>
  <si>
    <t>L</t>
  </si>
  <si>
    <t>ROUPA DE CHUVA TAM GG</t>
  </si>
  <si>
    <t>SINLIZADOR PARA CICLISTA</t>
  </si>
  <si>
    <t>TALABARTE “Y” C/ ABS</t>
  </si>
  <si>
    <t>TRAVA QUEDAS DESLIZANTE</t>
  </si>
  <si>
    <t>CONSOLIDADO DE ESTOQUE — NITEROI</t>
  </si>
  <si>
    <t>Itens da unidade Niterói. Classe (A/B/C) e código buscados nas abas 'de para abc' e 'de para codigo'.</t>
  </si>
  <si>
    <t>FERRAMENTARIA</t>
  </si>
  <si>
    <t>ALICATE UNIVERSAL</t>
  </si>
  <si>
    <t>ALICATE CORTE</t>
  </si>
  <si>
    <t>ALICATE BICO</t>
  </si>
  <si>
    <t>ALICATE RJ11/45</t>
  </si>
  <si>
    <t>DECAPADOR CANETA</t>
  </si>
  <si>
    <t>ALICATE FIBRA</t>
  </si>
  <si>
    <t>DECAPADOR DROP</t>
  </si>
  <si>
    <t>PHILIPS PEQUENA</t>
  </si>
  <si>
    <t>PHILIPS MÉDIA</t>
  </si>
  <si>
    <t>PHILIPS GRANDE</t>
  </si>
  <si>
    <t>FENDA PEQUENA</t>
  </si>
  <si>
    <t>FENDA MÉDIA</t>
  </si>
  <si>
    <t>FENDA GRANDE</t>
  </si>
  <si>
    <t>ORGANIZADOR</t>
  </si>
  <si>
    <t>PASSA FIO 20</t>
  </si>
  <si>
    <t>PASSA FIO 10</t>
  </si>
  <si>
    <t xml:space="preserve">EXTENSÃO </t>
  </si>
  <si>
    <t>MARTELO</t>
  </si>
  <si>
    <t>APLIC. COLA</t>
  </si>
  <si>
    <t>LANTERNA CABEÇA</t>
  </si>
  <si>
    <t>BOLSA GPON</t>
  </si>
  <si>
    <t>CHAVE GTP</t>
  </si>
  <si>
    <t>CHAVE MINI TRAP ST1 P/ RG6</t>
  </si>
  <si>
    <t>CHAVE DE ARMÁRIO</t>
  </si>
  <si>
    <t>CHAVE TORQUE</t>
  </si>
  <si>
    <t>CORRENTE</t>
  </si>
  <si>
    <t>FERRO T</t>
  </si>
  <si>
    <t>FUSIMEC</t>
  </si>
  <si>
    <t>BADISCO</t>
  </si>
  <si>
    <t>FURADEIRA</t>
  </si>
  <si>
    <t>BROCA LONGA-10 mm</t>
  </si>
  <si>
    <t>BROCA LONGA-8mm</t>
  </si>
  <si>
    <t>BROCA videa- 10mm</t>
  </si>
  <si>
    <t>BROCA videa- 8mm</t>
  </si>
  <si>
    <t>BROCA videa- 6mm</t>
  </si>
  <si>
    <t>BROCA 3 pontas - 6mm</t>
  </si>
  <si>
    <t>BROCA 3 pontas - 8mm</t>
  </si>
  <si>
    <t>BROCA 3 pontas - 10mm</t>
  </si>
  <si>
    <t>BROCA chata - 10mm</t>
  </si>
  <si>
    <t>BROCA chata - 8mm</t>
  </si>
  <si>
    <t>BROCA chata - 6mm</t>
  </si>
  <si>
    <t>BROCA chata - 5/16</t>
  </si>
  <si>
    <t>BROCA chata - 3/8</t>
  </si>
  <si>
    <t>BROCA chata - 1/4</t>
  </si>
  <si>
    <t>GUIA DE FIBRA - 100m</t>
  </si>
  <si>
    <t>GUIA DE AÇO - 50m</t>
  </si>
  <si>
    <t>GERADOR DE ENERGIA</t>
  </si>
  <si>
    <t>CONECTADORA BARGOA</t>
  </si>
  <si>
    <t xml:space="preserve">CHAVE BLI </t>
  </si>
  <si>
    <t>CHAVE CANHÃO 8 mm</t>
  </si>
  <si>
    <t>CHAVE CANHÃO 10 mm</t>
  </si>
  <si>
    <t>CHAVE CANHÃO 11 mm</t>
  </si>
  <si>
    <t>GIGA TELEFONICA</t>
  </si>
  <si>
    <t>CASACO</t>
  </si>
  <si>
    <t>CINTO PQD C/3</t>
  </si>
  <si>
    <t>CINTO PQD GRANDE</t>
  </si>
  <si>
    <t>CONE GRANDE</t>
  </si>
  <si>
    <t>CONE PEQUENO</t>
  </si>
  <si>
    <t>CORDA 12 M</t>
  </si>
  <si>
    <t>FITA CATRACA</t>
  </si>
  <si>
    <t>FITA DE ANCORAGEM</t>
  </si>
  <si>
    <t>FITA ZEBRADA</t>
  </si>
  <si>
    <t>FREIO ABS</t>
  </si>
  <si>
    <t>LUVA DE PIGMENTADA</t>
  </si>
  <si>
    <t>LUVA VAQUETA</t>
  </si>
  <si>
    <t>MOSQUETÃO</t>
  </si>
  <si>
    <t>NIVELADOR</t>
  </si>
  <si>
    <t>OCÚLOS INCOLOR</t>
  </si>
  <si>
    <t>OCÚLOS PRETO</t>
  </si>
  <si>
    <t>TALABARTE POSICIONAMENTO</t>
  </si>
  <si>
    <t>TALABARTE Y</t>
  </si>
  <si>
    <t>TRAVA QUEDAS</t>
  </si>
  <si>
    <t>0458-0008-1</t>
  </si>
  <si>
    <t>ADAPTADOR P/ CONECTOR ÓPTICO SC-PC</t>
  </si>
  <si>
    <t>ALAVANCA DE AÇO 1,45MTS</t>
  </si>
  <si>
    <t>ALFABETO CHAPA VAZADA 25MM</t>
  </si>
  <si>
    <t>ALFABETO DE BATER 5MM</t>
  </si>
  <si>
    <t>ALGARISMO CHAPA VAZADA</t>
  </si>
  <si>
    <t>ALGARISMO DE BATER 5MM</t>
  </si>
  <si>
    <t>ALICATE DE INSERÇÃO TERMINAL (BARGOA)</t>
  </si>
  <si>
    <t>ALICATE P/ BOMBA DAGUA</t>
  </si>
  <si>
    <t>AMP 1G/42MHZ HGD GM</t>
  </si>
  <si>
    <t>ARCO DE SERRA</t>
  </si>
  <si>
    <t>ARCO DE SERRA COM SERRA</t>
  </si>
  <si>
    <t>BANQUETA PT ARQUPLAST</t>
  </si>
  <si>
    <t>BARRACA TENDA GAZEBO</t>
  </si>
  <si>
    <t>BICO P/ MAÇARICO PORTATIL A GAS</t>
  </si>
  <si>
    <t>BOLSA P/ KIT FIBRA OPTICA</t>
  </si>
  <si>
    <t>BOMBA DRENAGEM 3 AV 80F</t>
  </si>
  <si>
    <t>BOMBA SUBMERSÍVEL DE MANGOTE 3 BRANCO</t>
  </si>
  <si>
    <t>BROCA DE AÇO RÁPIDO 8MM</t>
  </si>
  <si>
    <t>BROCA WIDEA 5MM</t>
  </si>
  <si>
    <t>CADEIRA DE FERRO DOBRAVEL</t>
  </si>
  <si>
    <t>CANIVETE</t>
  </si>
  <si>
    <t>CARRINHO DE MÃO</t>
  </si>
  <si>
    <t>CATRACA DE CORDOALHA 750Kg</t>
  </si>
  <si>
    <t>CAVADEIRA ARTICULADA</t>
  </si>
  <si>
    <t>CHAVE BIELA 13</t>
  </si>
  <si>
    <t>CHAVE BOCA /ESTRIA 15MM</t>
  </si>
  <si>
    <t>CHAVE BOCA/ESTRIA 1.1/16</t>
  </si>
  <si>
    <t>CHAVE BOCA/ESTRIA 1/4</t>
  </si>
  <si>
    <t>CHAVE BOCA/ESTRIA 13MM</t>
  </si>
  <si>
    <t>CHAVE BOCA/ESTRIA 3/8</t>
  </si>
  <si>
    <t>CHAVE BOCA/ESTRIA 5/16</t>
  </si>
  <si>
    <t>CHAVE BOCA/ESTRIA 7/16</t>
  </si>
  <si>
    <t>CHAVE BOCA/ESTRIA 7/8</t>
  </si>
  <si>
    <t>CHAVE CANHAO 1/2</t>
  </si>
  <si>
    <t>CHAVE CANHAO 1/4</t>
  </si>
  <si>
    <t>CHAVE CANHAO 1/8</t>
  </si>
  <si>
    <t>CHAVE CANHÃO 10</t>
  </si>
  <si>
    <t>CHAVE CANHÃO 10 MM</t>
  </si>
  <si>
    <t>CHAVE CANHÃO 11</t>
  </si>
  <si>
    <t>CHAVE CANHÃO 12</t>
  </si>
  <si>
    <t>CHAVE CANHAO 13 MM</t>
  </si>
  <si>
    <t>CHAVE CANHAO 3/16</t>
  </si>
  <si>
    <t>CHAVE CANHAO 3/8</t>
  </si>
  <si>
    <t>CHAVE CANHAO 5/16</t>
  </si>
  <si>
    <t>CHAVE CANHAO 5MM</t>
  </si>
  <si>
    <t>CHAVE CANHAO 6</t>
  </si>
  <si>
    <t>CHAVE CANHAO 7/16</t>
  </si>
  <si>
    <t>CHAVE CANHAO 7/32</t>
  </si>
  <si>
    <t>CHAVE CANHÃO 9</t>
  </si>
  <si>
    <t>CHAVE COMBINADA 23MM</t>
  </si>
  <si>
    <t>CHAVE COMBINADA 27MM</t>
  </si>
  <si>
    <t>CHAVE DE BOCA 10/11</t>
  </si>
  <si>
    <t>CHAVE DE FENDA 1/4</t>
  </si>
  <si>
    <t>CHAVE DE FENDA 1/8</t>
  </si>
  <si>
    <t>CHAVE DE FENDA 3/16</t>
  </si>
  <si>
    <t>CHAVE DE FENDA 5/16X10</t>
  </si>
  <si>
    <t>CHAVE DE FENDA GIGANTE</t>
  </si>
  <si>
    <t>CHAVE DE TORQUE PARA CONECTOR RG 596</t>
  </si>
  <si>
    <t>CHAVE INGLESA 12MM</t>
  </si>
  <si>
    <t>CHAVE PHILIPS 1/4</t>
  </si>
  <si>
    <t>CHAVE PHILIPS 1/8</t>
  </si>
  <si>
    <t>CHAVE PHILIPS 3/16</t>
  </si>
  <si>
    <t>CHAVE PHILIPS 3/8</t>
  </si>
  <si>
    <t>CHAVE PHILIPS 5/16</t>
  </si>
  <si>
    <t>CLIVADOR LOCADO REDEX EASY</t>
  </si>
  <si>
    <t>COLETE REFLETIVO DE SEGURANÇA TP BLUSÃO</t>
  </si>
  <si>
    <t>COLHER DE PEDREIRO</t>
  </si>
  <si>
    <t>CORTADOR LONGITUDINAL DE TUBOLOOSE</t>
  </si>
  <si>
    <t>DESEMPENADEIRA</t>
  </si>
  <si>
    <t>EMPILHADEIRA ELETRICA PATOLADA HELI</t>
  </si>
  <si>
    <t>ENROLADEIRA/DESENROLADEIRA</t>
  </si>
  <si>
    <t>ENXADA</t>
  </si>
  <si>
    <t>ENXADA COM CABO</t>
  </si>
  <si>
    <t>ENXADA ESTREITA</t>
  </si>
  <si>
    <t>ESCADA 7,20 MTS</t>
  </si>
  <si>
    <t>ESCADA DE FIBRA 10,20 M</t>
  </si>
  <si>
    <t>ESPONJA DE PEDREIRO</t>
  </si>
  <si>
    <t>EXTENSÃO 30 MTS</t>
  </si>
  <si>
    <t>FACAO</t>
  </si>
  <si>
    <t>FOICE ROÇADEIRA</t>
  </si>
  <si>
    <t>GABARITO AZUL (CLIVADOR)</t>
  </si>
  <si>
    <t>GANCHO PARA CAIXA SUBTERRANEA</t>
  </si>
  <si>
    <t>GRADE DE PROTEÇÃO</t>
  </si>
  <si>
    <t>GUARDA SOL ARTICULÁVEL</t>
  </si>
  <si>
    <t>GUIA DE FIBRA 100 MTS (PEQUENA)</t>
  </si>
  <si>
    <t>GUIA DE FIBRA 300 M</t>
  </si>
  <si>
    <t>IDENTIFICADOR DE FIBRA ATIVA</t>
  </si>
  <si>
    <t>JOGO DE CHAVE COMBINADA 8 PÇS DE 9 A 17 (SEM 16)</t>
  </si>
  <si>
    <t>JG</t>
  </si>
  <si>
    <t>kIT MOLDES VAZADO PINTURA Nº LETRAS ESTAC. 10CM</t>
  </si>
  <si>
    <t>KIT</t>
  </si>
  <si>
    <t>LENÇO DE LIMPEZA FIBRA ÓPTICA</t>
  </si>
  <si>
    <t>CX</t>
  </si>
  <si>
    <t>MACHADO 3,5</t>
  </si>
  <si>
    <t>MAQUINA DE ESPINAR DUPLA (ALUGADA)</t>
  </si>
  <si>
    <t>MARRETA 5 KG</t>
  </si>
  <si>
    <t>MASSEIRA PVC 500LTS</t>
  </si>
  <si>
    <t>MESA DE FERRO</t>
  </si>
  <si>
    <t>OTDR SMART VIAVI</t>
  </si>
  <si>
    <t>PÁ DE BICO</t>
  </si>
  <si>
    <t>PALETEIRA HIDRAULICA</t>
  </si>
  <si>
    <t>PALETEIRA HIDRÁULICA</t>
  </si>
  <si>
    <t>PE DE CABRA LISO</t>
  </si>
  <si>
    <t>PENDRIVE 1GB</t>
  </si>
  <si>
    <t>PENDRIVE 4 GB</t>
  </si>
  <si>
    <t>PERNEIRA PVC</t>
  </si>
  <si>
    <t>PICARETA COM CABO</t>
  </si>
  <si>
    <t>PONTEIRA 3/4</t>
  </si>
  <si>
    <t>PONTEIRO AÇO REDONDO 10</t>
  </si>
  <si>
    <t>REFIL ETIQUETADORA</t>
  </si>
  <si>
    <t>REFIL P/ MINI MAÇARICO DESCARTAVEL</t>
  </si>
  <si>
    <t>REFLETOR DE LED</t>
  </si>
  <si>
    <t>REFLETOR HOLOFOTE - GT111</t>
  </si>
  <si>
    <t>ROLETADOR DE CABO</t>
  </si>
  <si>
    <t>ROLETADOR DE TUBO LOOSE</t>
  </si>
  <si>
    <t>ROTULADOR ELETRONICO DYMO LABEL LM500TS T. SCREEN</t>
  </si>
  <si>
    <t>ROTULADOR PT70 BROTHER</t>
  </si>
  <si>
    <t>ROTULADOR PT95 BROTHER</t>
  </si>
  <si>
    <t>TESOURA DE CABISTA</t>
  </si>
  <si>
    <t>TESOURA PARA CORTAR CHAPA</t>
  </si>
  <si>
    <t>TESOURÃO 30 P/ CORTE DE CORDOALHA</t>
  </si>
  <si>
    <t>TRENA DE BOLSO 5 MTS</t>
  </si>
  <si>
    <t>TRENA RODINHA</t>
  </si>
  <si>
    <t>TRINCHA 3/4 19mm REF 520</t>
  </si>
  <si>
    <t>TRINCHA GRANDE 2</t>
  </si>
  <si>
    <t>TRINCHA VERMELHA 302</t>
  </si>
  <si>
    <t>BOLSA DE LONA PARA KIT LINHA DE VIDA</t>
  </si>
  <si>
    <t>BOTA BORRACHA PVC 38</t>
  </si>
  <si>
    <t>BOTA BORRACHA PVC 40</t>
  </si>
  <si>
    <t>BOTA BORRACHA PVC 43</t>
  </si>
  <si>
    <t>BOTA DE COURO SEM CADARÇO TAM. 47</t>
  </si>
  <si>
    <t>CALÇA JEANS COM LOGO FFA 38</t>
  </si>
  <si>
    <t>CALÇA JEANS COM LOGO FFA 44</t>
  </si>
  <si>
    <t>CAMISA GOLA POLO CLARO VERMELHO - EXG</t>
  </si>
  <si>
    <t>CAMISA GOLA POLO CLARO VERMELHO - EXG1</t>
  </si>
  <si>
    <t>CAMISA GOLA POLO CLARO VERMELHO - G</t>
  </si>
  <si>
    <t>CAMISA GOLA POLO CLARO VERMELHO - GG</t>
  </si>
  <si>
    <t>CAMISA GOLA POLO CLARO VERMELHO - M</t>
  </si>
  <si>
    <t>CAMISA GOLA POLO CLARO VERMELHO - P</t>
  </si>
  <si>
    <t>CAMISA GOLA POLO CLARO VERMELHO - XG</t>
  </si>
  <si>
    <t>CAMISA MALHA PV AZUL ROYAL P</t>
  </si>
  <si>
    <t>CAMISA SOCIAL SUPERVISOR CLARO IAT G</t>
  </si>
  <si>
    <t>CANETA DETECTORA DE TENSÃO 90 - 1000V</t>
  </si>
  <si>
    <t>CINTO SEG. PQD C/3 PONTAS E PROT. LOMBAR -TAM 03</t>
  </si>
  <si>
    <t>CINTO SEG. PQD C/3 PONTAS E PROT. LOMBAR-APASEG</t>
  </si>
  <si>
    <t>CORDA DE NYLON</t>
  </si>
  <si>
    <t>FITA DE ANCORAGEM PARA ESCADA C/ ABS</t>
  </si>
  <si>
    <t>FITA DE SINALIZAÇÃO ZEBRADA</t>
  </si>
  <si>
    <t>GARRAFA TERMICA 5 LTS</t>
  </si>
  <si>
    <t>LUVA NITRILICA FOR. VERDE T10 CA41819 IMBAT</t>
  </si>
  <si>
    <t>LUVA PVC FORRADA ASPERA 35CM PLASTCOR CA 34570</t>
  </si>
  <si>
    <t>MACACAO PROTECAO QUIM XG BR. CA42194 IMBAT</t>
  </si>
  <si>
    <t>MANQUITO PROTETOR DE BRAÇO</t>
  </si>
  <si>
    <t>PERNEIRA COM VELCRO BIDIMM / ENGATE CA</t>
  </si>
  <si>
    <t>E1001525</t>
  </si>
  <si>
    <t>TALABARTE DE POSICIONAMENTO REGULÁVEL-(APA SEG).</t>
  </si>
  <si>
    <t>TRAVA QUEDAS MOD DOBRADIÇA CORDA 12M</t>
  </si>
  <si>
    <t>Codmat</t>
  </si>
  <si>
    <t>1006924</t>
  </si>
  <si>
    <t>ABAFADOR RUIDO TIPO CONCHA</t>
  </si>
  <si>
    <t>1001663</t>
  </si>
  <si>
    <t>1001268</t>
  </si>
  <si>
    <t>ALICATE AMPERÍMETRO</t>
  </si>
  <si>
    <t>1001719</t>
  </si>
  <si>
    <t>ALICATE COMPRESSÃO  P/ CABO COAXIAL RG11</t>
  </si>
  <si>
    <t>1001962</t>
  </si>
  <si>
    <t>ALICATE CORTA E DESENCAPA CABO (BANANA)</t>
  </si>
  <si>
    <t>1000032</t>
  </si>
  <si>
    <t>1000033</t>
  </si>
  <si>
    <t>1001306</t>
  </si>
  <si>
    <t>1000035</t>
  </si>
  <si>
    <t>1000036</t>
  </si>
  <si>
    <t>1008878</t>
  </si>
  <si>
    <t>ALICATE DECAPADOR COAXIAL RG6/RG7</t>
  </si>
  <si>
    <t>1000037</t>
  </si>
  <si>
    <t>9000010</t>
  </si>
  <si>
    <t>1001410</t>
  </si>
  <si>
    <t>ALICATE GRIMPADOR RJ-11</t>
  </si>
  <si>
    <t>1001411</t>
  </si>
  <si>
    <t>ALICATE GRIMPADOR RJ-45</t>
  </si>
  <si>
    <t>1001260</t>
  </si>
  <si>
    <t>1001588</t>
  </si>
  <si>
    <t>ALICATE REBITADOR</t>
  </si>
  <si>
    <t>1000039</t>
  </si>
  <si>
    <t>1002369</t>
  </si>
  <si>
    <t>ANCORAAGEM EM LONGARINA FITA KIIT LINHA DE VIDA</t>
  </si>
  <si>
    <t>1001029</t>
  </si>
  <si>
    <t>1000043</t>
  </si>
  <si>
    <t>1001262</t>
  </si>
  <si>
    <t>1001872</t>
  </si>
  <si>
    <t>BOBINA FIBRA OPTICA P/ TESTE C/ OTDR PRO-O</t>
  </si>
  <si>
    <t>1001864</t>
  </si>
  <si>
    <t>BOLSA DE LONA PARA  KIT LINHA DE VIDA</t>
  </si>
  <si>
    <t>1002376</t>
  </si>
  <si>
    <t>BOLSA DE NYLON P/ KIT LINHA DE VIDA</t>
  </si>
  <si>
    <t>1002377</t>
  </si>
  <si>
    <t>BOLSA P/ CORDA KIT LINHA DE VIDA</t>
  </si>
  <si>
    <t>1001521</t>
  </si>
  <si>
    <t>BOTA BORRACHA PVC  38</t>
  </si>
  <si>
    <t>1001522</t>
  </si>
  <si>
    <t>BOTA BORRACHA PVC  39</t>
  </si>
  <si>
    <t>1001523</t>
  </si>
  <si>
    <t>BOTA BORRACHA PVC  40</t>
  </si>
  <si>
    <t>1001524</t>
  </si>
  <si>
    <t>BOTA BORRACHA PVC  41</t>
  </si>
  <si>
    <t>1001525</t>
  </si>
  <si>
    <t>BOTA BORRACHA PVC  42</t>
  </si>
  <si>
    <t>1001526</t>
  </si>
  <si>
    <t>BOTA BORRACHA PVC  43</t>
  </si>
  <si>
    <t>1001527</t>
  </si>
  <si>
    <t>BOTA BORRACHA PVC  44</t>
  </si>
  <si>
    <t>1001529</t>
  </si>
  <si>
    <t>BOTA BORRACHA PVC  46</t>
  </si>
  <si>
    <t>1001248</t>
  </si>
  <si>
    <t>1001249</t>
  </si>
  <si>
    <t>1000068</t>
  </si>
  <si>
    <t>1000069</t>
  </si>
  <si>
    <t>1000070</t>
  </si>
  <si>
    <t>1000071</t>
  </si>
  <si>
    <t>1000072</t>
  </si>
  <si>
    <t>1000073</t>
  </si>
  <si>
    <t>1000074</t>
  </si>
  <si>
    <t>1000075</t>
  </si>
  <si>
    <t>1000076</t>
  </si>
  <si>
    <t>1001895</t>
  </si>
  <si>
    <t>1002361</t>
  </si>
  <si>
    <t>1002362</t>
  </si>
  <si>
    <t>1006802</t>
  </si>
  <si>
    <t>BOTA ELASTICA BIDENSIDADE BICO PVC - 41</t>
  </si>
  <si>
    <t>1000814</t>
  </si>
  <si>
    <t>BROCA 10MM WIDEA (CONCRETO)</t>
  </si>
  <si>
    <t>1008891</t>
  </si>
  <si>
    <t>BROCA 3 PONTAS P/ MADEIRA 10MM</t>
  </si>
  <si>
    <t>1002184</t>
  </si>
  <si>
    <t>BROCA 3 PONTAS P/ MADEIRA 6MM</t>
  </si>
  <si>
    <t>1001986</t>
  </si>
  <si>
    <t>BROCA 3 PONTAS P/ MADEIRA 8MM</t>
  </si>
  <si>
    <t>1000082</t>
  </si>
  <si>
    <t>1001936</t>
  </si>
  <si>
    <t>BROCA AÇO RAPIDO 3/16</t>
  </si>
  <si>
    <t>1002284</t>
  </si>
  <si>
    <t>BROCA AÇO RAPIDO 4MM</t>
  </si>
  <si>
    <t>1001456</t>
  </si>
  <si>
    <t>BROCA AÇO RAPIDO 6MM</t>
  </si>
  <si>
    <t>1002244</t>
  </si>
  <si>
    <t>BROCA AÇO RAPIDO 8MM</t>
  </si>
  <si>
    <t>1001712</t>
  </si>
  <si>
    <t>1001702</t>
  </si>
  <si>
    <t>1001701</t>
  </si>
  <si>
    <t>1001686</t>
  </si>
  <si>
    <t>1001305</t>
  </si>
  <si>
    <t>1001680</t>
  </si>
  <si>
    <t>1001941</t>
  </si>
  <si>
    <t>1006916</t>
  </si>
  <si>
    <t>BROCA DE WIDEA PARA CONCRETO 6MM</t>
  </si>
  <si>
    <t>1002196</t>
  </si>
  <si>
    <t>BROCA DE WIDEA PARAC ONCRETO 10X120MM</t>
  </si>
  <si>
    <t>1002095</t>
  </si>
  <si>
    <t>BROCA SDS PLUS 10x350MM</t>
  </si>
  <si>
    <t>1001704</t>
  </si>
  <si>
    <t>1000086</t>
  </si>
  <si>
    <t>BROCA WIDEA 10MM 400/350MM</t>
  </si>
  <si>
    <t>1002144</t>
  </si>
  <si>
    <t>1000089</t>
  </si>
  <si>
    <t>1001703</t>
  </si>
  <si>
    <t>1001457</t>
  </si>
  <si>
    <t>BROCA WIDIA 06X100MM 1/4</t>
  </si>
  <si>
    <t>1000095</t>
  </si>
  <si>
    <t>BROCA WIDIA 8MM</t>
  </si>
  <si>
    <t>1002273</t>
  </si>
  <si>
    <t>CALÇA CINZA VIVO  C/ FAIXA REFLETIVA - G</t>
  </si>
  <si>
    <t>1002274</t>
  </si>
  <si>
    <t>CALÇA CINZA VIVO  C/ FAIXA REFLETIVA - GG</t>
  </si>
  <si>
    <t>1002275</t>
  </si>
  <si>
    <t>CALÇA CINZA VIVO C/ FAIXA REFLETIVA - M</t>
  </si>
  <si>
    <t>1002302</t>
  </si>
  <si>
    <t>CALÇA CINZA VIVO C/ FAIXA REFLETIVA - XG</t>
  </si>
  <si>
    <t>1002140</t>
  </si>
  <si>
    <t>CALÇA JEANS C/ FAIXA REFLETIVA - 48</t>
  </si>
  <si>
    <t>1001992</t>
  </si>
  <si>
    <t>CALÇA JEANS C/ FAIXA REFLETIVA IHS - 38</t>
  </si>
  <si>
    <t>1001993</t>
  </si>
  <si>
    <t>CALÇA JEANS C/ FAIXA REFLETIVA IHS - 40</t>
  </si>
  <si>
    <t>1001994</t>
  </si>
  <si>
    <t>CALÇA JEANS C/ FAIXA REFLETIVA IHS - 42</t>
  </si>
  <si>
    <t>1001998</t>
  </si>
  <si>
    <t>CALÇA JEANS C/ FAIXA REFLETIVA IHS - 50</t>
  </si>
  <si>
    <t>1006798</t>
  </si>
  <si>
    <t>CALÇA JEANS C/ FAIXA REFLETIVA IHS - 54</t>
  </si>
  <si>
    <t>1000878</t>
  </si>
  <si>
    <t>CALÇA JEANS C/ FAIXA REFLETIVA IHS - 56</t>
  </si>
  <si>
    <t>1001995</t>
  </si>
  <si>
    <t>CALÇA JEANS C/ FAIXA REFLETIVA IHS – 44</t>
  </si>
  <si>
    <t>1001996</t>
  </si>
  <si>
    <t>CALÇA JEANS C/ FAIXA REFLETIVA IHS – 46</t>
  </si>
  <si>
    <t>1001997</t>
  </si>
  <si>
    <t>CALÇA JEANS C/ FAIXA REFLETIVA IHS – 48</t>
  </si>
  <si>
    <t>1001999</t>
  </si>
  <si>
    <t>CALÇA JEANS C/ FAIXA REFLETIVA IHS – 52</t>
  </si>
  <si>
    <t>1002325</t>
  </si>
  <si>
    <t>CALÇA JEANS C/ FAIXA REFLETIVA IHS G3</t>
  </si>
  <si>
    <t>1002318</t>
  </si>
  <si>
    <t>CALÇA JEANS COM FAIXA REFLETIVA IHS - GG</t>
  </si>
  <si>
    <t>1001190</t>
  </si>
  <si>
    <t>1001237</t>
  </si>
  <si>
    <t>1000140</t>
  </si>
  <si>
    <t>1000496</t>
  </si>
  <si>
    <t>CAPACETE BRANCO</t>
  </si>
  <si>
    <t>1002384</t>
  </si>
  <si>
    <t>CAPACETE BRANCO ABA TOTAL COMPLETO</t>
  </si>
  <si>
    <t>1002253</t>
  </si>
  <si>
    <t>1000495</t>
  </si>
  <si>
    <t>1000146</t>
  </si>
  <si>
    <t>1000838</t>
  </si>
  <si>
    <t>1000167</t>
  </si>
  <si>
    <t>1000837</t>
  </si>
  <si>
    <t>1000553</t>
  </si>
  <si>
    <t>1000170</t>
  </si>
  <si>
    <t>1000839</t>
  </si>
  <si>
    <t>CHAVE CANHÃO 8</t>
  </si>
  <si>
    <t>1000171</t>
  </si>
  <si>
    <t>1001218</t>
  </si>
  <si>
    <t>1001146</t>
  </si>
  <si>
    <t>1000174</t>
  </si>
  <si>
    <t>1000175</t>
  </si>
  <si>
    <t>CHAVE DE BOCA 12/13</t>
  </si>
  <si>
    <t>1002024</t>
  </si>
  <si>
    <t>CHAVE DE BOCA ESTRIA 12</t>
  </si>
  <si>
    <t>1000704</t>
  </si>
  <si>
    <t>CHAVE DE BOCA/ ESTRIA 13</t>
  </si>
  <si>
    <t>1006843</t>
  </si>
  <si>
    <t>1006844</t>
  </si>
  <si>
    <t>1006845</t>
  </si>
  <si>
    <t>1001788</t>
  </si>
  <si>
    <t>CHAVE DE FENDA 3/8</t>
  </si>
  <si>
    <t>1006846</t>
  </si>
  <si>
    <t>1000182</t>
  </si>
  <si>
    <t>1000183</t>
  </si>
  <si>
    <t>1000184</t>
  </si>
  <si>
    <t>1000185</t>
  </si>
  <si>
    <t>1001478</t>
  </si>
  <si>
    <t>CHAVE DE INSERÇÃO TYCONNC5C</t>
  </si>
  <si>
    <t>1001294</t>
  </si>
  <si>
    <t>1001263</t>
  </si>
  <si>
    <t>CHAVE DE TESTE DIGITAL COM DISPLAY</t>
  </si>
  <si>
    <t>100879</t>
  </si>
  <si>
    <t>1001707</t>
  </si>
  <si>
    <t>1001741</t>
  </si>
  <si>
    <t>1006018</t>
  </si>
  <si>
    <t>CINTO PQD F.REFLET C/6 PONTOS 140KG</t>
  </si>
  <si>
    <t>1000204</t>
  </si>
  <si>
    <t>1002341</t>
  </si>
  <si>
    <t>CINTO SEG. PQD C/3 PONTAS E PROT. LOMBAR -TAM 02</t>
  </si>
  <si>
    <t>1002262</t>
  </si>
  <si>
    <t>1000205</t>
  </si>
  <si>
    <t>9000020</t>
  </si>
  <si>
    <t>1001045</t>
  </si>
  <si>
    <t>30001276</t>
  </si>
  <si>
    <t>CLIVADOR FUJIKURA CT08</t>
  </si>
  <si>
    <t>30001280</t>
  </si>
  <si>
    <t>9000059</t>
  </si>
  <si>
    <t>CLIVADOR SUMITOMO / RG-600</t>
  </si>
  <si>
    <t>2000456</t>
  </si>
  <si>
    <t>1000206</t>
  </si>
  <si>
    <t>1001254</t>
  </si>
  <si>
    <t>1000208</t>
  </si>
  <si>
    <t>1000209</t>
  </si>
  <si>
    <t>CONE SINALIZAÇÃO PEQUENO - LARANJA/BRANCO</t>
  </si>
  <si>
    <t>1002030</t>
  </si>
  <si>
    <t>CONE SINALIZAÇÃO PEQUENO - PRETO/AMARELO</t>
  </si>
  <si>
    <t>1002368</t>
  </si>
  <si>
    <t>CORDA SEMI ESTATICA 12MM C/ 7M  KIT LINHA DE VIDA</t>
  </si>
  <si>
    <t>1001234</t>
  </si>
  <si>
    <t>CORREIA PARA ESCADA</t>
  </si>
  <si>
    <t>1001718</t>
  </si>
  <si>
    <t>1000481</t>
  </si>
  <si>
    <t>1001299</t>
  </si>
  <si>
    <t>D1000284</t>
  </si>
  <si>
    <t>DEF-FURADEIRA - IMPACTO</t>
  </si>
  <si>
    <t>E1006150</t>
  </si>
  <si>
    <t>DEF-LUVA MULTITATO PU</t>
  </si>
  <si>
    <t>D1000417</t>
  </si>
  <si>
    <t>DEF-POWER MEETER</t>
  </si>
  <si>
    <t>E1001663</t>
  </si>
  <si>
    <t>DET-ADAPTADOR P/ CONECTOR SC-APC (POWER METER)</t>
  </si>
  <si>
    <t>E1001719</t>
  </si>
  <si>
    <t>DET-ALICATE COMPRESSÃO  P/ CABO COAXIAL RG11</t>
  </si>
  <si>
    <t>E1000032</t>
  </si>
  <si>
    <t>DET-ALICATE DE BICO 6</t>
  </si>
  <si>
    <t>E1000033</t>
  </si>
  <si>
    <t>DET-ALICATE DE CORTE 6</t>
  </si>
  <si>
    <t>E1001306</t>
  </si>
  <si>
    <t>DET-ALICATE DE GRIMPAR RJ11 / RJ45</t>
  </si>
  <si>
    <t>E1000036</t>
  </si>
  <si>
    <t>DET-ALICATE DE PRESSÃO RG6</t>
  </si>
  <si>
    <t>E1008878</t>
  </si>
  <si>
    <t>DET-ALICATE DECAPADOR COAXIAL RG6/RG7</t>
  </si>
  <si>
    <t>E1000037</t>
  </si>
  <si>
    <t>DET-ALICATE DESCAPADOR DE FIBRA OPTICA</t>
  </si>
  <si>
    <t>E1000039</t>
  </si>
  <si>
    <t>DET-ALICATE UNIVERSAL 8</t>
  </si>
  <si>
    <t>E1001029</t>
  </si>
  <si>
    <t>DET-ARCO DE SERRA</t>
  </si>
  <si>
    <t>E1000043</t>
  </si>
  <si>
    <t>DET-ARCO DE SERRA COM SERRA</t>
  </si>
  <si>
    <t>E1001262</t>
  </si>
  <si>
    <t>DET-BICO P/ MAÇARICO PORTATIL A GAS</t>
  </si>
  <si>
    <t>E1001864</t>
  </si>
  <si>
    <t>DET-BOLSA DE LONA PARA  KIT LINHA DE VIDA</t>
  </si>
  <si>
    <t>E1001249</t>
  </si>
  <si>
    <t>DET-BOTA DE COURO SEM CADARÇO TAM. 37</t>
  </si>
  <si>
    <t>E1000068</t>
  </si>
  <si>
    <t>DET-BOTA DE COURO SEM CADARÇO TAM. 38</t>
  </si>
  <si>
    <t>E1000069</t>
  </si>
  <si>
    <t>DET-BOTA DE COURO SEM CADARÇO TAM. 39</t>
  </si>
  <si>
    <t>E1000070</t>
  </si>
  <si>
    <t>DET-BOTA DE COURO SEM CADARÇO TAM. 40</t>
  </si>
  <si>
    <t>E1000071</t>
  </si>
  <si>
    <t>DET-BOTA DE COURO SEM CADARÇO TAM. 41</t>
  </si>
  <si>
    <t>E1000072</t>
  </si>
  <si>
    <t>DET-BOTA DE COURO SEM CADARÇO TAM. 42</t>
  </si>
  <si>
    <t>E1000073</t>
  </si>
  <si>
    <t>DET-BOTA DE COURO SEM CADARÇO TAM. 43</t>
  </si>
  <si>
    <t>E1000074</t>
  </si>
  <si>
    <t>DET-BOTA DE COURO SEM CADARÇO TAM. 44</t>
  </si>
  <si>
    <t>E1000075</t>
  </si>
  <si>
    <t>DET-BOTA DE COURO SEM CADARÇO TAM. 45</t>
  </si>
  <si>
    <t>E1000076</t>
  </si>
  <si>
    <t>DET-BOTA DE COURO SEM CADARÇO TAM. 46</t>
  </si>
  <si>
    <t>E1008915</t>
  </si>
  <si>
    <t>DET-BOTA DE COURO SEM CADARÇO TAM. 49</t>
  </si>
  <si>
    <t>E1000814</t>
  </si>
  <si>
    <t>DET-BROCA 10MM WIDEA (CONCRETO)</t>
  </si>
  <si>
    <t>E1000082</t>
  </si>
  <si>
    <t>DET-BROCA 5/16 X 8 WIDIA</t>
  </si>
  <si>
    <t>E1001936</t>
  </si>
  <si>
    <t>DET-BROCA AÇO RAPIDO 3/16</t>
  </si>
  <si>
    <t>E1001712</t>
  </si>
  <si>
    <t>DET-BROCA CHATA MADEIRA  6MM X 150MM</t>
  </si>
  <si>
    <t>E1001702</t>
  </si>
  <si>
    <t>DET-BROCA CHATA MADEIRA 10 MM X 150 MM</t>
  </si>
  <si>
    <t>E1001701</t>
  </si>
  <si>
    <t>DET-BROCA CHATA MADEIRA 8 MM X 150 MM</t>
  </si>
  <si>
    <t>E1001680</t>
  </si>
  <si>
    <t>DET-BROCA DE WIDEA 10MM X 400MM ( LONGA)</t>
  </si>
  <si>
    <t>E1001941</t>
  </si>
  <si>
    <t>DET-BROCA DE WIDEA 8MM X 400MM (LONGA)</t>
  </si>
  <si>
    <t>E1001704</t>
  </si>
  <si>
    <t>DET-BROCA WIDEA 10 MM X 150 MM</t>
  </si>
  <si>
    <t>E1000089</t>
  </si>
  <si>
    <t>DET-BROCA WIDEA 6MM</t>
  </si>
  <si>
    <t>E1001703</t>
  </si>
  <si>
    <t>DET-BROCA WIDEA 8 MM X 110 MM</t>
  </si>
  <si>
    <t>E1000091</t>
  </si>
  <si>
    <t>DET-BROCA WIDEA 8MM (ENCAIXE)</t>
  </si>
  <si>
    <t>E1001457</t>
  </si>
  <si>
    <t>DET-BROCA WIDIA 06X100MM 1/4</t>
  </si>
  <si>
    <t>E1000095</t>
  </si>
  <si>
    <t>DET-BROCA WIDIA 8MM</t>
  </si>
  <si>
    <t>E1001993</t>
  </si>
  <si>
    <t>DET-CALÇA JEANS C/ FAIXA REFLETIVA IHS - 40</t>
  </si>
  <si>
    <t>E1001994</t>
  </si>
  <si>
    <t>DET-CALÇA JEANS C/ FAIXA REFLETIVA IHS - 42</t>
  </si>
  <si>
    <t>E1001998</t>
  </si>
  <si>
    <t>DET-CALÇA JEANS C/ FAIXA REFLETIVA IHS - 50</t>
  </si>
  <si>
    <t>E1001995</t>
  </si>
  <si>
    <t>DET-CALÇA JEANS C/ FAIXA REFLETIVA IHS – 44</t>
  </si>
  <si>
    <t>E1001996</t>
  </si>
  <si>
    <t>DET-CALÇA JEANS C/ FAIXA REFLETIVA IHS – 46</t>
  </si>
  <si>
    <t>E1001997</t>
  </si>
  <si>
    <t>DET-CALÇA JEANS C/ FAIXA REFLETIVA IHS – 48</t>
  </si>
  <si>
    <t>E1002273</t>
  </si>
  <si>
    <t>DET-CALÇA VIVO C/ FAIXA REFLETIVA - G</t>
  </si>
  <si>
    <t>E1002275</t>
  </si>
  <si>
    <t>DET-CALÇA VIVO C/ FAIXA REFLETIVA - M</t>
  </si>
  <si>
    <t>E1001190</t>
  </si>
  <si>
    <t>DET-CAPACETE ABA TOTAL AZESC</t>
  </si>
  <si>
    <t>E1000496</t>
  </si>
  <si>
    <t>DET-CAPACETE BRANCO</t>
  </si>
  <si>
    <t>E1000146</t>
  </si>
  <si>
    <t>DET-CARNEIRA P/CAPACETE</t>
  </si>
  <si>
    <t>E1000838</t>
  </si>
  <si>
    <t>DET-CHAVE CANHÃO 10</t>
  </si>
  <si>
    <t>E1000167</t>
  </si>
  <si>
    <t>DET-CHAVE CANHÃO 10 MM</t>
  </si>
  <si>
    <t>E1000170</t>
  </si>
  <si>
    <t>DET-CHAVE CANHÃO 7 MM</t>
  </si>
  <si>
    <t>E1000171</t>
  </si>
  <si>
    <t>DET-CHAVE CANHÃO 8 MM</t>
  </si>
  <si>
    <t>E1001146</t>
  </si>
  <si>
    <t>DET-CHAVE DE ARMÁRIO TRIANGULAR</t>
  </si>
  <si>
    <t>E1006843</t>
  </si>
  <si>
    <t>DET-CHAVE DE FENDA 1/4</t>
  </si>
  <si>
    <t>E1006844</t>
  </si>
  <si>
    <t>DET-CHAVE DE FENDA 1/8</t>
  </si>
  <si>
    <t>E1006845</t>
  </si>
  <si>
    <t>DET-CHAVE DE FENDA 3/16</t>
  </si>
  <si>
    <t>E1000183</t>
  </si>
  <si>
    <t>DET-CHAVE DE FENDA GRANDE</t>
  </si>
  <si>
    <t>E1000184</t>
  </si>
  <si>
    <t>DET-CHAVE DE FENDA MEDIA</t>
  </si>
  <si>
    <t>E1000185</t>
  </si>
  <si>
    <t>DET-CHAVE DE FENDA PEQUENA</t>
  </si>
  <si>
    <t>E1001707</t>
  </si>
  <si>
    <t>DET-CHAVE MINI TRAP ST1 P/ CONECTOR RG 59/6 F-7/16</t>
  </si>
  <si>
    <t>E1001741</t>
  </si>
  <si>
    <t>DET-CHAVE TORQUE PARA CONECTOR 20K</t>
  </si>
  <si>
    <t>E1006018</t>
  </si>
  <si>
    <t>DET-CINTO PQD F.REFLET C/6 PONTOS 140KG</t>
  </si>
  <si>
    <t>E1000204</t>
  </si>
  <si>
    <t>DET-CINTO SEG. PQD C/3 PONTAS E PROT. LOMBAR-APASEG</t>
  </si>
  <si>
    <t>E1000205</t>
  </si>
  <si>
    <t>DET-CLIVADOR DE PRECISÃO OPTICO</t>
  </si>
  <si>
    <t>E9000020</t>
  </si>
  <si>
    <t>E1001045</t>
  </si>
  <si>
    <t>DET-CLIVADOR FIBER CLEAVER</t>
  </si>
  <si>
    <t>E1001114</t>
  </si>
  <si>
    <t>DET-CLIVADOR FIBER CLIVER Nº 01238</t>
  </si>
  <si>
    <t>E30001276</t>
  </si>
  <si>
    <t>DET-CLIVADOR FUJIKURA CT08</t>
  </si>
  <si>
    <t>E30001280</t>
  </si>
  <si>
    <t>DET-CLIVADOR LOCADO REDEX EASY</t>
  </si>
  <si>
    <t>E840-1700-6</t>
  </si>
  <si>
    <t>DET-CLIVADOR MANUAL</t>
  </si>
  <si>
    <t>E9000058</t>
  </si>
  <si>
    <t>DET-CLIVADOR SUMITOMO FC - 65</t>
  </si>
  <si>
    <t>E2000456</t>
  </si>
  <si>
    <t>DET-COLETE REFLETIVO DE SEGURANÇA TP BLUSÃO</t>
  </si>
  <si>
    <t>E1000206</t>
  </si>
  <si>
    <t>DET-COLETE REFLETIVO TP X NOTURNO</t>
  </si>
  <si>
    <t>E1001254</t>
  </si>
  <si>
    <t>DET-CONE REFLETIVO GRANDE</t>
  </si>
  <si>
    <t>E1000208</t>
  </si>
  <si>
    <t>DET-CONE SINALIZAÇÃO GRANDE</t>
  </si>
  <si>
    <t>E1000209</t>
  </si>
  <si>
    <t>DET-CONE SINALIZAÇÃO PEQUENO - LARANJA/BRANCO</t>
  </si>
  <si>
    <t>E1001718</t>
  </si>
  <si>
    <t>DET-DECAPADOR DE CABO COAXIAL CANETA AMARELA RG11</t>
  </si>
  <si>
    <t>E1000481</t>
  </si>
  <si>
    <t>DET-DECAPADOR DE CABOS</t>
  </si>
  <si>
    <t>E1001299</t>
  </si>
  <si>
    <t>DET-DECAPADOR PARA CABO DROP</t>
  </si>
  <si>
    <t>E1002224</t>
  </si>
  <si>
    <t>DET-DISCO DE CORTE  PARA ESMERILHADEIRA</t>
  </si>
  <si>
    <t>E1001488</t>
  </si>
  <si>
    <t>DET-ESCADA 5 DEGRAUS DOMESTICA</t>
  </si>
  <si>
    <t>E1001071</t>
  </si>
  <si>
    <t>DET-ESCADA 7 METROS</t>
  </si>
  <si>
    <t>E1001284</t>
  </si>
  <si>
    <t>DET-ESCADA 7,20 MTS</t>
  </si>
  <si>
    <t>E1006902</t>
  </si>
  <si>
    <t>DET-ESCADA ALUMINIO FIBRA DEGRAU D-24 4,50X7,50M</t>
  </si>
  <si>
    <t>E1000243</t>
  </si>
  <si>
    <t>DET-ESCADA DE FIBRA EXTENSIVEL 3,60 X 6,00</t>
  </si>
  <si>
    <t>E1002207</t>
  </si>
  <si>
    <t>DET-ESMERILHADEIRA LIXADEIRA ANGULAR  4 12 POL 850W</t>
  </si>
  <si>
    <t>E1001851</t>
  </si>
  <si>
    <t>DET-FITA CARTRACA LINHA DE VIDA</t>
  </si>
  <si>
    <t>E1001855</t>
  </si>
  <si>
    <t>DET-FITA DE ANCORAGEM PARA ESCADA C/ ABS</t>
  </si>
  <si>
    <t>E1000277</t>
  </si>
  <si>
    <t>DET-FITA ZEBRADA 160M</t>
  </si>
  <si>
    <t>E1000261</t>
  </si>
  <si>
    <t>DET-FITA ZEBRADA 200 MTS OT/AM</t>
  </si>
  <si>
    <t>E1006179</t>
  </si>
  <si>
    <t>DET-FREIO ABS PARA LINHA DE VIDA</t>
  </si>
  <si>
    <t>E1000284</t>
  </si>
  <si>
    <t>DET-FURADEIRA - IMPACTO</t>
  </si>
  <si>
    <t>E1002270</t>
  </si>
  <si>
    <t>DET-FURADEIRA HAMMER 700W</t>
  </si>
  <si>
    <t>E1001940</t>
  </si>
  <si>
    <t>DET-FURADEIRA SKIL MODELO 6662 550W 127V</t>
  </si>
  <si>
    <t>E1001668</t>
  </si>
  <si>
    <t>DET-GABARITO AZUL  (CLIVADOR)</t>
  </si>
  <si>
    <t>E1006820</t>
  </si>
  <si>
    <t>DET-GERADOR A GASOLINA 3.6 KV MONOF  PARTIDA  MANUAL</t>
  </si>
  <si>
    <t>E1001723</t>
  </si>
  <si>
    <t>DET-GERADOR PORTATIL GASOLINA</t>
  </si>
  <si>
    <t>E1000292</t>
  </si>
  <si>
    <t>DET-GRADE DE PROTEÇÃO</t>
  </si>
  <si>
    <t>E1001705</t>
  </si>
  <si>
    <t>DET-JOGO CHAVE ALLEN C/ 25 PÇS</t>
  </si>
  <si>
    <t>E1000536</t>
  </si>
  <si>
    <t>DET-JOGO DE CHAVES ALLEN</t>
  </si>
  <si>
    <t>E1000305</t>
  </si>
  <si>
    <t>DET-JUGULAR P/CAPACETE</t>
  </si>
  <si>
    <t>E1001049</t>
  </si>
  <si>
    <t>DET-LAMINA DE SERRA</t>
  </si>
  <si>
    <t>E1000319</t>
  </si>
  <si>
    <t>DET-LANTERNA</t>
  </si>
  <si>
    <t>E1001660</t>
  </si>
  <si>
    <t>DET-LANTERNA PARA CABEÇA</t>
  </si>
  <si>
    <t>E1000321</t>
  </si>
  <si>
    <t>DET-LANTERNA RECARREGÁVEL DE TESTA</t>
  </si>
  <si>
    <t>E1000665</t>
  </si>
  <si>
    <t>DET-LUVA DE MALHA PIGMENTADA</t>
  </si>
  <si>
    <t>E1000327</t>
  </si>
  <si>
    <t>DET-LUVA DE VAQUETA MISTA CANO CURTO</t>
  </si>
  <si>
    <t>D1006150</t>
  </si>
  <si>
    <t>DET-LUVA MULTITATO PU</t>
  </si>
  <si>
    <t>E1001199</t>
  </si>
  <si>
    <t>DET-LUVA VAQUETA MISA C/ LONGO</t>
  </si>
  <si>
    <t>E1000332</t>
  </si>
  <si>
    <t>DET-LUVA VAQUETA MISTA CANO CURTO</t>
  </si>
  <si>
    <t>E1002249</t>
  </si>
  <si>
    <t>DET-MACACAO PROTECAO QUIM XG BR. CA42194 IMBAT</t>
  </si>
  <si>
    <t>E1002282</t>
  </si>
  <si>
    <t>DET-MANQUITO PROTETOR DE BRAÇO</t>
  </si>
  <si>
    <t>E1000339</t>
  </si>
  <si>
    <t>DET-MAQUINA DE FUSÃO</t>
  </si>
  <si>
    <t>E9000008</t>
  </si>
  <si>
    <t>DET-MAQUINA DE FUSAO (ALUGADA)</t>
  </si>
  <si>
    <t>E1001280</t>
  </si>
  <si>
    <t>DET-MAQUINA DE FUSAO C/ CLIVAD/CABO USB/CARRE VEICULAR</t>
  </si>
  <si>
    <t>E9000019</t>
  </si>
  <si>
    <t>DET-MAQUINA DE FUSÃO FUJIKURA</t>
  </si>
  <si>
    <t>E30001275</t>
  </si>
  <si>
    <t>DET-MAQUINA DE FUSÃO FUJIKURA 26S V-GROOVER</t>
  </si>
  <si>
    <t>E30001279</t>
  </si>
  <si>
    <t>DET-MAQUINA DE FUSAO LOCADA REDEX EASY</t>
  </si>
  <si>
    <t>E9000018</t>
  </si>
  <si>
    <t>DET-MAQUINA DE FUSÃO SUMITOMO</t>
  </si>
  <si>
    <t>E1000340</t>
  </si>
  <si>
    <t>DET-MAQUINA FUSIMEC</t>
  </si>
  <si>
    <t>E1001453</t>
  </si>
  <si>
    <t>DET-MARTELETE ROMPEDOR</t>
  </si>
  <si>
    <t>E1000348</t>
  </si>
  <si>
    <t>DET-MARTELO UNHA</t>
  </si>
  <si>
    <t>E1001586</t>
  </si>
  <si>
    <t>DET-MASCARA DE TECIDO LAVAVEL  (DUPLA CAMADA)</t>
  </si>
  <si>
    <t>E1006840</t>
  </si>
  <si>
    <t>DET-MASCARA RESPIRATÓRIA PFF1 S/ VÁLVULA</t>
  </si>
  <si>
    <t>E1000363</t>
  </si>
  <si>
    <t>DET-MULTIMETRO DIGITAL</t>
  </si>
  <si>
    <t>E1001562</t>
  </si>
  <si>
    <t>DET-NIVELADOR ESCADA  DE MADEIRA</t>
  </si>
  <si>
    <t>E1000366</t>
  </si>
  <si>
    <t>DET-OCULOS DE PROTEÇÃO - PRETO</t>
  </si>
  <si>
    <t>E1000367</t>
  </si>
  <si>
    <t>DET-ÓCULOS DE PROTEÇÃO INCOLOR</t>
  </si>
  <si>
    <t>E1000997</t>
  </si>
  <si>
    <t>DET-ÓCULOS INCOLOR</t>
  </si>
  <si>
    <t>E1000368</t>
  </si>
  <si>
    <t>DET-OCULOS SEGURANÇA CINZA</t>
  </si>
  <si>
    <t>E1001119</t>
  </si>
  <si>
    <t>DET-OTDR ANRITSU MT9090A/MU909015C - 058</t>
  </si>
  <si>
    <t>E9000038</t>
  </si>
  <si>
    <t>DET-OTDR SMART VIAVI</t>
  </si>
  <si>
    <t>E1008919</t>
  </si>
  <si>
    <t>DET-PARAFUSADEIRA/FURADEIRA DE  IMPACTO DHP 453 SFX8</t>
  </si>
  <si>
    <t>E1000879</t>
  </si>
  <si>
    <t>DET-PERNEIRA COM VELCRO BIDIMM / ENGATE CA</t>
  </si>
  <si>
    <t>E1001762</t>
  </si>
  <si>
    <t>DET-PERNEIRA PVC</t>
  </si>
  <si>
    <t>E1001991</t>
  </si>
  <si>
    <t>DET-POLO VERDE C/ ZIPER C/ FAIXA REFLETIVA IHS – EXG</t>
  </si>
  <si>
    <t>E1001988</t>
  </si>
  <si>
    <t>DET-POLO VERDE C/ ZIPER C/ FAIXA REFLETIVA IHS – G</t>
  </si>
  <si>
    <t>E1001989</t>
  </si>
  <si>
    <t>DET-POLO VERDE C/ ZIPER C/ FAIXA REFLETIVA IHS – GG</t>
  </si>
  <si>
    <t>E1001987</t>
  </si>
  <si>
    <t>DET-POLO VERDE C/ ZIPER C/ FAIXA REFLETIVA IHS – M</t>
  </si>
  <si>
    <t>E1006826</t>
  </si>
  <si>
    <t>DET-POLO VERDE C/ ZIPER C/ FAIXA REFLETIVA IHS – P</t>
  </si>
  <si>
    <t>E1000417</t>
  </si>
  <si>
    <t>DET-POWER MEETER</t>
  </si>
  <si>
    <t>E1001758</t>
  </si>
  <si>
    <t>DET-POWER METER PON</t>
  </si>
  <si>
    <t>E1000421</t>
  </si>
  <si>
    <t>DET-PROTETOR AURICULAR</t>
  </si>
  <si>
    <t>E1000583</t>
  </si>
  <si>
    <t>DET-PROTETOR SOLAR</t>
  </si>
  <si>
    <t>E1001674</t>
  </si>
  <si>
    <t>DET-PROTETOR SOLAR ( P FRASCO ML)</t>
  </si>
  <si>
    <t>E1000425</t>
  </si>
  <si>
    <t>DET-REFIL GÁS BUTANO P/ MINI MAÇARICO</t>
  </si>
  <si>
    <t>E1001197</t>
  </si>
  <si>
    <t>DET-REFIL P/ MINI MAÇARICO DESCARTAVEL</t>
  </si>
  <si>
    <t>E1000648</t>
  </si>
  <si>
    <t>DET-TALABARTE (APA SEG)TIPO Y DE FITA C/ABS MOSQ. 55MM</t>
  </si>
  <si>
    <t>E1000995</t>
  </si>
  <si>
    <t>DET-TALABARTE DE POSICIONAMENTO REGULÁVEL-(APA SEG).</t>
  </si>
  <si>
    <t>E1002198</t>
  </si>
  <si>
    <t>DET-TALHADEIRA PA PARA MARTELO  20/30KG</t>
  </si>
  <si>
    <t>E1001853</t>
  </si>
  <si>
    <t>DET-TRAVA QUEDAS MOD DOBRADIÇA CORDA 12M</t>
  </si>
  <si>
    <t>E1001041</t>
  </si>
  <si>
    <t>DET-TRENA DE AÇO 5MTS</t>
  </si>
  <si>
    <t>E1000470</t>
  </si>
  <si>
    <t>DET-TRENA FIBRA DE VIDRO 50M</t>
  </si>
  <si>
    <t>E10001066</t>
  </si>
  <si>
    <t>DET-TRENA RODINHA</t>
  </si>
  <si>
    <t>1002224</t>
  </si>
  <si>
    <t>DISCO DE CORTE  PARA ESMERILHADEIRA</t>
  </si>
  <si>
    <t>1001161</t>
  </si>
  <si>
    <t>DISCO MAQUITA MADEIRA</t>
  </si>
  <si>
    <t>1000235</t>
  </si>
  <si>
    <t>DISCO MAQUITAO 50mm</t>
  </si>
  <si>
    <t>1002025</t>
  </si>
  <si>
    <t>ELETRODO MAQUINA DE FUSAO</t>
  </si>
  <si>
    <t>30001278</t>
  </si>
  <si>
    <t>ELETRODO MÁQUINA DE FUSÃO FUJIKURA 26S</t>
  </si>
  <si>
    <t>1001488</t>
  </si>
  <si>
    <t>1001284</t>
  </si>
  <si>
    <t>1006902</t>
  </si>
  <si>
    <t>ESCADA ALUMINIO FIBRA DEGRAU D-24 4,50X7,50M</t>
  </si>
  <si>
    <t>1002106</t>
  </si>
  <si>
    <t>1000243</t>
  </si>
  <si>
    <t>1001946</t>
  </si>
  <si>
    <t>ESCADA DOMESTICA ALUMINIO 9 DEGRAUS</t>
  </si>
  <si>
    <t>1000245</t>
  </si>
  <si>
    <t>ESCADA EM ALUMÍNIO 7 DEGRAUS</t>
  </si>
  <si>
    <t>1002157</t>
  </si>
  <si>
    <t>ESCADA TESOURA DE FIBRA 10 DEGRAUS</t>
  </si>
  <si>
    <t>1006134</t>
  </si>
  <si>
    <t>FAIXA REFLETIVA 5 X 30 CM -  SHERMAN</t>
  </si>
  <si>
    <t>1002233</t>
  </si>
  <si>
    <t>FAIXA REFLETIVA P/ CONE INFERIOR 13X15X20CM</t>
  </si>
  <si>
    <t>1002232</t>
  </si>
  <si>
    <t>FAIXA REFLETIVA P/CONE SUPERIOR 25X10.5X30CM</t>
  </si>
  <si>
    <t>1001402</t>
  </si>
  <si>
    <t>FERRAMENTA PREP. INTERNA CABO TR. 625 CST-625</t>
  </si>
  <si>
    <t>1002370</t>
  </si>
  <si>
    <t>FITA AUX. PRUSSIC KIT  LINHA DE VIDA</t>
  </si>
  <si>
    <t>1001851</t>
  </si>
  <si>
    <t>1001855</t>
  </si>
  <si>
    <t>1002375</t>
  </si>
  <si>
    <t>FITA GUARDIA C/ PROTEÇÃO 1,20M KIT LINHA DE VIDA</t>
  </si>
  <si>
    <t>1002374</t>
  </si>
  <si>
    <t>FITA GUARDIA C/ PROTEÇÃO 2M KIT LINHA DE VIDA</t>
  </si>
  <si>
    <t>1002371</t>
  </si>
  <si>
    <t>FITA TENSIONADORA CO CATRACA G  KIT LINHA DE VIDA</t>
  </si>
  <si>
    <t>1002373</t>
  </si>
  <si>
    <t>FITA TENSIONADORA COM CATRACA P KIT LINHA DE VIDA</t>
  </si>
  <si>
    <t>1000277</t>
  </si>
  <si>
    <t>1000261</t>
  </si>
  <si>
    <t>FITA ZEBRADA 200 MTS OT/AM</t>
  </si>
  <si>
    <t>1002378</t>
  </si>
  <si>
    <t>1006179</t>
  </si>
  <si>
    <t>1000284</t>
  </si>
  <si>
    <t>1002270</t>
  </si>
  <si>
    <t>1001940</t>
  </si>
  <si>
    <t>1001668</t>
  </si>
  <si>
    <t>1002360</t>
  </si>
  <si>
    <t>GARRA MEIO DE  VÃO C/ CORDA KIT LINHA DE VIDA</t>
  </si>
  <si>
    <t>1006820</t>
  </si>
  <si>
    <t>GERADOR A GASOLINA 3.6 KV MONOF  PARTIDA  MANUAL</t>
  </si>
  <si>
    <t>1002057</t>
  </si>
  <si>
    <t>GERADOR A GASOLINA GM - 8000E 7,5 KVA</t>
  </si>
  <si>
    <t>1001723</t>
  </si>
  <si>
    <t>GERADOR PORTATIL GASOLINA</t>
  </si>
  <si>
    <t>9000048</t>
  </si>
  <si>
    <t>1000292</t>
  </si>
  <si>
    <t>1001705</t>
  </si>
  <si>
    <t>1000636</t>
  </si>
  <si>
    <t>1008885</t>
  </si>
  <si>
    <t>JOGO DE CHAVE CANHÃO 07 PEÇAS</t>
  </si>
  <si>
    <t>1002111</t>
  </si>
  <si>
    <t>1000536</t>
  </si>
  <si>
    <t>1000305</t>
  </si>
  <si>
    <t>1002208</t>
  </si>
  <si>
    <t>KIT AVENTAL MANGA E LUVA</t>
  </si>
  <si>
    <t>1002359</t>
  </si>
  <si>
    <t>KIT MALETA + 74 PEÇAS PARAFUSADEIRA PHILCO</t>
  </si>
  <si>
    <t>1001049</t>
  </si>
  <si>
    <t>LAMINA DE SERRA</t>
  </si>
  <si>
    <t>1008924</t>
  </si>
  <si>
    <t>LAMINA PARA CLIVADOR FC-6S SUMITOMO</t>
  </si>
  <si>
    <t>1000319</t>
  </si>
  <si>
    <t>1001274</t>
  </si>
  <si>
    <t>1001659</t>
  </si>
  <si>
    <t>LANTERNA GRANDE COM PILHA</t>
  </si>
  <si>
    <t>1001984</t>
  </si>
  <si>
    <t>LANTERNA NOTEBOOK USB</t>
  </si>
  <si>
    <t>1001660</t>
  </si>
  <si>
    <t>1000321</t>
  </si>
  <si>
    <t>LANTERNA RECARREGÁVEL DE TESTA</t>
  </si>
  <si>
    <t>1002164</t>
  </si>
  <si>
    <t>LUVA AÇO GALVANIZADO PESADO 11/2</t>
  </si>
  <si>
    <t>1000665</t>
  </si>
  <si>
    <t>1000327</t>
  </si>
  <si>
    <t>1006150</t>
  </si>
  <si>
    <t>1002247</t>
  </si>
  <si>
    <t>1001240</t>
  </si>
  <si>
    <t>1002248</t>
  </si>
  <si>
    <t>1001199</t>
  </si>
  <si>
    <t>1000332</t>
  </si>
  <si>
    <t>1002249</t>
  </si>
  <si>
    <t>1001151</t>
  </si>
  <si>
    <t>MAÇARICO PORTATIL</t>
  </si>
  <si>
    <t>1002282</t>
  </si>
  <si>
    <t>9000015</t>
  </si>
  <si>
    <t>MAQUINA DE FUSÃO</t>
  </si>
  <si>
    <t>1000339</t>
  </si>
  <si>
    <t>30001275</t>
  </si>
  <si>
    <t>MAQUINA DE FUSÃO FUJIKURA 26S V-GROOVER</t>
  </si>
  <si>
    <t>1000791</t>
  </si>
  <si>
    <t>MAQUINA DE FUSÃO ORIENTEK T40</t>
  </si>
  <si>
    <t>9000018</t>
  </si>
  <si>
    <t>MAQUINA DE FUSÃO SUMITOMO</t>
  </si>
  <si>
    <t>1000340</t>
  </si>
  <si>
    <t>1001453</t>
  </si>
  <si>
    <t>MARTELETE ROMPEDOR</t>
  </si>
  <si>
    <t>1000348</t>
  </si>
  <si>
    <t>1002100</t>
  </si>
  <si>
    <t>1001586</t>
  </si>
  <si>
    <t>MASCARA DE TECIDO LAVAVEL  (DUPLA CAMADA)</t>
  </si>
  <si>
    <t>1006840</t>
  </si>
  <si>
    <t>MASCARA RESPIRATÓRIA PFF1 S/ VÁLVULA</t>
  </si>
  <si>
    <t>1002372</t>
  </si>
  <si>
    <t>MOSQUETÃO  KIT LINHA DE VIDA</t>
  </si>
  <si>
    <t>1000363</t>
  </si>
  <si>
    <t>1000365</t>
  </si>
  <si>
    <t>NIVEL DE MÃO</t>
  </si>
  <si>
    <t>1001562</t>
  </si>
  <si>
    <t>NIVELADOR ESCADA  DE MADEIRA</t>
  </si>
  <si>
    <t>1000366</t>
  </si>
  <si>
    <t>1000367</t>
  </si>
  <si>
    <t>1000997</t>
  </si>
  <si>
    <t>1000368</t>
  </si>
  <si>
    <t>1001119</t>
  </si>
  <si>
    <t>OTDR ANRITSU MT9090A/MU909015C - 058</t>
  </si>
  <si>
    <t>9000038</t>
  </si>
  <si>
    <t>1001272</t>
  </si>
  <si>
    <t>OTDR WISE</t>
  </si>
  <si>
    <t>1000879</t>
  </si>
  <si>
    <t>1001762</t>
  </si>
  <si>
    <t>1006808</t>
  </si>
  <si>
    <t>POLO VERDE C/ ZIPER C/ FAIXA REFLETIVA IHS - EXG1</t>
  </si>
  <si>
    <t>1002180</t>
  </si>
  <si>
    <t>POLO VERDE C/ ZIPER C/ FAIXA REFLETIVA IHS - EXG3</t>
  </si>
  <si>
    <t>1008926</t>
  </si>
  <si>
    <t>POLO VERDE C/ ZIPER C/ FAIXA REFLETIVA IHS - G1</t>
  </si>
  <si>
    <t>1008927</t>
  </si>
  <si>
    <t>POLO VERDE C/ ZIPER C/ FAIXA REFLETIVA IHS - G2</t>
  </si>
  <si>
    <t>1001991</t>
  </si>
  <si>
    <t>POLO VERDE C/ ZIPER C/ FAIXA REFLETIVA IHS – EXG</t>
  </si>
  <si>
    <t>1001988</t>
  </si>
  <si>
    <t>POLO VERDE C/ ZIPER C/ FAIXA REFLETIVA IHS – G</t>
  </si>
  <si>
    <t>1001989</t>
  </si>
  <si>
    <t>POLO VERDE C/ ZIPER C/ FAIXA REFLETIVA IHS – GG</t>
  </si>
  <si>
    <t>1001987</t>
  </si>
  <si>
    <t>POLO VERDE C/ ZIPER C/ FAIXA REFLETIVA IHS – M</t>
  </si>
  <si>
    <t>1006826</t>
  </si>
  <si>
    <t>POLO VERDE C/ ZIPER C/ FAIXA REFLETIVA IHS – P</t>
  </si>
  <si>
    <t>1001990</t>
  </si>
  <si>
    <t>POLO VERDE C/ ZIPER C/ FAIXA REFLETIVA IHS – XG</t>
  </si>
  <si>
    <t>1000412</t>
  </si>
  <si>
    <t>PONTEIRO (MARTELETE BOSCH)</t>
  </si>
  <si>
    <t>1000797</t>
  </si>
  <si>
    <t>1001977</t>
  </si>
  <si>
    <t>PONTEIRO SDS (MARTELETE)</t>
  </si>
  <si>
    <t>9000012</t>
  </si>
  <si>
    <t>PONTEIRO SEXT. 30KG</t>
  </si>
  <si>
    <t>1001791</t>
  </si>
  <si>
    <t>PONTEIRO SEXTAVADO 30KG</t>
  </si>
  <si>
    <t>1000417</t>
  </si>
  <si>
    <t>1000700</t>
  </si>
  <si>
    <t>POWER METER ORIENTEK T25M</t>
  </si>
  <si>
    <t>1001758</t>
  </si>
  <si>
    <t>POWER METER PON</t>
  </si>
  <si>
    <t>1001782</t>
  </si>
  <si>
    <t>PRENSA CONECTOR CBCT / CBVT (MORSA)</t>
  </si>
  <si>
    <t>1000421</t>
  </si>
  <si>
    <t>1000583</t>
  </si>
  <si>
    <t>1001674</t>
  </si>
  <si>
    <t>B1001663</t>
  </si>
  <si>
    <t>REAP-ADAPTADOR P/ CONECTOR SC-APC (POWER METER)</t>
  </si>
  <si>
    <t>B1001719</t>
  </si>
  <si>
    <t>REAP-ALICATE COMPRESSÃO  P/ CABO COAXIAL RG11</t>
  </si>
  <si>
    <t>B1001962</t>
  </si>
  <si>
    <t>REAP-ALICATE CORTA E DESENCAPA CABO (BANANA)</t>
  </si>
  <si>
    <t>B1000032</t>
  </si>
  <si>
    <t>REAP-ALICATE DE BICO 6</t>
  </si>
  <si>
    <t>B1000033</t>
  </si>
  <si>
    <t>REAP-ALICATE DE CORTE 6</t>
  </si>
  <si>
    <t>B1001306</t>
  </si>
  <si>
    <t>REAP-ALICATE DE GRIMPAR RJ11 / RJ45</t>
  </si>
  <si>
    <t>B1000035</t>
  </si>
  <si>
    <t>REAP-ALICATE DE INSERÇÃO TERMINAL (BARGOA)</t>
  </si>
  <si>
    <t>B1000037</t>
  </si>
  <si>
    <t>REAP-ALICATE DESCAPADOR DE FIBRA OPTICA</t>
  </si>
  <si>
    <t>B1000039</t>
  </si>
  <si>
    <t>REAP-ALICATE UNIVERSAL 8</t>
  </si>
  <si>
    <t>B1001029</t>
  </si>
  <si>
    <t>REAP-ARCO DE SERRA</t>
  </si>
  <si>
    <t>B1001262</t>
  </si>
  <si>
    <t>REAP-BICO P/ MAÇARICO PORTATIL A GAS</t>
  </si>
  <si>
    <t>B1001864</t>
  </si>
  <si>
    <t>REAP-BOLSA DE LONA PARA  KIT LINHA DE VIDA</t>
  </si>
  <si>
    <t>B1001249</t>
  </si>
  <si>
    <t>REAP-BOTA DE COURO SEM CADARÇO TAM. 37</t>
  </si>
  <si>
    <t>B1000070</t>
  </si>
  <si>
    <t>REAP-BOTA DE COURO SEM CADARÇO TAM. 40</t>
  </si>
  <si>
    <t>B1000071</t>
  </si>
  <si>
    <t>REAP-BOTA DE COURO SEM CADARÇO TAM. 41</t>
  </si>
  <si>
    <t>B1000072</t>
  </si>
  <si>
    <t>REAP-BOTA DE COURO SEM CADARÇO TAM. 42</t>
  </si>
  <si>
    <t>B1001456</t>
  </si>
  <si>
    <t>REAP-BROCA AÇO RAPIDO 6MM</t>
  </si>
  <si>
    <t>B1001712</t>
  </si>
  <si>
    <t>REAP-BROCA CHATA MADEIRA  6MM X 150MM</t>
  </si>
  <si>
    <t>B1001686</t>
  </si>
  <si>
    <t>REAP-BROCA DE AÇO RÁPIDO 8MM</t>
  </si>
  <si>
    <t>B1001680</t>
  </si>
  <si>
    <t>REAP-BROCA DE WIDEA 10MM X 400MM ( LONGA)</t>
  </si>
  <si>
    <t>B1002144</t>
  </si>
  <si>
    <t>REAP-BROCA WIDEA 5MM</t>
  </si>
  <si>
    <t>B1000089</t>
  </si>
  <si>
    <t>REAP-BROCA WIDEA 6MM</t>
  </si>
  <si>
    <t>B1001703</t>
  </si>
  <si>
    <t>REAP-BROCA WIDEA 8 MM X 110 MM</t>
  </si>
  <si>
    <t>B1000091</t>
  </si>
  <si>
    <t>REAP-BROCA WIDEA 8MM (ENCAIXE)</t>
  </si>
  <si>
    <t>B1000095</t>
  </si>
  <si>
    <t>REAP-BROCA WIDIA 8MM</t>
  </si>
  <si>
    <t>B1002136</t>
  </si>
  <si>
    <t>REAP-CALÇA JEANS C/ FAIXA REFLETIVA - 40</t>
  </si>
  <si>
    <t>B1002137</t>
  </si>
  <si>
    <t>REAP-CALÇA JEANS C/ FAIXA REFLETIVA - 42</t>
  </si>
  <si>
    <t>B1002138</t>
  </si>
  <si>
    <t>REAP-CALÇA JEANS C/ FAIXA REFLETIVA - 44</t>
  </si>
  <si>
    <t>B1002139</t>
  </si>
  <si>
    <t>REAP-CALÇA JEANS C/ FAIXA REFLETIVA - 46</t>
  </si>
  <si>
    <t>B1001998</t>
  </si>
  <si>
    <t>REAP-CALÇA JEANS C/ FAIXA REFLETIVA IHS - 50</t>
  </si>
  <si>
    <t>B1006161</t>
  </si>
  <si>
    <t>REAP-CAMISA ANTI-CHAMA COM FAIXA REFLETIVA LIGGA EXG</t>
  </si>
  <si>
    <t>B1006158</t>
  </si>
  <si>
    <t>REAP-CAMISA ANTI-CHAMA COM FAIXA REFLETIVA LIGGA G</t>
  </si>
  <si>
    <t>B1006159</t>
  </si>
  <si>
    <t>REAP-CAMISA ANTI-CHAMA COM FAIXA REFLETIVA LIGGA GG</t>
  </si>
  <si>
    <t>B1006160</t>
  </si>
  <si>
    <t>REAP-CAMISA ANTI-CHAMA COM FAIXA REFLETIVA LIGGA XG</t>
  </si>
  <si>
    <t>B1001190</t>
  </si>
  <si>
    <t>REAP-CAPACETE ABA TOTAL AZESC</t>
  </si>
  <si>
    <t>B1000496</t>
  </si>
  <si>
    <t>REAP-CAPACETE BRANCO</t>
  </si>
  <si>
    <t>B1000146</t>
  </si>
  <si>
    <t>REAP-CARNEIRA P/CAPACETE</t>
  </si>
  <si>
    <t>B1000167</t>
  </si>
  <si>
    <t>REAP-CHAVE CANHÃO 10 MM</t>
  </si>
  <si>
    <t>B1000170</t>
  </si>
  <si>
    <t>REAP-CHAVE CANHÃO 7 MM</t>
  </si>
  <si>
    <t>B1000171</t>
  </si>
  <si>
    <t>REAP-CHAVE CANHÃO 8 MM</t>
  </si>
  <si>
    <t>B1001146</t>
  </si>
  <si>
    <t>REAP-CHAVE DE ARMÁRIO TRIANGULAR</t>
  </si>
  <si>
    <t>B1000704</t>
  </si>
  <si>
    <t>REAP-CHAVE DE BOCA/ ESTRIA 13</t>
  </si>
  <si>
    <t>B1006843</t>
  </si>
  <si>
    <t>REAP-CHAVE DE FENDA 1/4</t>
  </si>
  <si>
    <t>B1006844</t>
  </si>
  <si>
    <t>REAP-CHAVE DE FENDA 1/8</t>
  </si>
  <si>
    <t>B1000183</t>
  </si>
  <si>
    <t>REAP-CHAVE DE FENDA GRANDE</t>
  </si>
  <si>
    <t>B1000184</t>
  </si>
  <si>
    <t>REAP-CHAVE DE FENDA MEDIA</t>
  </si>
  <si>
    <t>B1000185</t>
  </si>
  <si>
    <t>REAP-CHAVE DE FENDA PEQUENA</t>
  </si>
  <si>
    <t>B1001478</t>
  </si>
  <si>
    <t>REAP-CHAVE DE INSERÇÃO TYCONNC5C</t>
  </si>
  <si>
    <t>B1001707</t>
  </si>
  <si>
    <t>REAP-CHAVE MINI TRAP ST1 P/ CONECTOR RG 59/6 F-7/16</t>
  </si>
  <si>
    <t>B1001741</t>
  </si>
  <si>
    <t>REAP-CHAVE TORQUE PARA CONECTOR 20K</t>
  </si>
  <si>
    <t>B1002261</t>
  </si>
  <si>
    <t>REAP-CINTO SEG. PQD C/3 PONTAS E PROT. LOMBAR- -TAM 01</t>
  </si>
  <si>
    <t>B1000204</t>
  </si>
  <si>
    <t>REAP-CINTO SEG. PQD C/3 PONTAS E PROT. LOMBAR-APASEG</t>
  </si>
  <si>
    <t>B1000205</t>
  </si>
  <si>
    <t>REAP-CLIVADOR DE PRECISÃO OPTICO</t>
  </si>
  <si>
    <t>B1001045</t>
  </si>
  <si>
    <t>REAP-CLIVADOR FIBER CLEAVER</t>
  </si>
  <si>
    <t>B2000456</t>
  </si>
  <si>
    <t>REAP-COLETE REFLETIVO DE SEGURANÇA TP BLUSÃO</t>
  </si>
  <si>
    <t>B1000206</t>
  </si>
  <si>
    <t>REAP-COLETE REFLETIVO TP X NOTURNO</t>
  </si>
  <si>
    <t>B1000208</t>
  </si>
  <si>
    <t>REAP-CONE SINALIZAÇÃO GRANDE</t>
  </si>
  <si>
    <t>B1000209</t>
  </si>
  <si>
    <t>REAP-CONE SINALIZAÇÃO PEQUENO - LARANJA/BRANCO</t>
  </si>
  <si>
    <t>B1001718</t>
  </si>
  <si>
    <t>REAP-DECAPADOR DE CABO COAXIAL CANETA AMARELA RG11</t>
  </si>
  <si>
    <t>B1001299</t>
  </si>
  <si>
    <t>REAP-DECAPADOR PARA CABO DROP</t>
  </si>
  <si>
    <t>B1001488</t>
  </si>
  <si>
    <t>REAP-ESCADA 5 DEGRAUS DOMESTICA</t>
  </si>
  <si>
    <t>B1001284</t>
  </si>
  <si>
    <t>REAP-ESCADA 7,20 MTS</t>
  </si>
  <si>
    <t>B1000243</t>
  </si>
  <si>
    <t>REAP-ESCADA DE FIBRA EXTENSIVEL 3,60 X 6,00</t>
  </si>
  <si>
    <t>B1001851</t>
  </si>
  <si>
    <t>REAP-FITA CARTRACA LINHA DE VIDA</t>
  </si>
  <si>
    <t>B1001855</t>
  </si>
  <si>
    <t>REAP-FITA DE ANCORAGEM PARA ESCADA C/ ABS</t>
  </si>
  <si>
    <t>B1000277</t>
  </si>
  <si>
    <t>REAP-FITA ZEBRADA 160M</t>
  </si>
  <si>
    <t>B1006179</t>
  </si>
  <si>
    <t>REAP-FREIO ABS PARA LINHA DE VIDA</t>
  </si>
  <si>
    <t>B1000284</t>
  </si>
  <si>
    <t>REAP-FURADEIRA - IMPACTO</t>
  </si>
  <si>
    <t>B1001940</t>
  </si>
  <si>
    <t>REAP-FURADEIRA SKIL MODELO 6662 550W 127V</t>
  </si>
  <si>
    <t>B1001668</t>
  </si>
  <si>
    <t>REAP-GABARITO AZUL  (CLIVADOR)</t>
  </si>
  <si>
    <t>B1001705</t>
  </si>
  <si>
    <t>REAP-JOGO CHAVE ALLEN C/ 25 PÇS</t>
  </si>
  <si>
    <t>B1000636</t>
  </si>
  <si>
    <t>REAP-JOGO DE CHAVE ALLEN LONGA 1,5 A 10 MM</t>
  </si>
  <si>
    <t>B1008885</t>
  </si>
  <si>
    <t>REAP-JOGO DE CHAVE CANHÃO 07 PEÇAS</t>
  </si>
  <si>
    <t>B1002111</t>
  </si>
  <si>
    <t>REAP-JOGO DE CHAVE COMBINADA 8 PÇS DE 9 A 17 (SEM 16)</t>
  </si>
  <si>
    <t>B1000536</t>
  </si>
  <si>
    <t>REAP-JOGO DE CHAVES ALLEN</t>
  </si>
  <si>
    <t>B1000305</t>
  </si>
  <si>
    <t>REAP-JUGULAR P/CAPACETE</t>
  </si>
  <si>
    <t>B1000319</t>
  </si>
  <si>
    <t>REAP-LANTERNA</t>
  </si>
  <si>
    <t>B1001660</t>
  </si>
  <si>
    <t>REAP-LANTERNA PARA CABEÇA</t>
  </si>
  <si>
    <t>B1000321</t>
  </si>
  <si>
    <t>REAP-LANTERNA RECARREGÁVEL DE TESTA</t>
  </si>
  <si>
    <t>B1000327</t>
  </si>
  <si>
    <t>REAP-LUVA DE VAQUETA MISTA CANO CURTO</t>
  </si>
  <si>
    <t>B1006150</t>
  </si>
  <si>
    <t>REAP-LUVA MULTITATO PU</t>
  </si>
  <si>
    <t>B1001199</t>
  </si>
  <si>
    <t>REAP-LUVA VAQUETA MISA C/ LONGO</t>
  </si>
  <si>
    <t>B1000332</t>
  </si>
  <si>
    <t>REAP-LUVA VAQUETA MISTA CANO CURTO</t>
  </si>
  <si>
    <t>B1000339</t>
  </si>
  <si>
    <t>REAP-MAQUINA DE FUSÃO</t>
  </si>
  <si>
    <t>B30001279</t>
  </si>
  <si>
    <t>REAP-MAQUINA DE FUSAO LOCADA REDEX EASY</t>
  </si>
  <si>
    <t>B1000340</t>
  </si>
  <si>
    <t>REAP-MAQUINA FUSIMEC</t>
  </si>
  <si>
    <t>B1000348</t>
  </si>
  <si>
    <t>REAP-MARTELO UNHA</t>
  </si>
  <si>
    <t>B1000363</t>
  </si>
  <si>
    <t>REAP-MULTIMETRO DIGITAL</t>
  </si>
  <si>
    <t>B1001562</t>
  </si>
  <si>
    <t>REAP-NIVELADOR ESCADA  DE MADEIRA</t>
  </si>
  <si>
    <t>B1000366</t>
  </si>
  <si>
    <t>REAP-OCULOS DE PROTEÇÃO - PRETO</t>
  </si>
  <si>
    <t>B1000367</t>
  </si>
  <si>
    <t>REAP-ÓCULOS DE PROTEÇÃO INCOLOR</t>
  </si>
  <si>
    <t>B1000368</t>
  </si>
  <si>
    <t>REAP-OCULOS SEGURANÇA CINZA</t>
  </si>
  <si>
    <t>B1000417</t>
  </si>
  <si>
    <t>REAP-POWER MEETER</t>
  </si>
  <si>
    <t>B1001758</t>
  </si>
  <si>
    <t>REAP-POWER METER PON</t>
  </si>
  <si>
    <t>B1000583</t>
  </si>
  <si>
    <t>REAP-PROTETOR SOLAR</t>
  </si>
  <si>
    <t>B1001674</t>
  </si>
  <si>
    <t>REAP-PROTETOR SOLAR ( P FRASCO ML)</t>
  </si>
  <si>
    <t>B1000578</t>
  </si>
  <si>
    <t>REAP-SERRA MARMORE MAKITA</t>
  </si>
  <si>
    <t>B1000648</t>
  </si>
  <si>
    <t>REAP-TALABARTE (APA SEG)TIPO Y DE FITA C/ABS MOSQ. 55MM</t>
  </si>
  <si>
    <t>B1000991</t>
  </si>
  <si>
    <t>REAP-TALABARTE “Y” C/ ABS</t>
  </si>
  <si>
    <t>B1000995</t>
  </si>
  <si>
    <t>REAP-TALABARTE DE POSICIONAMENTO REGULÁVEL-(APA SEG).</t>
  </si>
  <si>
    <t>B1000598</t>
  </si>
  <si>
    <t>REAP-TALABARTE EM FITA E ABS DE ENERGIA GANCHO 55MM</t>
  </si>
  <si>
    <t>B1000455</t>
  </si>
  <si>
    <t>REAP-TESOURA DE CABISTA</t>
  </si>
  <si>
    <t>B1001853</t>
  </si>
  <si>
    <t>REAP-TRAVA QUEDAS MOD DOBRADIÇA CORDA 12M</t>
  </si>
  <si>
    <t>B1000754</t>
  </si>
  <si>
    <t>REAP-TRENA DE BOLSO  5 MTS</t>
  </si>
  <si>
    <t>B1000468</t>
  </si>
  <si>
    <t>REAP-TRENA DIGITAL 10Km</t>
  </si>
  <si>
    <t>B1000470</t>
  </si>
  <si>
    <t>REAP-TRENA FIBRA DE VIDRO 50M</t>
  </si>
  <si>
    <t>1000425</t>
  </si>
  <si>
    <t>REFIL GÁS BUTANO P/ MINI MAÇARICO</t>
  </si>
  <si>
    <t>1001197</t>
  </si>
  <si>
    <t>252341</t>
  </si>
  <si>
    <t>REFIL PARA MAÇARICO PORTATIL ARJ MPG05</t>
  </si>
  <si>
    <t>RET-BOTA BORRACHA PVC  42</t>
  </si>
  <si>
    <t>1000578</t>
  </si>
  <si>
    <t>SERRA MARMORE MAKITA</t>
  </si>
  <si>
    <t>S1001663</t>
  </si>
  <si>
    <t>SUC-ADAPTADOR P/ CONECTOR SC-APC (POWER METER)</t>
  </si>
  <si>
    <t>S1001268</t>
  </si>
  <si>
    <t>SUC-ALICATE AMPERÍMETRO</t>
  </si>
  <si>
    <t>S1001719</t>
  </si>
  <si>
    <t>SUC-ALICATE COMPRESSÃO  P/ CABO COAXIAL RG11</t>
  </si>
  <si>
    <t>S1000847</t>
  </si>
  <si>
    <t>SUC-ALICATE CORTE 6</t>
  </si>
  <si>
    <t>S1000032</t>
  </si>
  <si>
    <t>SUC-ALICATE DE BICO 6</t>
  </si>
  <si>
    <t>S1000033</t>
  </si>
  <si>
    <t>SUC-ALICATE DE CORTE 6</t>
  </si>
  <si>
    <t>S1001306</t>
  </si>
  <si>
    <t>SUC-ALICATE DE GRIMPAR RJ11 / RJ45</t>
  </si>
  <si>
    <t>S1000035</t>
  </si>
  <si>
    <t>SUC-ALICATE DE INSERÇÃO TERMINAL (BARGOA)</t>
  </si>
  <si>
    <t>S1000036</t>
  </si>
  <si>
    <t>SUC-ALICATE DE PRESSÃO RG6</t>
  </si>
  <si>
    <t>S1008878</t>
  </si>
  <si>
    <t>SUC-ALICATE DECAPADOR COAXIAL RG6/RG7</t>
  </si>
  <si>
    <t>S1000037</t>
  </si>
  <si>
    <t>SUC-ALICATE DESCAPADOR DE FIBRA OPTICA</t>
  </si>
  <si>
    <t>S1000039</t>
  </si>
  <si>
    <t>SUC-ALICATE UNIVERSAL 8</t>
  </si>
  <si>
    <t>S1001262</t>
  </si>
  <si>
    <t>SUC-BICO P/ MAÇARICO PORTATIL A GAS</t>
  </si>
  <si>
    <t>S1001864</t>
  </si>
  <si>
    <t>SUC-BOLSA DE LONA PARA  KIT LINHA DE VIDA</t>
  </si>
  <si>
    <t>S1001524</t>
  </si>
  <si>
    <t>SUC-BOTA BORRACHA PVC  41</t>
  </si>
  <si>
    <t>S1001249</t>
  </si>
  <si>
    <t>SUC-BOTA DE COURO SEM CADARÇO TAM. 37</t>
  </si>
  <si>
    <t>S1000068</t>
  </si>
  <si>
    <t>SUC-BOTA DE COURO SEM CADARÇO TAM. 38</t>
  </si>
  <si>
    <t>S1000069</t>
  </si>
  <si>
    <t>SUC-BOTA DE COURO SEM CADARÇO TAM. 39</t>
  </si>
  <si>
    <t>S1000070</t>
  </si>
  <si>
    <t>SUC-BOTA DE COURO SEM CADARÇO TAM. 40</t>
  </si>
  <si>
    <t>S1000071</t>
  </si>
  <si>
    <t>SUC-BOTA DE COURO SEM CADARÇO TAM. 41</t>
  </si>
  <si>
    <t>S1000072</t>
  </si>
  <si>
    <t>SUC-BOTA DE COURO SEM CADARÇO TAM. 42</t>
  </si>
  <si>
    <t>S1000073</t>
  </si>
  <si>
    <t>SUC-BOTA DE COURO SEM CADARÇO TAM. 43</t>
  </si>
  <si>
    <t>S1000074</t>
  </si>
  <si>
    <t>SUC-BOTA DE COURO SEM CADARÇO TAM. 44</t>
  </si>
  <si>
    <t>S1000075</t>
  </si>
  <si>
    <t>SUC-BOTA DE COURO SEM CADARÇO TAM. 45</t>
  </si>
  <si>
    <t>S1000076</t>
  </si>
  <si>
    <t>SUC-BOTA DE COURO SEM CADARÇO TAM. 46</t>
  </si>
  <si>
    <t>S1002033</t>
  </si>
  <si>
    <t>SUC-BOTA ELASTICA BIDENSIDADE BICO PVC - 37</t>
  </si>
  <si>
    <t>S1006799</t>
  </si>
  <si>
    <t>SUC-BOTA ELASTICA BIDENSIDADE BICO PVC - 38</t>
  </si>
  <si>
    <t>S1006800</t>
  </si>
  <si>
    <t>SUC-BOTA ELASTICA BIDENSIDADE BICO PVC - 39</t>
  </si>
  <si>
    <t>S1006801</t>
  </si>
  <si>
    <t>SUC-BOTA ELASTICA BIDENSIDADE BICO PVC - 40</t>
  </si>
  <si>
    <t>S1006802</t>
  </si>
  <si>
    <t>SUC-BOTA ELASTICA BIDENSIDADE BICO PVC - 41</t>
  </si>
  <si>
    <t>S1006803</t>
  </si>
  <si>
    <t>SUC-BOTA ELASTICA BIDENSIDADE BICO PVC - 42</t>
  </si>
  <si>
    <t>S1006804</t>
  </si>
  <si>
    <t>SUC-BOTA ELASTICA BIDENSIDADE BICO PVC - 43</t>
  </si>
  <si>
    <t>S1006805</t>
  </si>
  <si>
    <t>SUC-BOTA ELASTICA BIDENSIDADE BICO PVC - 44</t>
  </si>
  <si>
    <t>S1001462</t>
  </si>
  <si>
    <t>SUC-BROCA 10 MM X 40CM ENGATE RAPIDO</t>
  </si>
  <si>
    <t>S1000814</t>
  </si>
  <si>
    <t>SUC-BROCA 10MM WIDEA (CONCRETO)</t>
  </si>
  <si>
    <t>S1000082</t>
  </si>
  <si>
    <t>SUC-BROCA 5/16 X 8 WIDIA</t>
  </si>
  <si>
    <t>S1001463</t>
  </si>
  <si>
    <t>SUC-BROCA 6MM X 16CM ENGATE RAPIDO</t>
  </si>
  <si>
    <t>S1001456</t>
  </si>
  <si>
    <t>SUC-BROCA AÇO RAPIDO 6MM</t>
  </si>
  <si>
    <t>S1001686</t>
  </si>
  <si>
    <t>SUC-BROCA DE AÇO RÁPIDO 8MM</t>
  </si>
  <si>
    <t>S1001680</t>
  </si>
  <si>
    <t>SUC-BROCA DE WIDEA 10MM X 400MM ( LONGA)</t>
  </si>
  <si>
    <t>S1001941</t>
  </si>
  <si>
    <t>SUC-BROCA DE WIDEA 8MM X 400MM (LONGA)</t>
  </si>
  <si>
    <t>S1002144</t>
  </si>
  <si>
    <t>SUC-BROCA WIDEA 5MM</t>
  </si>
  <si>
    <t>S1000089</t>
  </si>
  <si>
    <t>SUC-BROCA WIDEA 6MM</t>
  </si>
  <si>
    <t>S1001457</t>
  </si>
  <si>
    <t>SUC-BROCA WIDIA 06X100MM 1/4</t>
  </si>
  <si>
    <t>S1000095</t>
  </si>
  <si>
    <t>SUC-BROCA WIDIA 8MM</t>
  </si>
  <si>
    <t>S1002136</t>
  </si>
  <si>
    <t>SUC-CALÇA JEANS C/ FAIXA REFLETIVA - 40</t>
  </si>
  <si>
    <t>S1002137</t>
  </si>
  <si>
    <t>SUC-CALÇA JEANS C/ FAIXA REFLETIVA - 42</t>
  </si>
  <si>
    <t>S1002140</t>
  </si>
  <si>
    <t>SUC-CALÇA JEANS C/ FAIXA REFLETIVA - 48</t>
  </si>
  <si>
    <t>S1002141</t>
  </si>
  <si>
    <t>SUC-CALÇA JEANS C/ FAIXA REFLETIVA - 50</t>
  </si>
  <si>
    <t>S1002142</t>
  </si>
  <si>
    <t>SUC-CALÇA JEANS C/ FAIXA REFLETIVA - 52</t>
  </si>
  <si>
    <t>S1001992</t>
  </si>
  <si>
    <t>SUC-CALÇA JEANS C/ FAIXA REFLETIVA IHS - 38</t>
  </si>
  <si>
    <t>S1001993</t>
  </si>
  <si>
    <t>SUC-CALÇA JEANS C/ FAIXA REFLETIVA IHS - 40</t>
  </si>
  <si>
    <t>S1001994</t>
  </si>
  <si>
    <t>SUC-CALÇA JEANS C/ FAIXA REFLETIVA IHS - 42</t>
  </si>
  <si>
    <t>S1001998</t>
  </si>
  <si>
    <t>SUC-CALÇA JEANS C/ FAIXA REFLETIVA IHS - 50</t>
  </si>
  <si>
    <t>S1006798</t>
  </si>
  <si>
    <t>SUC-CALÇA JEANS C/ FAIXA REFLETIVA IHS - 54</t>
  </si>
  <si>
    <t>S1000878</t>
  </si>
  <si>
    <t>SUC-CALÇA JEANS C/ FAIXA REFLETIVA IHS - 56</t>
  </si>
  <si>
    <t>S1001995</t>
  </si>
  <si>
    <t>SUC-CALÇA JEANS C/ FAIXA REFLETIVA IHS – 44</t>
  </si>
  <si>
    <t>S1001996</t>
  </si>
  <si>
    <t>SUC-CALÇA JEANS C/ FAIXA REFLETIVA IHS – 46</t>
  </si>
  <si>
    <t>S1001997</t>
  </si>
  <si>
    <t>SUC-CALÇA JEANS C/ FAIXA REFLETIVA IHS – 48</t>
  </si>
  <si>
    <t>S1001999</t>
  </si>
  <si>
    <t>SUC-CALÇA JEANS C/ FAIXA REFLETIVA IHS – 52</t>
  </si>
  <si>
    <t>S1006160</t>
  </si>
  <si>
    <t>SUC-CAMISA ANTI-CHAMA COM FAIXA REFLETIVA LIGGA XG</t>
  </si>
  <si>
    <t>S1001190</t>
  </si>
  <si>
    <t>SUC-CAPACETE ABA TOTAL AZESC</t>
  </si>
  <si>
    <t>S1000496</t>
  </si>
  <si>
    <t>SUC-CAPACETE BRANCO</t>
  </si>
  <si>
    <t>S1000146</t>
  </si>
  <si>
    <t>SUC-CARNEIRA P/CAPACETE</t>
  </si>
  <si>
    <t>S1000167</t>
  </si>
  <si>
    <t>SUC-CHAVE CANHÃO 10 MM</t>
  </si>
  <si>
    <t>S1000839</t>
  </si>
  <si>
    <t>SUC-CHAVE CANHÃO 8</t>
  </si>
  <si>
    <t>S1000171</t>
  </si>
  <si>
    <t>SUC-CHAVE CANHÃO 8 MM</t>
  </si>
  <si>
    <t>S1006843</t>
  </si>
  <si>
    <t>SUC-CHAVE DE FENDA 1/4</t>
  </si>
  <si>
    <t>S1006844</t>
  </si>
  <si>
    <t>SUC-CHAVE DE FENDA 1/8</t>
  </si>
  <si>
    <t>S1006845</t>
  </si>
  <si>
    <t>SUC-CHAVE DE FENDA 3/16</t>
  </si>
  <si>
    <t>S1000183</t>
  </si>
  <si>
    <t>SUC-CHAVE DE FENDA GRANDE</t>
  </si>
  <si>
    <t>S1000184</t>
  </si>
  <si>
    <t>SUC-CHAVE DE FENDA MEDIA</t>
  </si>
  <si>
    <t>S1000185</t>
  </si>
  <si>
    <t>SUC-CHAVE DE FENDA PEQUENA</t>
  </si>
  <si>
    <t>S1001478</t>
  </si>
  <si>
    <t>SUC-CHAVE DE INSERÇÃO TYCONNC5C</t>
  </si>
  <si>
    <t>S1001741</t>
  </si>
  <si>
    <t>SUC-CHAVE TORQUE PARA CONECTOR 20K</t>
  </si>
  <si>
    <t>S1000204</t>
  </si>
  <si>
    <t>SUC-CINTO SEG. PQD C/3 PONTAS E PROT. LOMBAR-APASEG</t>
  </si>
  <si>
    <t>S1000205</t>
  </si>
  <si>
    <t>SUC-CLIVADOR DE PRECISÃO OPTICO</t>
  </si>
  <si>
    <t>S1001045</t>
  </si>
  <si>
    <t>SUC-CLIVADOR FIBER CLEAVER</t>
  </si>
  <si>
    <t>S1001114</t>
  </si>
  <si>
    <t>SUC-CLIVADOR FIBER CLIVER Nº 01238</t>
  </si>
  <si>
    <t>S30001280</t>
  </si>
  <si>
    <t>SUC-CLIVADOR LOCADO REDEX EASY</t>
  </si>
  <si>
    <t>S840-1700-6</t>
  </si>
  <si>
    <t>SUC-CLIVADOR MANUAL</t>
  </si>
  <si>
    <t>S1000206</t>
  </si>
  <si>
    <t>SUC-COLETE REFLETIVO TP X NOTURNO</t>
  </si>
  <si>
    <t>S1000208</t>
  </si>
  <si>
    <t>SUC-CONE SINALIZAÇÃO GRANDE</t>
  </si>
  <si>
    <t>S1000209</t>
  </si>
  <si>
    <t>SUC-CONE SINALIZAÇÃO PEQUENO - LARANJA/BRANCO</t>
  </si>
  <si>
    <t>S1002030</t>
  </si>
  <si>
    <t>SUC-CONE SINALIZAÇÃO PEQUENO - PRETO/AMARELO</t>
  </si>
  <si>
    <t>S1001718</t>
  </si>
  <si>
    <t>SUC-DECAPADOR DE CABO COAXIAL CANETA AMARELA RG11</t>
  </si>
  <si>
    <t>S1001299</t>
  </si>
  <si>
    <t>SUC-DECAPADOR PARA CABO DROP</t>
  </si>
  <si>
    <t>S30001278</t>
  </si>
  <si>
    <t>SUC-ELETRODO MÁQUINA DE FUSÃO FUJIKURA 26S</t>
  </si>
  <si>
    <t>S1001488</t>
  </si>
  <si>
    <t>SUC-ESCADA 5 DEGRAUS DOMESTICA</t>
  </si>
  <si>
    <t>S1001284</t>
  </si>
  <si>
    <t>SUC-ESCADA 7,20 MTS</t>
  </si>
  <si>
    <t>S1000243</t>
  </si>
  <si>
    <t>SUC-ESCADA DE FIBRA EXTENSIVEL 3,60 X 6,00</t>
  </si>
  <si>
    <t>S1006134</t>
  </si>
  <si>
    <t>SUC-FAIXA REFLETIVA 5 X 30 CM -  SHERMAN</t>
  </si>
  <si>
    <t>S1001851</t>
  </si>
  <si>
    <t>SUC-FITA CARTRACA LINHA DE VIDA</t>
  </si>
  <si>
    <t>S1001855</t>
  </si>
  <si>
    <t>SUC-FITA DE ANCORAGEM PARA ESCADA C/ ABS</t>
  </si>
  <si>
    <t>S1000277</t>
  </si>
  <si>
    <t>SUC-FITA ZEBRADA 160M</t>
  </si>
  <si>
    <t>S1000261</t>
  </si>
  <si>
    <t>SUC-FITA ZEBRADA 200 MTS OT/AM</t>
  </si>
  <si>
    <t>S1006179</t>
  </si>
  <si>
    <t>SUC-FREIO ABS PARA LINHA DE VIDA</t>
  </si>
  <si>
    <t>S1000284</t>
  </si>
  <si>
    <t>SUC-FURADEIRA - IMPACTO</t>
  </si>
  <si>
    <t>S1001940</t>
  </si>
  <si>
    <t>SUC-FURADEIRA SKIL MODELO 6662 550W 127V</t>
  </si>
  <si>
    <t>S1001668</t>
  </si>
  <si>
    <t>SUC-GABARITO AZUL  (CLIVADOR)</t>
  </si>
  <si>
    <t>S1001723</t>
  </si>
  <si>
    <t>SUC-GERADOR PORTATIL GASOLINA</t>
  </si>
  <si>
    <t>S1000536</t>
  </si>
  <si>
    <t>SUC-JOGO DE CHAVES ALLEN</t>
  </si>
  <si>
    <t>S1000305</t>
  </si>
  <si>
    <t>SUC-JUGULAR P/CAPACETE</t>
  </si>
  <si>
    <t>S1000319</t>
  </si>
  <si>
    <t>SUC-LANTERNA</t>
  </si>
  <si>
    <t>S1001660</t>
  </si>
  <si>
    <t>SUC-LANTERNA PARA CABEÇA</t>
  </si>
  <si>
    <t>S1000320</t>
  </si>
  <si>
    <t>SUC-LANTERNA PEQUENA</t>
  </si>
  <si>
    <t>S1000321</t>
  </si>
  <si>
    <t>SUC-LANTERNA RECARREGÁVEL DE TESTA</t>
  </si>
  <si>
    <t>S1000665</t>
  </si>
  <si>
    <t>SUC-LUVA DE MALHA PIGMENTADA</t>
  </si>
  <si>
    <t>S1000327</t>
  </si>
  <si>
    <t>SUC-LUVA DE VAQUETA MISTA CANO CURTO</t>
  </si>
  <si>
    <t>S1001487</t>
  </si>
  <si>
    <t>SUC-LUVA DE VAQUETA PETROLEIRA COMUM</t>
  </si>
  <si>
    <t>S1006150</t>
  </si>
  <si>
    <t>SUC-LUVA MULTITATO PU</t>
  </si>
  <si>
    <t>S1000332</t>
  </si>
  <si>
    <t>SUC-LUVA VAQUETA MISTA CANO CURTO</t>
  </si>
  <si>
    <t>S1001151</t>
  </si>
  <si>
    <t>SUC-MAÇARICO PORTATIL</t>
  </si>
  <si>
    <t>S1000339</t>
  </si>
  <si>
    <t>SUC-MAQUINA DE FUSÃO</t>
  </si>
  <si>
    <t>S1000340</t>
  </si>
  <si>
    <t>SUC-MAQUINA FUSIMEC</t>
  </si>
  <si>
    <t>S1000348</t>
  </si>
  <si>
    <t>SUC-MARTELO UNHA</t>
  </si>
  <si>
    <t>S1001586</t>
  </si>
  <si>
    <t>SUC-MASCARA DE TECIDO LAVAVEL  (DUPLA CAMADA)</t>
  </si>
  <si>
    <t>S1006840</t>
  </si>
  <si>
    <t>SUC-MASCARA RESPIRATÓRIA PFF1 S/ VÁLVULA</t>
  </si>
  <si>
    <t>S1000363</t>
  </si>
  <si>
    <t>SUC-MULTIMETRO DIGITAL</t>
  </si>
  <si>
    <t>S1001562</t>
  </si>
  <si>
    <t>SUC-NIVELADOR ESCADA  DE MADEIRA</t>
  </si>
  <si>
    <t>S1000366</t>
  </si>
  <si>
    <t>SUC-OCULOS DE PROTEÇÃO - PRETO</t>
  </si>
  <si>
    <t>S1000367</t>
  </si>
  <si>
    <t>SUC-ÓCULOS DE PROTEÇÃO INCOLOR</t>
  </si>
  <si>
    <t>S1000997</t>
  </si>
  <si>
    <t>SUC-ÓCULOS INCOLOR</t>
  </si>
  <si>
    <t>S1000368</t>
  </si>
  <si>
    <t>SUC-OCULOS SEGURANÇA CINZA</t>
  </si>
  <si>
    <t>S1000372</t>
  </si>
  <si>
    <t>SUC-OTDR REDEX</t>
  </si>
  <si>
    <t>S1000879</t>
  </si>
  <si>
    <t>SUC-PERNEIRA COM VELCRO BIDIMM / ENGATE CA</t>
  </si>
  <si>
    <t>S1006808</t>
  </si>
  <si>
    <t>SUC-POLO VERDE C/ ZIPER C/ FAIXA REFLETIVA IHS - EXG1</t>
  </si>
  <si>
    <t>S1002034</t>
  </si>
  <si>
    <t>SUC-POLO VERDE C/ ZIPER C/ FAIXA REFLETIVA IHS - EXG2</t>
  </si>
  <si>
    <t>S1001991</t>
  </si>
  <si>
    <t>SUC-POLO VERDE C/ ZIPER C/ FAIXA REFLETIVA IHS – EXG</t>
  </si>
  <si>
    <t>S1001988</t>
  </si>
  <si>
    <t>SUC-POLO VERDE C/ ZIPER C/ FAIXA REFLETIVA IHS – G</t>
  </si>
  <si>
    <t>S1001989</t>
  </si>
  <si>
    <t>SUC-POLO VERDE C/ ZIPER C/ FAIXA REFLETIVA IHS – GG</t>
  </si>
  <si>
    <t>S1001987</t>
  </si>
  <si>
    <t>SUC-POLO VERDE C/ ZIPER C/ FAIXA REFLETIVA IHS – M</t>
  </si>
  <si>
    <t>S1006826</t>
  </si>
  <si>
    <t>SUC-POLO VERDE C/ ZIPER C/ FAIXA REFLETIVA IHS – P</t>
  </si>
  <si>
    <t>S1001990</t>
  </si>
  <si>
    <t>SUC-POLO VERDE C/ ZIPER C/ FAIXA REFLETIVA IHS – XG</t>
  </si>
  <si>
    <t>S1000417</t>
  </si>
  <si>
    <t>SUC-POWER MEETER</t>
  </si>
  <si>
    <t>S1001758</t>
  </si>
  <si>
    <t>SUC-POWER METER PON</t>
  </si>
  <si>
    <t>S1000421</t>
  </si>
  <si>
    <t>SUC-PROTETOR AURICULAR</t>
  </si>
  <si>
    <t>S1000583</t>
  </si>
  <si>
    <t>SUC-PROTETOR SOLAR</t>
  </si>
  <si>
    <t>S1001674</t>
  </si>
  <si>
    <t>SUC-PROTETOR SOLAR ( P FRASCO ML)</t>
  </si>
  <si>
    <t>S1000425</t>
  </si>
  <si>
    <t>SUC-REFIL GÁS BUTANO P/ MINI MAÇARICO</t>
  </si>
  <si>
    <t>S1001197</t>
  </si>
  <si>
    <t>SUC-REFIL P/ MINI MAÇARICO DESCARTAVEL</t>
  </si>
  <si>
    <t>S1000648</t>
  </si>
  <si>
    <t>SUC-TALABARTE (APA SEG)TIPO Y DE FITA C/ABS MOSQ. 55MM</t>
  </si>
  <si>
    <t>S1000995</t>
  </si>
  <si>
    <t>SUC-TALABARTE DE POSICIONAMENTO REGULÁVEL-(APA SEG).</t>
  </si>
  <si>
    <t>S1000455</t>
  </si>
  <si>
    <t>SUC-TESOURA DE CABISTA</t>
  </si>
  <si>
    <t>S1001853</t>
  </si>
  <si>
    <t>SUC-TRAVA QUEDAS MOD DOBRADIÇA CORDA 12M</t>
  </si>
  <si>
    <t>S1000754</t>
  </si>
  <si>
    <t>SUC-TRENA DE BOLSO  5 MTS</t>
  </si>
  <si>
    <t>S1000470</t>
  </si>
  <si>
    <t>SUC-TRENA FIBRA DE VIDRO 50M</t>
  </si>
  <si>
    <t>S10001066</t>
  </si>
  <si>
    <t>SUC-TRENA RODINHA</t>
  </si>
  <si>
    <t>1000648</t>
  </si>
  <si>
    <t>TALABARTE (APA SEG)TIPO Y DE FITA C/ABS MOSQ. 55MM</t>
  </si>
  <si>
    <t>1000991</t>
  </si>
  <si>
    <t>1000995</t>
  </si>
  <si>
    <t>1000446</t>
  </si>
  <si>
    <t>TALHADEIRA</t>
  </si>
  <si>
    <t>1000447</t>
  </si>
  <si>
    <t>TALHADEIRA (MARTELETE BOSCH)</t>
  </si>
  <si>
    <t>1001978</t>
  </si>
  <si>
    <t>TALHADEIRA SDS (MARTELETE)</t>
  </si>
  <si>
    <t>1000455</t>
  </si>
  <si>
    <t>1001246</t>
  </si>
  <si>
    <t>1001853</t>
  </si>
  <si>
    <t>1001041</t>
  </si>
  <si>
    <t>TRENA DE AÇO 5MTS</t>
  </si>
  <si>
    <t>1000754</t>
  </si>
  <si>
    <t>TRENA DE BOLSO  5 MTS</t>
  </si>
  <si>
    <t>1000710</t>
  </si>
  <si>
    <t>TRENA DE FIBRA DE VIDRO 10 MTS</t>
  </si>
  <si>
    <t>1000470</t>
  </si>
  <si>
    <t>10001066</t>
  </si>
  <si>
    <t>codmat</t>
  </si>
  <si>
    <t>descricao</t>
  </si>
  <si>
    <t>classe</t>
  </si>
  <si>
    <t>tipo</t>
  </si>
  <si>
    <t>PASSA FIO C/ ALMA DE AÇO 20MTS</t>
  </si>
  <si>
    <t>PILHA AA</t>
  </si>
  <si>
    <t>CORDAO DE TESTE KRONE</t>
  </si>
  <si>
    <t>IDENTIFICADOR  DE FIBRA ATIVA</t>
  </si>
  <si>
    <t>KIT LOCALIZADOR DE SINAL (Barulho)</t>
  </si>
  <si>
    <t>PILHA AAA</t>
  </si>
  <si>
    <t>ALCOOL ISOPROPILICO 1000ML</t>
  </si>
  <si>
    <t>BROCA WIDEA 8MM (ENCAIXE)</t>
  </si>
  <si>
    <t>CADEADO 35 MM</t>
  </si>
  <si>
    <t>CANETA MARCADORA  PERMANENTE</t>
  </si>
  <si>
    <t>CAVADEIRA DE FERRO</t>
  </si>
  <si>
    <t>CAVALETE 02 TON.</t>
  </si>
  <si>
    <t>CHAVE BOCA / ESTRIA 10MM</t>
  </si>
  <si>
    <t>CHAVE BOCA/ ESTRIA 14MM</t>
  </si>
  <si>
    <t>CHAVE INGLESA 15</t>
  </si>
  <si>
    <t>CHAVE L 13mm</t>
  </si>
  <si>
    <t>CORDA DE SEDA</t>
  </si>
  <si>
    <t>CORNING STRIP TOOL 500 (CST50)</t>
  </si>
  <si>
    <t>CORNING STRIP TOOL 540</t>
  </si>
  <si>
    <t>ESPATULA 60MM</t>
  </si>
  <si>
    <t>ESTOPA BRANCA</t>
  </si>
  <si>
    <t>FECHO DE AÇO 3/4 FITA FUSIMEC</t>
  </si>
  <si>
    <t>FERRAM LIMPEZA COND CENTRAL CC10 CABMETIC - IMP</t>
  </si>
  <si>
    <t>FITA DE AÇO INOX 3/4</t>
  </si>
  <si>
    <t>GABARITO P/ CONECTOR DE CAMPO</t>
  </si>
  <si>
    <t>GUIA DE AÇO COM CAIXA 50M</t>
  </si>
  <si>
    <t>INVERSOR DE SOLDA  (MAQUNA DE SOLDA ESAB)</t>
  </si>
  <si>
    <t>JST 500</t>
  </si>
  <si>
    <t>JST 750</t>
  </si>
  <si>
    <t>KIT PÁ DE LIXO COM VASSOURINHA</t>
  </si>
  <si>
    <t>LINHA NYLON P/PEDREIRO COM 100MTS</t>
  </si>
  <si>
    <t>MAQUINA DE ESPINAR DUPLA</t>
  </si>
  <si>
    <t>MARRETA 2 KG</t>
  </si>
  <si>
    <t>MEDIDOR DE SINAL LGM</t>
  </si>
  <si>
    <t>MEDIDOR TRILITHIC M3 PLUS</t>
  </si>
  <si>
    <t>MOTOSSERRA COMBUSTAO VONDER</t>
  </si>
  <si>
    <t>OLP-88 TESTADOR</t>
  </si>
  <si>
    <t>ONU FINDER PRO REDEX</t>
  </si>
  <si>
    <t>PA DE MAO</t>
  </si>
  <si>
    <t>PASSA FIO NYLON (GUIA) 20MTS</t>
  </si>
  <si>
    <t>PREPARADOR INTERNO CABO COAXIAL 750  (CST 750)</t>
  </si>
  <si>
    <t>PROPE DESCARTAVEL TNT</t>
  </si>
  <si>
    <t>B1001455</t>
  </si>
  <si>
    <t>REAP-APLICADOR DE COLA QUENTE</t>
  </si>
  <si>
    <t>B1000065</t>
  </si>
  <si>
    <t>REAP-BOLSA DE LONA</t>
  </si>
  <si>
    <t>B1001122</t>
  </si>
  <si>
    <t>REAP-CANETA OPTICA - VISUAL FAULT RY V3105</t>
  </si>
  <si>
    <t>B1000196</t>
  </si>
  <si>
    <t>REAP-CHAVE PHILIPS GRANDE</t>
  </si>
  <si>
    <t>B1000224</t>
  </si>
  <si>
    <t>REAP-CORRENTE C/ CADEADO SEGURANÇA</t>
  </si>
  <si>
    <t>B1001241</t>
  </si>
  <si>
    <t>REAP-INVERSOR DE ENERGIA 12V PARA 110V</t>
  </si>
  <si>
    <t>B1000311</t>
  </si>
  <si>
    <t>REAP-KIT LOCALIZADOR DE SINAL (Barulho)</t>
  </si>
  <si>
    <t>B1000503</t>
  </si>
  <si>
    <t>REAP-MESA DE FERRO</t>
  </si>
  <si>
    <t>B1001736</t>
  </si>
  <si>
    <t>REAP-ORGANIZADOR GRANDE</t>
  </si>
  <si>
    <t>B1000388</t>
  </si>
  <si>
    <t>REAP-PASSA FIO 20Mts ALMA DE AÇO</t>
  </si>
  <si>
    <t>B1001222</t>
  </si>
  <si>
    <t>REAP-ROTULADOR PT70 BROTHER</t>
  </si>
  <si>
    <t>REDUTOR 1LT  (ISOPARAFINA)</t>
  </si>
  <si>
    <t>REFIL PARA ROTULADORA DYMO - PVC 24MM X 5,5M</t>
  </si>
  <si>
    <t>ROLO COMPACTADOR PARA  ASFALTO (MANUAL) - PEQUENO</t>
  </si>
  <si>
    <t>SONDA PASSA FIO HELICOIDAL 20M</t>
  </si>
  <si>
    <t>TESOURÃO CORTA VERGALHÃO 24</t>
  </si>
  <si>
    <t>ABRAC ACO INOX 10 P/SUP 1/2</t>
  </si>
  <si>
    <t>ABRAC T18R 10CM NYLON PTO</t>
  </si>
  <si>
    <t>ABRAC. ACO INOX 16 P/ SUP 3/4</t>
  </si>
  <si>
    <t>ABRAC. AJUST. BAP2 C/PARAFUSO</t>
  </si>
  <si>
    <t>ABRAC. AJUST. BAP4 C/PARAFUSO</t>
  </si>
  <si>
    <t>ABRAC. T18R 10CM NYLON PTO</t>
  </si>
  <si>
    <t>ABRACADEIRA AJUSTAVEL BAP4 C PARAFUSO</t>
  </si>
  <si>
    <t>ABRACADEIRA HELLERMANN T50R-PT</t>
  </si>
  <si>
    <t>ABRACADEIRA T18R 10CM NYLON PTO</t>
  </si>
  <si>
    <t>ABRAC_RE ACO P/CX FOSC 100BM</t>
  </si>
  <si>
    <t>ABRAPÇADEIRA NYLON 203X4, 9X1, 3MM T50R</t>
  </si>
  <si>
    <t>ABRAÇADEIRA AJUST BAP3 C PARAFUSO</t>
  </si>
  <si>
    <t>ABRAÇADEIRA AÇO INOX 10</t>
  </si>
  <si>
    <t>ABRAÇADEIRA AÇO INOX 16</t>
  </si>
  <si>
    <t>ABRAÇADEIRA HELLERMANN T50R-PT</t>
  </si>
  <si>
    <t>ABRAÇADEIRA NYLON (FITA HELLERMAN) - GRANDE</t>
  </si>
  <si>
    <t>ADAPT F FEM KS MAC LONGO</t>
  </si>
  <si>
    <t>0692-0457-7</t>
  </si>
  <si>
    <t>ADAPT OPTICO F/F  SC - APC/SC - APC</t>
  </si>
  <si>
    <t>ADAPTADOR F FEM KS MAC LONGO</t>
  </si>
  <si>
    <t>AFASTADOR BRAÇO EXTENSOR 72X72AF01</t>
  </si>
  <si>
    <t>ALCA PRE FORMADA FO AS 1024 10 A10,8</t>
  </si>
  <si>
    <t>ALCA PREFORMADA ACO 2,77MM</t>
  </si>
  <si>
    <t>ALCA PREFORMADA FO AS 1020 9 A10 (72FO- MARROM)</t>
  </si>
  <si>
    <t>ALCA PREFORMADA FO AS PLP 1001</t>
  </si>
  <si>
    <t>ALCA PREFORMADA FO AS PLP 1015 14,3 A 16</t>
  </si>
  <si>
    <t>ALCA PREFORMADA FO AS PLP 1041 6,8 A 7,4</t>
  </si>
  <si>
    <t>ALCA PREFORMADA FO AS PLP1024 10,0 A10,8 (36 e 48)</t>
  </si>
  <si>
    <t>ALCOOL ISOPROPILICO  LT</t>
  </si>
  <si>
    <t>ALCOOL ISOPROPILICO 250ML</t>
  </si>
  <si>
    <t>ALÇA PRE FORMADA 1/4 AÇO</t>
  </si>
  <si>
    <t>ALÇA PREF P/ CABO OPTICO 02 A 06 FO</t>
  </si>
  <si>
    <t>ALÇA PREF. P/ CORD.AÇO 3/16  -  VERMELHA LONGA</t>
  </si>
  <si>
    <t>0380-9200-0</t>
  </si>
  <si>
    <t>ALÇA PREF. P/ CORDOALLHA DIELETRICA 6,4</t>
  </si>
  <si>
    <t>ALÇA PREFORM CABO AS 120-144FO</t>
  </si>
  <si>
    <t>ALÇA PREFORMADA  FO AS PLP 1020 9,0 A 10</t>
  </si>
  <si>
    <t>ALÇA PREFORMADA AÇO 3/16</t>
  </si>
  <si>
    <t>ALÇA PREFORMADA AÇO 316 ARJAPF316 (CORDOALHA)</t>
  </si>
  <si>
    <t>ALÇA PREFORMADA CABO OPTICO 5MM</t>
  </si>
  <si>
    <t>ALÇA PREFORMADA FO AS 1007 12,8 -14,2 (72 e 144)</t>
  </si>
  <si>
    <t>ALÇA PREFORMADA FO AS 1015 14,3 - 16</t>
  </si>
  <si>
    <t>ALÇA PREFORMADA FO AS PLP 10001</t>
  </si>
  <si>
    <t>ALÇA PREFORMADA FO AS PLP 1005</t>
  </si>
  <si>
    <t>ALÇA PREFORMADA FO AS PLP 1015 14,3 A 16</t>
  </si>
  <si>
    <t>ALÇA PREFORMADA FO AS PLP 1041 6,8 A 7,4</t>
  </si>
  <si>
    <t>ALÇA PREFORMADA P/ CABO OPTICO 12,40 A 13,40 VERDE</t>
  </si>
  <si>
    <t>ALÇA PREFORMADA PARA FIBRA 14,30 A 16</t>
  </si>
  <si>
    <t>ALÇA PREFORMADO 1/4 AÇO</t>
  </si>
  <si>
    <t>ALÇA PREFORMANDA CABO OPITICO PRECON 5MM</t>
  </si>
  <si>
    <t>ANEL GUIA GALVANIZADO AGF E 50MM</t>
  </si>
  <si>
    <t>APLICADOR DE SILICONE</t>
  </si>
  <si>
    <t>ARAME ESPINAR ISOLADO</t>
  </si>
  <si>
    <t>ARAME QUEIMADO</t>
  </si>
  <si>
    <t>BALDE DE CHAPA 10 LT</t>
  </si>
  <si>
    <t>BANCO PLASTEX BRANCO</t>
  </si>
  <si>
    <t>BANDEJA AMPLIACAO CTO NAP POSTE 3M 16P</t>
  </si>
  <si>
    <t>BANDEJA AMPLIAÇÃO CTO NAP POSTE 3M 16P</t>
  </si>
  <si>
    <t>BANDEJA CAIXA EMEND MINIFOSC 24F 82298888</t>
  </si>
  <si>
    <t>BANDEJA CAIXA EMND MINIFOSC 24F 82298888</t>
  </si>
  <si>
    <t>BANDEJA CORDAO Y 1U 19 POLEGADA RAL 7035</t>
  </si>
  <si>
    <t>BANDEJA EMENDA FOSC 100 BM B8 24FO</t>
  </si>
  <si>
    <t>BANDEJA EMENDA FOSC 100 MINI B8 24FO</t>
  </si>
  <si>
    <t>BANDEJA EMENDA FOSC100 BM B8 24 FIBRAS</t>
  </si>
  <si>
    <t>BANDEJA EMENDA OPTICA DM 72 FO</t>
  </si>
  <si>
    <t>BANDEJA EMENDA OPTICA DM 72FO</t>
  </si>
  <si>
    <t>BANDEJA EMENDA OPTICA FOSC BM E B8 24F</t>
  </si>
  <si>
    <t>BANDEJA TYCO/FOSC 100-DM</t>
  </si>
  <si>
    <t>BASE ANTENA-WIFI</t>
  </si>
  <si>
    <t>BATERIA BIVOLT PHILCO</t>
  </si>
  <si>
    <t>TM02256543</t>
  </si>
  <si>
    <t>BATERIA DE LITIO DE 48V 20AH UNIPOWER</t>
  </si>
  <si>
    <t>BISNAGA DE SILICONE</t>
  </si>
  <si>
    <t>BOBINA PICOTADA 30X40</t>
  </si>
  <si>
    <t>BOBINA PICOTADA 40X60</t>
  </si>
  <si>
    <t>BOBINA PICOTADA 50X70</t>
  </si>
  <si>
    <t>BOCAL</t>
  </si>
  <si>
    <t>BRACO EXT C/ISOL HORIZ CIRC TR</t>
  </si>
  <si>
    <t>BRACO EXTENSOR C/ISOL VERT</t>
  </si>
  <si>
    <t>BRAÇO EXT. C/ISOL. VERT. CIRC.</t>
  </si>
  <si>
    <t>CAB FBR OPTC CFOA-SM-DD-S-36-RC</t>
  </si>
  <si>
    <t>CAB FBR OPTC CFOA-SM-DD-S-48-RC</t>
  </si>
  <si>
    <t>CAB FBR OPTC CFOA-SM-DE-G-36-NR MAN</t>
  </si>
  <si>
    <t>CAB FRB OPTC CFOA-SM-DD-S-144-RC</t>
  </si>
  <si>
    <t>CAB FRB OPTC CFOA-SM-DD-S12</t>
  </si>
  <si>
    <t>CABO COAXIAL RE 750 S/M PT</t>
  </si>
  <si>
    <t>CABO COAXIAL RE P3 .500 S/M PT</t>
  </si>
  <si>
    <t>CABO COAXIAL RE P3 .750 S/M PT</t>
  </si>
  <si>
    <t>CABO COAXIAL RE QR 540 SM PT</t>
  </si>
  <si>
    <t>0252-0338-2</t>
  </si>
  <si>
    <t>CABO CTP-APL-XDSL 40X50 PARES</t>
  </si>
  <si>
    <t>CABO DROP 04FO C M AS FIG 8</t>
  </si>
  <si>
    <t>CABO DROP 1FO LOW F FIG8 CINZA</t>
  </si>
  <si>
    <t>CABO DROP 1FO LOW F FIG8 LOW CINZA</t>
  </si>
  <si>
    <t>CABO FBR OPTC CFOA-SM-DD-S-144-RC</t>
  </si>
  <si>
    <t>CABO FIBRA OPTCCFOA SM OD S 24 RC</t>
  </si>
  <si>
    <t>CABO FIBRA OPTICA 12 FIBRAS CFOA SM AS80 TS</t>
  </si>
  <si>
    <t>CABO FIBRA OPTICA 48 FIBRAS CFOA SM AS80 TS</t>
  </si>
  <si>
    <t>CABO FIBRA OPTICA A SM AS80 S 36F RC</t>
  </si>
  <si>
    <t>CABO FIBRA OPTICA CFOA SM AS 80 S 36 RC</t>
  </si>
  <si>
    <t>CABO FIBRA OPTICA CFOA SM AS80 12F RC</t>
  </si>
  <si>
    <t>CABO FIBRA OPTICA CFOA SM AS80 S 144F RC</t>
  </si>
  <si>
    <t>CABO FIBRA OPTICA CFOA SM DD S 12 RC</t>
  </si>
  <si>
    <t>CABO FIBRA OPTICA CFOA SM DD S 144 RC</t>
  </si>
  <si>
    <t>CABO FIBRA OPTICA CFOA SM DD S 36 RC</t>
  </si>
  <si>
    <t>CABO FIBRA OPTICA CFOA SM DD S 48 RC</t>
  </si>
  <si>
    <t>CABO FIBRA OPTICA CFOA SM DD S 72 RC</t>
  </si>
  <si>
    <t>CABO FIBRA OPTICA CFOA SM DDS 72 RC</t>
  </si>
  <si>
    <t>CABO FIBRA OPTICA CFOA-SM-AS80-S-24-RC</t>
  </si>
  <si>
    <t>CABO FIBRA OPTICA CFOA-SM-AS80-S-36-RC</t>
  </si>
  <si>
    <t>CABO FIBRA OPTICA CFOA-SM-AS80-S-72-RC</t>
  </si>
  <si>
    <t>CABO FIBRA OPTICA CFOA-SM-DD-G-144-RC</t>
  </si>
  <si>
    <t>CABO FIBRA OPTICA CFOA-SM-DD-S-60-RC</t>
  </si>
  <si>
    <t>CABO FIBRA OPTICA CFOA-SM-DD-S-72-RC</t>
  </si>
  <si>
    <t>CABO FIBRA OPTICA SM AS120 S 72 RC</t>
  </si>
  <si>
    <t>CABO FO AS FIG0 VAO 80M 36FO</t>
  </si>
  <si>
    <t>CABO FO AS FIG0 VAO 80M 96FO</t>
  </si>
  <si>
    <t>CABO FO CFOA SM AS80 S 24FO RC</t>
  </si>
  <si>
    <t>CABO FO CFOA SM ASU VAO 80M 12FO FIGO RC</t>
  </si>
  <si>
    <t>CABO FO CFOA SM ASU80 S 12FO RC</t>
  </si>
  <si>
    <t>CABO FO CFOA SM DD S 144FO RC</t>
  </si>
  <si>
    <t>CABO FO CFOA SM DD S 24FO  RC</t>
  </si>
  <si>
    <t>CABO FO CFOA SM DD S 24FO RC</t>
  </si>
  <si>
    <t>CABO FO CFOA SM DD S 48FO RC</t>
  </si>
  <si>
    <t>CABO FO CFOA SM DD S 72FO RC</t>
  </si>
  <si>
    <t>CABO FO CFOA SM DROP FIG8 8FO</t>
  </si>
  <si>
    <t>CABO FO CFOA SN ASU 80 S 12FO RC</t>
  </si>
  <si>
    <t>0452-0070-0</t>
  </si>
  <si>
    <t>CABO FO CFOA-SM-ARD-G-72  (ANTI-ROEDOR)</t>
  </si>
  <si>
    <t>CABO FO CFOA-SM-DD-G-036 RC</t>
  </si>
  <si>
    <t>CABO FO CFOA-SM-DD-G-048 RC</t>
  </si>
  <si>
    <t>CABO OPT CFO SM ASU80 S 12 FIBRAS</t>
  </si>
  <si>
    <t>CABO OPT CFOA SM AS80  S 06 FIBRAS</t>
  </si>
  <si>
    <t>CABO OPT CFOA SM AS80  S 48 FIBRAS</t>
  </si>
  <si>
    <t>CABO OPT CFOA SM AS80 S 144 FIBRAS</t>
  </si>
  <si>
    <t>0452-0127-0</t>
  </si>
  <si>
    <t>CABO OPTICO CFOA-SM AS 200 72F TS</t>
  </si>
  <si>
    <t>CABO OPTICO DDR-S 72F LSHZ</t>
  </si>
  <si>
    <t>CABO OPTICO DROP FTTH 06F MAN</t>
  </si>
  <si>
    <t>CABO PRECON INTERCONEXAO 200M</t>
  </si>
  <si>
    <t>CABO PRECON INTERCONEXAO ODN2.0 200M</t>
  </si>
  <si>
    <t>CABO PRECON INTERCONEXAO ODN2.0 300M</t>
  </si>
  <si>
    <t>CABO PRECON INTERCONEXAO ODN2.0 500M</t>
  </si>
  <si>
    <t>CABO PRECON INTERCONEXAO ODN2.0 50M</t>
  </si>
  <si>
    <t>CABO PRECON INTERCONEXAO ODN2.O 150 M</t>
  </si>
  <si>
    <t>CABO PRECON INTERCONEXÃO ODN 2.0 5 M</t>
  </si>
  <si>
    <t>CABO PRECON INTERCONEXÃO ODN2.0 100M</t>
  </si>
  <si>
    <t>CABO PRECON INTERCONEXÃO ODN2.0 5M</t>
  </si>
  <si>
    <t>CABO PRECONINTERCONEXAO ODN2.0 150M</t>
  </si>
  <si>
    <t>CABO RISER CFOI BLI 12 FO MDU</t>
  </si>
  <si>
    <t>CABO SERVICO FO DGO GPON 200 M</t>
  </si>
  <si>
    <t>CABO USB MÁQUINA FUJIKURA 26S</t>
  </si>
  <si>
    <t>CABO Y OLT GPON SC APC SC PC</t>
  </si>
  <si>
    <t>CABO Y OLT GPON SC/APC SC/PC</t>
  </si>
  <si>
    <t>CABO ÓPT DROP CIRCULAR TESTE SLIMCONNECTOR</t>
  </si>
  <si>
    <t>CADEADO 25MM</t>
  </si>
  <si>
    <t>CADEADO 30MM</t>
  </si>
  <si>
    <t>CAIXA BIN ORGANIZADORA PLASTICA Nº 8 AZUL</t>
  </si>
  <si>
    <t>CAIXA DE EMENDA OPTICA DM 144 FO</t>
  </si>
  <si>
    <t>CAIXA EMDA_FO FOSC-100DM/144</t>
  </si>
  <si>
    <t>CAIXA EMENDA FOSC 100 DM</t>
  </si>
  <si>
    <t>CAIXA EMENDA FOSC 100 DM 144FO 5 SAIDAS</t>
  </si>
  <si>
    <t>CAIXA EMENDA FOSC100 BM 24F 4SAIDAS AZUL</t>
  </si>
  <si>
    <t>CAIXA EMENDA OPTICA CEO R T3</t>
  </si>
  <si>
    <t>CAIXA EMENDA SELD P/CB MTLC TTRC-4 INV</t>
  </si>
  <si>
    <t>CAIXA EMENDA TELEFONICA T2C3</t>
  </si>
  <si>
    <t>CAIXA HUB BOX PRECON ODN 2.0 OUTDOOR</t>
  </si>
  <si>
    <t>CAIXA HUB BOX PRECON ODN2.0 OUTDOOR</t>
  </si>
  <si>
    <t>CAIXA MDU GPON 1:8 SELADA COM SHUTTER</t>
  </si>
  <si>
    <t>CAIXA NAP 08 FO SC/APC</t>
  </si>
  <si>
    <t>CAIXA NAP CTO CORDOALHA 08 SAIDAS COM K7</t>
  </si>
  <si>
    <t>CAIXA NAP CTO CORDOALHA 08 SAIDAS FAST</t>
  </si>
  <si>
    <t>CAIXA NAP CTO CORDOALHA 16 SAIDAS FAST</t>
  </si>
  <si>
    <t>CAIXA NAP CTO POSTE 08 SAIDAS COM K7</t>
  </si>
  <si>
    <t>CAIXA NAP PRECON ODN2.0 INTERMEDIARIA</t>
  </si>
  <si>
    <t>CAIXA NAP PRECON ODN2.0 INTERMEDIRIA</t>
  </si>
  <si>
    <t>CAIXA NAP PRECON ODN2.0 TERMINAL</t>
  </si>
  <si>
    <t>CAIXA NAP PRECON ODN2.O TERMINAL</t>
  </si>
  <si>
    <t>CAIXA SPLITTER SC/APC 1X8</t>
  </si>
  <si>
    <t>CANALETA EXT 50X20X2000 BRANCA</t>
  </si>
  <si>
    <t>CARREGADOR BATERIA BIVOLT PHILCO</t>
  </si>
  <si>
    <t>CARREGADOR MAQUINA ALUGADA (INNO) 19V 3,42A</t>
  </si>
  <si>
    <t>CARREGADOR P/ MEDIDOR VIAVI ONX 220</t>
  </si>
  <si>
    <t>CARRINHO DE CARGA AÇO ZINCADO 150KG</t>
  </si>
  <si>
    <t>CATRACA ALUMINIO DIREITA</t>
  </si>
  <si>
    <t>CATRACA ALUMINIO ESQUERDA</t>
  </si>
  <si>
    <t>CATRACA NYLON DIREITA</t>
  </si>
  <si>
    <t>CATRACA NYLON ESQUERDA</t>
  </si>
  <si>
    <t>TL000580</t>
  </si>
  <si>
    <t>CFOA-SM-AS80-S  96FO RC CLARO</t>
  </si>
  <si>
    <t>CFOA-SM-AS80-S 12FO RC</t>
  </si>
  <si>
    <t>0452-0180-2</t>
  </si>
  <si>
    <t>CFOA-SM-AS80-S 36F TS NR (ABNT CL)</t>
  </si>
  <si>
    <t>CFOA-SM-AS80-S 48FO RC CLARO</t>
  </si>
  <si>
    <t>0452-0181-3</t>
  </si>
  <si>
    <t>CFOA-SM-AS80-S 72F TS NR (ABNT CL)</t>
  </si>
  <si>
    <t>CHAVE BAP 14mm</t>
  </si>
  <si>
    <t>CHAVE BAP 15 ISOLADA</t>
  </si>
  <si>
    <t>CHAVE BIELA 10</t>
  </si>
  <si>
    <t>CHAVE BIELA 11</t>
  </si>
  <si>
    <t>CHAVE BIELA 12</t>
  </si>
  <si>
    <t>CHAVE BIELA 14</t>
  </si>
  <si>
    <t>CHAVE BIELA 8</t>
  </si>
  <si>
    <t>CHAVE BOCA/ ESTRIA 16MM</t>
  </si>
  <si>
    <t>CHAVE BOCA/ ESTRIA 17MM</t>
  </si>
  <si>
    <t>CHAVE BOCA/ESTRIA 1/2</t>
  </si>
  <si>
    <t>CHAVE BOCA/ESTRIA 18 MM</t>
  </si>
  <si>
    <t>CHAVE BOCA/ESTRIA 19 MM</t>
  </si>
  <si>
    <t>CHAVE BOCA/ESTRIA 22 MM</t>
  </si>
  <si>
    <t>CHAVE COMBINADA 1/2</t>
  </si>
  <si>
    <t>CHAVE L 15</t>
  </si>
  <si>
    <t>CHAVE PHILIPS GIGANTE</t>
  </si>
  <si>
    <t>CLIMATIZADOR 4 M 1 BCL70 CINZA 110V</t>
  </si>
  <si>
    <t>COLHER DE PEDREIRO N 8</t>
  </si>
  <si>
    <t>CONEC KS MACHO RG11 FT</t>
  </si>
  <si>
    <t>CONEC RE ADAPT 90 GL 90 SC 3T</t>
  </si>
  <si>
    <t>CONEC RE TERM CORPO LONGO GI</t>
  </si>
  <si>
    <t>CONECTOR ATERRAMENTO SPLIT BOLT 16MM</t>
  </si>
  <si>
    <t>CONECTOR FO CAMPO FAST SC/APC</t>
  </si>
  <si>
    <t>CONECTOR RE ADAPT EQPT/ EQPT</t>
  </si>
  <si>
    <t>CONECTROR RE 750 3 PC PINO LONGO</t>
  </si>
  <si>
    <t>CONEC_R EMENDA G-F81F FEMEA</t>
  </si>
  <si>
    <t>CONEC_RE .500 PINO LONGO</t>
  </si>
  <si>
    <t>CONEC_RE ADAPT 180 GP-PA-4.5-T</t>
  </si>
  <si>
    <t>CONEC_RE ADAPT.EQPT/EQPT</t>
  </si>
  <si>
    <t>CONEC_RE ADAPTADOR CH-BAF-KS</t>
  </si>
  <si>
    <t>CONEC_RE EXT. PIN. 750 3POL</t>
  </si>
  <si>
    <t>CONEC_RE F FEMEA P/ 500 GI</t>
  </si>
  <si>
    <t>CONEC_RE P/ATERR.5/8 BIMETALI</t>
  </si>
  <si>
    <t>CONEC_RE P/ATERRO 5/6 BIMETAL</t>
  </si>
  <si>
    <t>CONEC_RE P/HASTE 5/8</t>
  </si>
  <si>
    <t>CONEC_RE SPLICE BLOCK</t>
  </si>
  <si>
    <t>CONEC_RE TERM. CORPO LONGO GI</t>
  </si>
  <si>
    <t>CONEC_RI COMPRESSAO F-11</t>
  </si>
  <si>
    <t>CONEC_RI COMPRESSAO F-6</t>
  </si>
  <si>
    <t>CONEC_RICOMPRESSAO F-11</t>
  </si>
  <si>
    <t>CONJ CAIXA EMENDA FO MINI FOSC 100 BM 24</t>
  </si>
  <si>
    <t>CONJ ISOLADOR ANCORAGEM</t>
  </si>
  <si>
    <t>CONJ MAT INSTAL CE FO FOSC B8 24 FO</t>
  </si>
  <si>
    <t>CONJ TUBO DERIVACAO FOSC 100 31MM</t>
  </si>
  <si>
    <t>CONJ TUBO DERIVAÇÃO FOSC 100 31 MM</t>
  </si>
  <si>
    <t>CONJUNTO RESERVA FO FIBERLOOP NYLON 1 PAR</t>
  </si>
  <si>
    <t>CONJUNTO TUBO DERIVAÇÃO FOSC</t>
  </si>
  <si>
    <t>CONVERSOR MULTIMIDA</t>
  </si>
  <si>
    <t>CORDAO OPTICO SIMPLEX SM SC APC SC APC 3M</t>
  </si>
  <si>
    <t>CORDAO OPTICO SIMPLEX SM SC IPC LC UPC 2M</t>
  </si>
  <si>
    <t>CORDOALHA AÇO 7FIOS 3/16</t>
  </si>
  <si>
    <t>CORDOALHA BENZINAL 3 FIOS 3/16 4.55MM Q1</t>
  </si>
  <si>
    <t>CORDOALHA BEZINAL 3 FIOS 4.55MM Q1</t>
  </si>
  <si>
    <t>CORDOALHA DIELETRICA 1/4 6,4MM</t>
  </si>
  <si>
    <t>CORDOALHA DIELETRICA 11KN 1/4 6,4MM</t>
  </si>
  <si>
    <t>CORNING STRIP TOOL 625 (CST625)</t>
  </si>
  <si>
    <t>CRUZETA</t>
  </si>
  <si>
    <t>CRUZETA POSTE P/ CABO OPTICO</t>
  </si>
  <si>
    <t>CURVA AÇO GALVANIZADO PESADO 11/2 X 90º</t>
  </si>
  <si>
    <t>CURVA PVC 90° 1</t>
  </si>
  <si>
    <t>DC RE 09DB 1.2 GHZ SSP-9Q</t>
  </si>
  <si>
    <t>DC RE 12DB 1.2 GHZ SSP-12Q</t>
  </si>
  <si>
    <t>DC_RE 07DB 1.2 GHZ SSP-7Q</t>
  </si>
  <si>
    <t>DC_RE 1.2 GHZ 08DB</t>
  </si>
  <si>
    <t>DC_RE 1.2GHZ 08DB REGAL</t>
  </si>
  <si>
    <t>DC_RE 1.2GHZ 12DB REGAL NET</t>
  </si>
  <si>
    <t>DC_RE 1.2GHZ 16DB REGAL</t>
  </si>
  <si>
    <t>DC_RE 12DB 1.2 GHZ SSP - 12Q</t>
  </si>
  <si>
    <t>DC_RE 12DB 1GHZ RLDC10-12-15A</t>
  </si>
  <si>
    <t>DC_RE07DB 1.2GHZ SSP-7Q</t>
  </si>
  <si>
    <t>D1001677</t>
  </si>
  <si>
    <t>DEF-CHAVE CANHAO 5/16</t>
  </si>
  <si>
    <t>D1000300</t>
  </si>
  <si>
    <t>DEF-IDENTIFICADOR  DE FIBRA ATIVA</t>
  </si>
  <si>
    <t>D1001222</t>
  </si>
  <si>
    <t>DEF-ROTULADOR PT70 BROTHER</t>
  </si>
  <si>
    <t>DERIVACAO T PRE DIELETRICA 1 4</t>
  </si>
  <si>
    <t>DERIVACAO T PRE DIELETRICA 1/4</t>
  </si>
  <si>
    <t>DERIVAÇÃO T PREFORMADA 1/4</t>
  </si>
  <si>
    <t>DERIVAÇÃO T PREFORMADA 3/16POL</t>
  </si>
  <si>
    <t>DERIVAÇÃO T PREFORMADA 316POLARJ DPF316</t>
  </si>
  <si>
    <t>DESEMPENADEIRA DE AÇO</t>
  </si>
  <si>
    <t>DESENGRIPANTE</t>
  </si>
  <si>
    <t>DESUMIDIFICADOR DE PAPEL 600 FOLHAS A4 BIVOLT</t>
  </si>
  <si>
    <t>E1000031</t>
  </si>
  <si>
    <t>DET-ALCOOL ISOPROPILICO 1000ML</t>
  </si>
  <si>
    <t>E1001455</t>
  </si>
  <si>
    <t>DET-APLICADOR DE COLA QUENTE</t>
  </si>
  <si>
    <t>E1000048</t>
  </si>
  <si>
    <t>DET-BADISCO DIGITAL GANDOLA</t>
  </si>
  <si>
    <t>E1000049</t>
  </si>
  <si>
    <t>DET-BALDE DE LONA</t>
  </si>
  <si>
    <t>E1000051</t>
  </si>
  <si>
    <t>DET-BANCO PLASTEX BRANCO</t>
  </si>
  <si>
    <t>E254777</t>
  </si>
  <si>
    <t>DET-BANDEJA EMENDA FOSC 100 BM B8 24FO</t>
  </si>
  <si>
    <t>E1001110</t>
  </si>
  <si>
    <t>DET-BANQUETA PT ARQUPLAST</t>
  </si>
  <si>
    <t>E1000657</t>
  </si>
  <si>
    <t>DET-BARRACA TENDA GAZEBO</t>
  </si>
  <si>
    <t>E1000065</t>
  </si>
  <si>
    <t>DET-BOLSA DE LONA</t>
  </si>
  <si>
    <t>E1001307</t>
  </si>
  <si>
    <t>DET-BOLSA P/ KIT FIBRA OPTICA</t>
  </si>
  <si>
    <t>E9000076</t>
  </si>
  <si>
    <t>DET-BOMBA DE MANGOTE AV.80 3</t>
  </si>
  <si>
    <t>E1000066</t>
  </si>
  <si>
    <t>DET-BOMBA DRENAGEM 3 AV 80F</t>
  </si>
  <si>
    <t>E30034354</t>
  </si>
  <si>
    <t>DET-BRACO EXTENSOR C/ISOL VERT</t>
  </si>
  <si>
    <t>E254627</t>
  </si>
  <si>
    <t>DET-CABO DROP 04FO C M AS FIG 8</t>
  </si>
  <si>
    <t>E28562</t>
  </si>
  <si>
    <t>DET-CABO FIBRA OPTICA 24 FIBRAS CFOA SM AS80 TS</t>
  </si>
  <si>
    <t>E254329</t>
  </si>
  <si>
    <t>DET-CABO FIBRA OPTICA CFOA-SM-AS80-S-72-RC</t>
  </si>
  <si>
    <t>E254379</t>
  </si>
  <si>
    <t>DET-CAIXA EMENDA AZUL FOSC 100BM 24F 4SAIDAS</t>
  </si>
  <si>
    <t>E254771</t>
  </si>
  <si>
    <t>DET-CAIXA EMENDA FOSC100 BM 24F 4SAIDAS AZUL</t>
  </si>
  <si>
    <t>E254487</t>
  </si>
  <si>
    <t>DET-CAIXA EMENDA OPTICA DM 144 FO</t>
  </si>
  <si>
    <t>E1008890</t>
  </si>
  <si>
    <t>DET-CAMERA SONDA ENDOSCOPICA- 5 M</t>
  </si>
  <si>
    <t>E1001667</t>
  </si>
  <si>
    <t>DET-CANETA  P/ LIMPEZA DE CONECTOR 2.5mm</t>
  </si>
  <si>
    <t>E1001599</t>
  </si>
  <si>
    <t>DET-CANETA MARCADORA  PERMANENTE</t>
  </si>
  <si>
    <t>E1001122</t>
  </si>
  <si>
    <t>DET-CANETA OPTICA - VISUAL FAULT RY V3105</t>
  </si>
  <si>
    <t>E1000137</t>
  </si>
  <si>
    <t>DET-CANIVETE</t>
  </si>
  <si>
    <t>E9000062</t>
  </si>
  <si>
    <t>DET-CARREGADOR MAQUINA ALUGADA (INNO) 19V 3,42A</t>
  </si>
  <si>
    <t>E1000713</t>
  </si>
  <si>
    <t>DET-CARRINHO DE MÃO</t>
  </si>
  <si>
    <t>E1006124</t>
  </si>
  <si>
    <t>DET-CATRACA 2,0 TONELADAS</t>
  </si>
  <si>
    <t>E1000149</t>
  </si>
  <si>
    <t>DET-CATRACA DE CORDOALHA 750Kg</t>
  </si>
  <si>
    <t>E1000150</t>
  </si>
  <si>
    <t>DET-CAVADEIRA ARTICULADA</t>
  </si>
  <si>
    <t>E1000852</t>
  </si>
  <si>
    <t>DET-CAVALETE 02 TON.</t>
  </si>
  <si>
    <t>E1001939</t>
  </si>
  <si>
    <t>DET-CAVALETE SUPORTE PARA BOBINA</t>
  </si>
  <si>
    <t>E254341</t>
  </si>
  <si>
    <t>DET-CFOA-SM-AS80-S 12FO RC</t>
  </si>
  <si>
    <t>E1002012</t>
  </si>
  <si>
    <t>DET-CHAVE BAP 15 ISOLADA</t>
  </si>
  <si>
    <t>E1006836</t>
  </si>
  <si>
    <t>DET-CHAVE BOCA/ESTRIA 5/16</t>
  </si>
  <si>
    <t>E1006832</t>
  </si>
  <si>
    <t>DET-CHAVE CANHAO 7/32</t>
  </si>
  <si>
    <t>E1006834</t>
  </si>
  <si>
    <t>DET-CHAVE COMBINADA 1/2</t>
  </si>
  <si>
    <t>D1006116</t>
  </si>
  <si>
    <t>DET-CHAVE GTP TRAVA E DESTRAVA CURTA</t>
  </si>
  <si>
    <t>E1000189</t>
  </si>
  <si>
    <t>DET-CHAVE INGLESA 10MM</t>
  </si>
  <si>
    <t>E1000195</t>
  </si>
  <si>
    <t>DET-CHAVE P/ CAIXA SUBTERRANEA</t>
  </si>
  <si>
    <t>E1000196</t>
  </si>
  <si>
    <t>DET-CHAVE PHILIPS GRANDE</t>
  </si>
  <si>
    <t>E1000197</t>
  </si>
  <si>
    <t>DET-CHAVE PHILIPS MEDIA</t>
  </si>
  <si>
    <t>E1000198</t>
  </si>
  <si>
    <t>DET-CHAVE PHILIPS PEQUENA</t>
  </si>
  <si>
    <t>E1006847</t>
  </si>
  <si>
    <t>DET-CHAVE PHILLIPS 1/4</t>
  </si>
  <si>
    <t>E1006848</t>
  </si>
  <si>
    <t>DET-CHAVE PHILLIPS 1/8</t>
  </si>
  <si>
    <t>E1000207</t>
  </si>
  <si>
    <t>DET-COLHER DE PEDREIRO</t>
  </si>
  <si>
    <t>E1001030</t>
  </si>
  <si>
    <t>DET-COLHER DE PEDREIRO N 6</t>
  </si>
  <si>
    <t>E1001001</t>
  </si>
  <si>
    <t>DET-CORDA DE SEDA</t>
  </si>
  <si>
    <t>E254355</t>
  </si>
  <si>
    <t>DET-CORDOALHA BEZINAL 3 FIOS 4.55MM Q1</t>
  </si>
  <si>
    <t>E1000224</t>
  </si>
  <si>
    <t>DET-CORRENTE C/ CADEADO SEGURANÇA</t>
  </si>
  <si>
    <t>E1000607</t>
  </si>
  <si>
    <t>DET-CORTADOR LONGITUDINAL DE TUBOLOOSE</t>
  </si>
  <si>
    <t>E1000241</t>
  </si>
  <si>
    <t>DET-ENROLADEIRA/DESENROLADEIRA</t>
  </si>
  <si>
    <t>E1000240</t>
  </si>
  <si>
    <t>DET-ENXADA</t>
  </si>
  <si>
    <t>E1000254</t>
  </si>
  <si>
    <t>DET-ESTILETE</t>
  </si>
  <si>
    <t>E1000255</t>
  </si>
  <si>
    <t>DET-ESTOPA BRANCA</t>
  </si>
  <si>
    <t>E1000258</t>
  </si>
  <si>
    <t>DET-EXTENSAO ELET. 10MTS</t>
  </si>
  <si>
    <t>E1000256</t>
  </si>
  <si>
    <t>DET-EXTENSÃO 20 MTS</t>
  </si>
  <si>
    <t>E1001295</t>
  </si>
  <si>
    <t>DET-FACAO</t>
  </si>
  <si>
    <t>E1001264</t>
  </si>
  <si>
    <t>DET-FERRO DE ABRIR CAIXA TIPO T</t>
  </si>
  <si>
    <t>E1000262</t>
  </si>
  <si>
    <t>DET-FERRO DE CAIXA</t>
  </si>
  <si>
    <t>E251879</t>
  </si>
  <si>
    <t>DET-FIO ESPINAR SAI1020 ISOL FEI125 ROLO 130,</t>
  </si>
  <si>
    <t>E253496</t>
  </si>
  <si>
    <t>DET-FITA AUTOFUSÃO 3M 23LB 19X10MM</t>
  </si>
  <si>
    <t>E254670</t>
  </si>
  <si>
    <t>DET-FITA ISOLANTE 3M HIGHLAND 19MM X 20M</t>
  </si>
  <si>
    <t>E1001042</t>
  </si>
  <si>
    <t>DET-GARRAFA TERMICA 5 LTS</t>
  </si>
  <si>
    <t>E1000293</t>
  </si>
  <si>
    <t>DET-GUARDA SOL ARTICULÁVEL</t>
  </si>
  <si>
    <t>E1002104</t>
  </si>
  <si>
    <t>DET-GUIA DE AÇO COM CAIXA 50M</t>
  </si>
  <si>
    <t>E1001189</t>
  </si>
  <si>
    <t>DET-GUIA DE FIBRA 100 MTS (PEQUENA)</t>
  </si>
  <si>
    <t>E1000296</t>
  </si>
  <si>
    <t>DET-GUIA DE FIBRA 300 M</t>
  </si>
  <si>
    <t>E1000300</t>
  </si>
  <si>
    <t>DET-IDENTIFICADOR  DE FIBRA ATIVA</t>
  </si>
  <si>
    <t>E1001914</t>
  </si>
  <si>
    <t>DET-IDENTIFICADOR DE FIBRA ATIVA TRIBRER AF1430</t>
  </si>
  <si>
    <t>E1002035</t>
  </si>
  <si>
    <t>DET-IMPRESSORA 3M PORTATIL PL300</t>
  </si>
  <si>
    <t>E1001241</t>
  </si>
  <si>
    <t>DET-INVERSOR DE ENERGIA 12V PARA 110V</t>
  </si>
  <si>
    <t>E1008895</t>
  </si>
  <si>
    <t>DET-INVERSOR DE SOLDA  (MAQUNA DE SOLDA ESAB)</t>
  </si>
  <si>
    <t>E251880</t>
  </si>
  <si>
    <t>DET-ISOLADOR PORCELANA 72X72 ARJ ISP72</t>
  </si>
  <si>
    <t>E1001706</t>
  </si>
  <si>
    <t>DET-JOGO CHAVE TORX PQ 9 PÇS</t>
  </si>
  <si>
    <t>E1001257</t>
  </si>
  <si>
    <t>DET-KIT CHAVE RELOJOEIRO C/ 11 PÇS</t>
  </si>
  <si>
    <t>E1001552</t>
  </si>
  <si>
    <t>DET-KIT DE CHAVE RELOJOEIRO C/ 6 PÇS</t>
  </si>
  <si>
    <t>E1000311</t>
  </si>
  <si>
    <t>DET-KIT LOCALIZADOR DE SINAL (Barulho)</t>
  </si>
  <si>
    <t>E1002258</t>
  </si>
  <si>
    <t>DET-KIT PÁ DE LIXO COM VASSOURINHA</t>
  </si>
  <si>
    <t>E1002153</t>
  </si>
  <si>
    <t>DET-LEITOR DE CODIGO DE BARRAS</t>
  </si>
  <si>
    <t>E1002022</t>
  </si>
  <si>
    <t>DET-LENÇO DE LIMPEZA FIBRA ÓPTICA</t>
  </si>
  <si>
    <t>E1002058</t>
  </si>
  <si>
    <t>DET-LENÇO UMIDECIDO COM ALCOOL  PARA LIMPEZA</t>
  </si>
  <si>
    <t>E1006880</t>
  </si>
  <si>
    <t>DET-MACHADO 3,5</t>
  </si>
  <si>
    <t>E1002263</t>
  </si>
  <si>
    <t>DET-MANTA DE APOIO (TAPETE) 0,60 X 1,0MTS</t>
  </si>
  <si>
    <t>E254544</t>
  </si>
  <si>
    <t>DET-MANTA OVAL COM ZIPER FOSC BM B8 E DM</t>
  </si>
  <si>
    <t>E1001118</t>
  </si>
  <si>
    <t>DET-MAQUINA DE EMENDA ELOIK BRASIL LDS 88</t>
  </si>
  <si>
    <t>E1000337</t>
  </si>
  <si>
    <t>DET-MAQUINA DE ESPINAR DUPLA</t>
  </si>
  <si>
    <t>E1000346</t>
  </si>
  <si>
    <t>DET-MARRETA 5 KG</t>
  </si>
  <si>
    <t>E251850</t>
  </si>
  <si>
    <t>DET-MASSA CALAFETAR CINZA</t>
  </si>
  <si>
    <t>E1002011</t>
  </si>
  <si>
    <t>DET-MEDIDOR DE SINAL LGM</t>
  </si>
  <si>
    <t>E1001884</t>
  </si>
  <si>
    <t>DET-MEDIDOR S120 PON ID READER</t>
  </si>
  <si>
    <t>E1006120</t>
  </si>
  <si>
    <t>DET-MEDIDOR TRILITHIC M3 PLUS</t>
  </si>
  <si>
    <t>E1000503</t>
  </si>
  <si>
    <t>DET-MESA DE FERRO</t>
  </si>
  <si>
    <t>E1001736</t>
  </si>
  <si>
    <t>DET-ORGANIZADOR GRANDE</t>
  </si>
  <si>
    <t>E1001279</t>
  </si>
  <si>
    <t>DET-PA DE MAO</t>
  </si>
  <si>
    <t>E1000373</t>
  </si>
  <si>
    <t>DET-PA DE PLASTICO</t>
  </si>
  <si>
    <t>E1001600</t>
  </si>
  <si>
    <t>DET-PANO DE LIMPEZA</t>
  </si>
  <si>
    <t>E1001184</t>
  </si>
  <si>
    <t>DET-PASSA FIO 10 METROS</t>
  </si>
  <si>
    <t>E1000388</t>
  </si>
  <si>
    <t>DET-PASSA FIO 20Mts ALMA DE AÇO</t>
  </si>
  <si>
    <t>E1000391</t>
  </si>
  <si>
    <t>DET-PASSA FIO C/ ALMA DE AÇO 20MTS</t>
  </si>
  <si>
    <t>E1000392</t>
  </si>
  <si>
    <t>DET-PASSA FIO NYLON (GUIA) 20MTS</t>
  </si>
  <si>
    <t>E1000395</t>
  </si>
  <si>
    <t>DET-PICARETA</t>
  </si>
  <si>
    <t>E1000545</t>
  </si>
  <si>
    <t>DET-PILHA AA</t>
  </si>
  <si>
    <t>E1006136</t>
  </si>
  <si>
    <t>DET-PILHA AAA</t>
  </si>
  <si>
    <t>E254517</t>
  </si>
  <si>
    <t>DET-PLACA SINAL CABO OPTICO 90X40X3MM</t>
  </si>
  <si>
    <t>E1000999</t>
  </si>
  <si>
    <t>DET-PÁ DE BICO</t>
  </si>
  <si>
    <t>E1001275</t>
  </si>
  <si>
    <t>DET-QUEROSENE</t>
  </si>
  <si>
    <t>E1001669</t>
  </si>
  <si>
    <t>DET-RECIPIENTE PARA ALCOOL</t>
  </si>
  <si>
    <t>E1000423</t>
  </si>
  <si>
    <t>DET-REDUTOR 500ml  (ISOPARAFINA)</t>
  </si>
  <si>
    <t>E1000534</t>
  </si>
  <si>
    <t>DET-REFIL ETIQUETADORA</t>
  </si>
  <si>
    <t>E1002107</t>
  </si>
  <si>
    <t>DET-REFLETOR DE LED</t>
  </si>
  <si>
    <t>E1001186</t>
  </si>
  <si>
    <t>DET-REFLETOR HOLOFOTE - GT111</t>
  </si>
  <si>
    <t>E1006874</t>
  </si>
  <si>
    <t>DET-ROCADEIRA A GASOLINA NK-650 PRO</t>
  </si>
  <si>
    <t>E1008882</t>
  </si>
  <si>
    <t>DET-ROTULADOR ETIQUETADORA DYMO LABEL MANAGER 500 TS</t>
  </si>
  <si>
    <t>E1002281</t>
  </si>
  <si>
    <t>DET-SONDA PASSA FIO HELICOIDAL 20M</t>
  </si>
  <si>
    <t>E1002046</t>
  </si>
  <si>
    <t>DET-SPRAY AZUL</t>
  </si>
  <si>
    <t>E251820</t>
  </si>
  <si>
    <t>DET-SUPORTE P ISOLADOR VERT. PRESBOW 12X8X17CM</t>
  </si>
  <si>
    <t>E1001266</t>
  </si>
  <si>
    <t>DET-TESOURÃO 30 P/ CORTE DE CORDOALHA</t>
  </si>
  <si>
    <t>E1000457</t>
  </si>
  <si>
    <t>DET-TESOURÃO CORTA VERGALHÃO 24</t>
  </si>
  <si>
    <t>E1002108</t>
  </si>
  <si>
    <t>DET-TESOURÃO CORTA VERGALHÃO 30</t>
  </si>
  <si>
    <t>E1001476</t>
  </si>
  <si>
    <t>DET-TESTADOR DE CABO DE REDE LAN (ETHERNET)</t>
  </si>
  <si>
    <t>E1006901</t>
  </si>
  <si>
    <t>DET-TORNO / MORSAS DE BANCADA, 3 75 MM/</t>
  </si>
  <si>
    <t>E1001461</t>
  </si>
  <si>
    <t>DET-TUBO DE COLA QUENTE</t>
  </si>
  <si>
    <t>E1000478</t>
  </si>
  <si>
    <t>DET-VERRUMA</t>
  </si>
  <si>
    <t>DGO 19PG P/BAST 12FBR C/CONEC SC/APC</t>
  </si>
  <si>
    <t>DGO 72 FO GPON 1 RU SC\ APC</t>
  </si>
  <si>
    <t>DISJUNTOR UNIPOLAR 10A PADRÃO</t>
  </si>
  <si>
    <t>DIV_x001F__RE 03S 1.2 GHZ SP 636Q</t>
  </si>
  <si>
    <t>DIVISOR 1:2 HUB BOX PRECON ODN2.0</t>
  </si>
  <si>
    <t>DIVISOR OPTICO GPON 1:8 FIBRA NUA FUSAO</t>
  </si>
  <si>
    <t>DIVISOR OPTICO GPON 1:8 R 132827</t>
  </si>
  <si>
    <t>DIVISOR OTICO GPON 1:8</t>
  </si>
  <si>
    <t>DIVISOR RE 1.2GHZ 03SAIDAS DESBALANCEADO</t>
  </si>
  <si>
    <t>DIV_RE 02S 1.2 GHZ SSP-3Q</t>
  </si>
  <si>
    <t>DIV_RE 03S 1.2 GHZ SSP-3-636Q</t>
  </si>
  <si>
    <t>DIV_RE 1.2GHZ 02S CISCO</t>
  </si>
  <si>
    <t>DIV_RE 1.2GHZ 2S REGAL</t>
  </si>
  <si>
    <t>DIV_RE 1.2GHZ 3S 488 REGAL</t>
  </si>
  <si>
    <t>DIV_RE 3S 1 GHZ RLS10-3-15A TR</t>
  </si>
  <si>
    <t>DIV_RE 3S 1GHZ BALANCEADO S.A</t>
  </si>
  <si>
    <t>DIV_RE 3S 1GHZ SSP-3-636N-R TR</t>
  </si>
  <si>
    <t>0230-0254-4</t>
  </si>
  <si>
    <t>DUTO PEAD 40x34 PRETO</t>
  </si>
  <si>
    <t>DUTO PEAD BIPARTIDO 75MM SUBIDA LATERAL</t>
  </si>
  <si>
    <t>ELETRODUTO  PVC 1X3Mts</t>
  </si>
  <si>
    <t>ELETRODUTO AÇO GALV. A FOGO PESADO 11/2 X 3M</t>
  </si>
  <si>
    <t>ELETRODUTO FLEX PVC 1 1/4</t>
  </si>
  <si>
    <t>ELETRODUTO PEAD 1/2 X 6MT PT</t>
  </si>
  <si>
    <t>ELETRODUTO RIGIDO 1X3M PT</t>
  </si>
  <si>
    <t>ELETRODUTO RIGIDO 3 X 3MT</t>
  </si>
  <si>
    <t>EMENDA CABO TELEFONE 101-E GEL</t>
  </si>
  <si>
    <t>EMENDA PRE FORMADO 1/4 ACO</t>
  </si>
  <si>
    <t>EMENDA PRE FORMADO 3/16 POL AÇO</t>
  </si>
  <si>
    <t>EMENDA PRE FORMADO3/16 POL ACO</t>
  </si>
  <si>
    <t>EMPILHADEIRA ELETRICA</t>
  </si>
  <si>
    <t>EMPILHADEIRA PATOLADA 1.6T</t>
  </si>
  <si>
    <t>ENXADAO  ESTREITO</t>
  </si>
  <si>
    <t>EQ_PLUGIN 04DB 1GHZ T-EQ-04-R TR</t>
  </si>
  <si>
    <t>EQ_TAP 0DB 1GHZ T-EQ-JP</t>
  </si>
  <si>
    <t>EQ_TAP CS 03DB1G T-CS-03-R TR</t>
  </si>
  <si>
    <t>EQ_TAP CS 09DB 1G T-CS-R TR</t>
  </si>
  <si>
    <t>EQ_TAP EQ 02DB 1G T-EQ-02-R TR</t>
  </si>
  <si>
    <t>EQ_TAP EQ 08DB 1G T-EQ-08-R</t>
  </si>
  <si>
    <t>EQ_TAP EQ 09DB</t>
  </si>
  <si>
    <t>EQ_TAP EQ 12DB 1G T-EQ-12R TR</t>
  </si>
  <si>
    <t>ESCAPADOR 1/2 CABO COAXIAL</t>
  </si>
  <si>
    <t>ESPACADOR PLASTICO 1/2 CABO COAXIAL</t>
  </si>
  <si>
    <t>ESPAÇADOR 1/2 CABO COAXIAL</t>
  </si>
  <si>
    <t>ESPAÇADOR 3/4 CABO COAXIAL</t>
  </si>
  <si>
    <t>ESPAÇADOR 34 CABO COAXIAL ARJ SPC20 PLASTICO</t>
  </si>
  <si>
    <t>ESPUMA EXPANSIVA</t>
  </si>
  <si>
    <t>ESQUADRO</t>
  </si>
  <si>
    <t>ESTANTE PARA GAVETEIROS  BINS 10/9</t>
  </si>
  <si>
    <t>FACÃO</t>
  </si>
  <si>
    <t>FECHO DE ACO INOX DENTADO 1/2</t>
  </si>
  <si>
    <t>FECHO DE ACO INOX DENTADO 1/2PG</t>
  </si>
  <si>
    <t>FECHO DE AÇO INOX DENTADO 1/2</t>
  </si>
  <si>
    <t>FECHO DE AÇO INOX DENTADO 3/4</t>
  </si>
  <si>
    <t>FECHO DE AÇO INOX DENTADO 3/4PG</t>
  </si>
  <si>
    <t>FECHO P FITA PLASTICA DIELET</t>
  </si>
  <si>
    <t>FECHO P/ FITA PLASTICA DIELET</t>
  </si>
  <si>
    <t>FIO ESPIN SAE1020 ISOL FEI-125</t>
  </si>
  <si>
    <t>FIO ESPINAR SAI1020 ISOL FEI125 ROLO 130,</t>
  </si>
  <si>
    <t>FITA ACO INOX 1/2PG X 0,5MM ROLO 25M NET</t>
  </si>
  <si>
    <t>FITA ADESIVA PVC 24MM 5,5 AMRL</t>
  </si>
  <si>
    <t>FITA ADESIVA PVC 24MM 5,5M AMRL</t>
  </si>
  <si>
    <t>FITA ADESIVA PVC 24MM 5,5M AMRL 1805431</t>
  </si>
  <si>
    <t>FITA ADESIVA PVC 24MM 5M</t>
  </si>
  <si>
    <t>FITA AUTOFUSÃO 3 MF 23LB 19X10MMARJ FAF 3</t>
  </si>
  <si>
    <t>FITA AUTOFUSÃO 3M 23LB 19X10MM</t>
  </si>
  <si>
    <t>FITA INOX 1/2 X 0,5MM X 25MT</t>
  </si>
  <si>
    <t>FITA INOX 3/4 X 0,5MM ROLO 25M</t>
  </si>
  <si>
    <t>FITA INOX3/4 X 0,5MM X 25M</t>
  </si>
  <si>
    <t>FITA ISOLANTE</t>
  </si>
  <si>
    <t>FITA ISOLANTE COLORIDA 19X20 MTS AMARELA</t>
  </si>
  <si>
    <t>FITA PLASTICA DIELET</t>
  </si>
  <si>
    <t>FIXA FIO CABO LOW FRICT CHATO</t>
  </si>
  <si>
    <t>GABIN FONTE 127V C/TRAVA + KIT</t>
  </si>
  <si>
    <t>GUIA DE AÇO</t>
  </si>
  <si>
    <t>GUIA DE FIBRA 150 MTS (PEQUENA)</t>
  </si>
  <si>
    <t>GUIA DE FIBRA 50M</t>
  </si>
  <si>
    <t>HASTE ATER SABE 1020 16MM 2,4M</t>
  </si>
  <si>
    <t>HASTE ATER SAE1020 16MM 2,4MM</t>
  </si>
  <si>
    <t>INS POT LPI 1.2 GHZ SSP-PIQ/SP</t>
  </si>
  <si>
    <t>INVERSOR DE ENERGIA 200WATTS HAYONIK</t>
  </si>
  <si>
    <t>ISOLADOR PORCELANA 72 X 72</t>
  </si>
  <si>
    <t>ISOLADOR PORCELANA 72X72 ARJ ISP72</t>
  </si>
  <si>
    <t>ISOLADOR ROLDANA PLASTICO</t>
  </si>
  <si>
    <t>JG ALGARISMO DE BATER 6MM</t>
  </si>
  <si>
    <t>JG GABARITO DE ZINCO ALFABETO 25MM</t>
  </si>
  <si>
    <t>JG GABARITO DE ZINCO NUMERICO 25MM</t>
  </si>
  <si>
    <t>JOGO CHAVE COMBINADA 6 A 22 (12 PÇ)</t>
  </si>
  <si>
    <t>JOGO CHAVE TORX PQ 9 PÇS</t>
  </si>
  <si>
    <t>JST 540</t>
  </si>
  <si>
    <t>JST 625</t>
  </si>
  <si>
    <t>KIT CE FO MINI FOSC 100 BM/24</t>
  </si>
  <si>
    <t>KIT CE FO MINI FOSC 100 BM/48</t>
  </si>
  <si>
    <t>KIT CE FO MINI FOSC 100 BM/72</t>
  </si>
  <si>
    <t>KIT CE FO MINI FOSC 100 BM/96</t>
  </si>
  <si>
    <t>KIT DERIVAÇÃO FO P/ FIST</t>
  </si>
  <si>
    <t>KIT DERIVAÇÃO P/ FOSC</t>
  </si>
  <si>
    <t>KIT ENTRADA OVAL FOSC 100BM</t>
  </si>
  <si>
    <t>KIT PARAFUSO CABC ABAULADA PCA M10X30MM</t>
  </si>
  <si>
    <t>KIT RESERVA FO FIBERLOOP 1PAR</t>
  </si>
  <si>
    <t>KIT SUPORTE NET P/ATIVOS DA REDE COAXIAL</t>
  </si>
  <si>
    <t>KIT TUBO DE DERIVAÇÃO PARA CAIXA DE EMENDA FIST</t>
  </si>
  <si>
    <t>KIT TUBO DERIVACAO FOSC100</t>
  </si>
  <si>
    <t>KIT TUBO DERIVACAO PEQUENO 30/8 87280000</t>
  </si>
  <si>
    <t>KIT TUBO DERIVAÇAO PEQUENO 30/8 87280000</t>
  </si>
  <si>
    <t>KIT TUBO DERIVAÇÃO FOSC 100 31MM</t>
  </si>
  <si>
    <t>KIT TUBO DERIVAÇÃO FOSC100</t>
  </si>
  <si>
    <t>LACO PRE FORMADO 2,77MM</t>
  </si>
  <si>
    <t>LACO PRE FORMADO 2.77MM</t>
  </si>
  <si>
    <t>LAMINA P/ESTILETE</t>
  </si>
  <si>
    <t>LAÇO PRE FORMADO 1/4</t>
  </si>
  <si>
    <t>LAÇO PRE FORMADO 3/16</t>
  </si>
  <si>
    <t>LAÇO PRE FORMADO 316 ARJ LPF316 PLP SPL5301P</t>
  </si>
  <si>
    <t>LEITOR DE CÓDIGO DE BARRAS CONEXÃO USB ELGIN</t>
  </si>
  <si>
    <t>LIXA DAGUA</t>
  </si>
  <si>
    <t>LONA DE PROTEÇÃO 3X3 AZUL PLASTICA</t>
  </si>
  <si>
    <t>LUVA COMPRESSAO DE PP DN40MM X DN40MM</t>
  </si>
  <si>
    <t>LUVA DE REDUÇÃO 100/75 MM</t>
  </si>
  <si>
    <t>LUVA PVC 1</t>
  </si>
  <si>
    <t>LÂMPADA 20W</t>
  </si>
  <si>
    <t>MANDRIL 1/2</t>
  </si>
  <si>
    <t>MANGUEIRA FLEXIVEL KANAFLEX SAIDA 3</t>
  </si>
  <si>
    <t>MANILHA DE CONCRETO 0,80 X 0,90</t>
  </si>
  <si>
    <t>MANTA DE APOIO (TAPETE) 0,60 X 1,0MTS</t>
  </si>
  <si>
    <t>MANTA DE DERIVAÇÃO FOSC BM DM S ZIPER</t>
  </si>
  <si>
    <t>MANTA DERIVACAO COM ZIPER FOSC BM B8 DM</t>
  </si>
  <si>
    <t>MANTA DERIVACAO COM ZIPER FOSC BM E B8</t>
  </si>
  <si>
    <t>MANTA DERIVAÇÃO FOSC 100 BM B8 C/ ZIPER</t>
  </si>
  <si>
    <t>MANTA DERIVAÇÃO FOSC 100 BM B8 S ZIPER CJ</t>
  </si>
  <si>
    <t>MANTA ENTRADA OVAL C/ ZIPER</t>
  </si>
  <si>
    <t>MANTA OVAL COM ZIPER FOSC BM B8 E DM</t>
  </si>
  <si>
    <t>MANTA OVAL FOSC100 BM B8 DM SEM ZIPER</t>
  </si>
  <si>
    <t>MANTA OVAL SEM ZIPER FOSC BM B8 DM</t>
  </si>
  <si>
    <t>MAQUINA DE EMENDA ELOIK BRASIL LDS 88</t>
  </si>
  <si>
    <t>MAQUINA DE FUSAO (ALUGADA)</t>
  </si>
  <si>
    <t>MAQUINA DE FUSÃO FUJIKURA</t>
  </si>
  <si>
    <t>MAQUINA DE MEDIR FIOS E CABOS SM SUPORTE</t>
  </si>
  <si>
    <t>MARCADOR CASA PTO LETRA A</t>
  </si>
  <si>
    <t>MARCO DE CONCRETO TRAPEZOIDAL</t>
  </si>
  <si>
    <t>MARCO DE CONCRETO TRIANGULAR</t>
  </si>
  <si>
    <t>MARRETA 1KG</t>
  </si>
  <si>
    <t>MARRETA 3 KG</t>
  </si>
  <si>
    <t>MASSA CALAFETAR CINZA</t>
  </si>
  <si>
    <t>MEDIDOR DE CAMPO TRILITHIC 180 DSP COMPLETO</t>
  </si>
  <si>
    <t>MEDIDOR DE CAMPO TRILITHIC 860 DSPI COMPLETO</t>
  </si>
  <si>
    <t>MEDIDOR DE SINAL ONE EXPERT DSP ONX 220</t>
  </si>
  <si>
    <t>MEDIDOR DSAM JDSU 6300</t>
  </si>
  <si>
    <t>MEDIDOR MSQ</t>
  </si>
  <si>
    <t>NAVALHA MECSIL 01 ( LAMINA)</t>
  </si>
  <si>
    <t>OPTLOOP SEM FERRAGEM - CINZA</t>
  </si>
  <si>
    <t>PA DE PLASTICO</t>
  </si>
  <si>
    <t>PALETEIRA HIDRAULICA MANUAL</t>
  </si>
  <si>
    <t>PANO DE LIMPEZA</t>
  </si>
  <si>
    <t>PARAFUSO P/ ABRAC BAP 2 E 3</t>
  </si>
  <si>
    <t>PARAFUSO P/ABRAC BAP 2 E 3</t>
  </si>
  <si>
    <t>PENEIRA ARROZ</t>
  </si>
  <si>
    <t>PICARETA</t>
  </si>
  <si>
    <t>PILHA MANGANES AAA 1.5 V</t>
  </si>
  <si>
    <t>PILHA MANGANES TAM AA 1,5V</t>
  </si>
  <si>
    <t>PLACA DE SINAL FIBRA OPTICA CLARO</t>
  </si>
  <si>
    <t>PLACA DE SINALIZAÇÃO FIBRA OPTICA AMARELA</t>
  </si>
  <si>
    <t>PLACA EM ALUMINIO 11X6,4 X 1MM</t>
  </si>
  <si>
    <t>PLACA SINAL CABO COAXIAL CLARO</t>
  </si>
  <si>
    <t>PLACA SINAL CABO OPTICO 90X40X3MM</t>
  </si>
  <si>
    <t>PLACA SINAL CABO OPTICO CLARO TELEFONE</t>
  </si>
  <si>
    <t>PLACA SINAL. FIBRA OTICA CLARO</t>
  </si>
  <si>
    <t>PRANCHETA</t>
  </si>
  <si>
    <t>PRENSA FIO DE 1/4 ALUMINIO</t>
  </si>
  <si>
    <t>PRENSA FIO DE ESPINAR 1/4 GPON</t>
  </si>
  <si>
    <t>PRENSA FIO ESPINAR 1/4 ALUM.</t>
  </si>
  <si>
    <t>PRENSA FIO ESPINAR 1/4 GPON</t>
  </si>
  <si>
    <t>PRENSA FIO P/ FIO ESPINAR 3/16</t>
  </si>
  <si>
    <t>PRENSA FIO PARA FIO DE ESPINAR 316</t>
  </si>
  <si>
    <t>PROTETOR DE EMENDAS GRANDE</t>
  </si>
  <si>
    <t>PROTETOR EMENDA 62MM FOSC</t>
  </si>
  <si>
    <t>PROTETOR FO TERMOCONTR 45mm</t>
  </si>
  <si>
    <t>PROTETOR FO TERMOCONTR 62MM</t>
  </si>
  <si>
    <t>PROTETOR FO TERMOCONTR. 45MM</t>
  </si>
  <si>
    <t>PROTETOR SURTO CPE SO AC POCKET</t>
  </si>
  <si>
    <t>PROTETOR TERMOCONTR 500 A 625</t>
  </si>
  <si>
    <t>PROTETOR TERMOCONTR.500 A 625</t>
  </si>
  <si>
    <t>PROTETOR TERMOCONTR.750 A .860</t>
  </si>
  <si>
    <t>PROTETOR_FO TERMOCONTR 62MM</t>
  </si>
  <si>
    <t>PÉ DE CABRA 3/4 X 60</t>
  </si>
  <si>
    <t>QUEROSENE</t>
  </si>
  <si>
    <t>B252815</t>
  </si>
  <si>
    <t>REAP-ABRAÇADEIRA HELLERMANN T50R-PT</t>
  </si>
  <si>
    <t>B1001710</t>
  </si>
  <si>
    <t>REAP-ADAPTADOR SC/APC</t>
  </si>
  <si>
    <t>B1000021</t>
  </si>
  <si>
    <t>REAP-ALAVANCA DE AÇO 1,45MTS</t>
  </si>
  <si>
    <t>B1000031</t>
  </si>
  <si>
    <t>REAP-ALCOOL ISOPROPILICO 1000ML</t>
  </si>
  <si>
    <t>B1000048</t>
  </si>
  <si>
    <t>REAP-BADISCO DIGITAL GANDOLA</t>
  </si>
  <si>
    <t>B1000049</t>
  </si>
  <si>
    <t>REAP-BALDE DE LONA</t>
  </si>
  <si>
    <t>B254379</t>
  </si>
  <si>
    <t>REAP-CAIXA EMENDA AZUL FOSC 100BM 24F 4SAIDAS</t>
  </si>
  <si>
    <t>B254771</t>
  </si>
  <si>
    <t>REAP-CAIXA EMENDA FOSC100 BM 24F 4SAIDAS AZUL</t>
  </si>
  <si>
    <t>B1008890</t>
  </si>
  <si>
    <t>REAP-CAMERA SONDA ENDOSCOPICA- 5 M</t>
  </si>
  <si>
    <t>B1001667</t>
  </si>
  <si>
    <t>REAP-CANETA  P/ LIMPEZA DE CONECTOR 2.5mm</t>
  </si>
  <si>
    <t>B1000163</t>
  </si>
  <si>
    <t>REAP-CHAVE BOCA /ESTRIA 15MM</t>
  </si>
  <si>
    <t>B1006837</t>
  </si>
  <si>
    <t>REAP-CHAVE BOCA/ESTRIA 7/16</t>
  </si>
  <si>
    <t>B1002103</t>
  </si>
  <si>
    <t>REAP-CHAVE CANHAO 1/8</t>
  </si>
  <si>
    <t>B1006116</t>
  </si>
  <si>
    <t>REAP-CHAVE GTP TRAVA E DESTRAVA CURTA</t>
  </si>
  <si>
    <t>B1000189</t>
  </si>
  <si>
    <t>REAP-CHAVE INGLESA 10MM</t>
  </si>
  <si>
    <t>B1000190</t>
  </si>
  <si>
    <t>REAP-CHAVE INGLESA 12MM</t>
  </si>
  <si>
    <t>B1000191</t>
  </si>
  <si>
    <t>REAP-CHAVE INGLESA 8MM</t>
  </si>
  <si>
    <t>B1000195</t>
  </si>
  <si>
    <t>REAP-CHAVE P/ CAIXA SUBTERRANEA</t>
  </si>
  <si>
    <t>B1000197</t>
  </si>
  <si>
    <t>REAP-CHAVE PHILIPS MEDIA</t>
  </si>
  <si>
    <t>B1000198</t>
  </si>
  <si>
    <t>REAP-CHAVE PHILIPS PEQUENA</t>
  </si>
  <si>
    <t>B9000020</t>
  </si>
  <si>
    <t>B1000629</t>
  </si>
  <si>
    <t>REAP-CORDAO DE TESTE KRONE</t>
  </si>
  <si>
    <t>B1000607</t>
  </si>
  <si>
    <t>REAP-CORTADOR LONGITUDINAL DE TUBOLOOSE</t>
  </si>
  <si>
    <t>B1001283</t>
  </si>
  <si>
    <t>REAP-DISCO DIAMANTADO - 105 mm</t>
  </si>
  <si>
    <t>B1000241</t>
  </si>
  <si>
    <t>REAP-ENROLADEIRA/DESENROLADEIRA</t>
  </si>
  <si>
    <t>B1000240</t>
  </si>
  <si>
    <t>REAP-ENXADA</t>
  </si>
  <si>
    <t>B1000254</t>
  </si>
  <si>
    <t>REAP-ESTILETE</t>
  </si>
  <si>
    <t>B1000258</t>
  </si>
  <si>
    <t>REAP-EXTENSAO ELET. 10MTS</t>
  </si>
  <si>
    <t>B1000256</t>
  </si>
  <si>
    <t>REAP-EXTENSÃO 20 MTS</t>
  </si>
  <si>
    <t>B1001264</t>
  </si>
  <si>
    <t>REAP-FERRO DE ABRIR CAIXA TIPO T</t>
  </si>
  <si>
    <t>B1000262</t>
  </si>
  <si>
    <t>REAP-FERRO DE CAIXA</t>
  </si>
  <si>
    <t>B1000293</t>
  </si>
  <si>
    <t>REAP-GUARDA SOL ARTICULÁVEL</t>
  </si>
  <si>
    <t>B1001189</t>
  </si>
  <si>
    <t>REAP-GUIA DE FIBRA 100 MTS (PEQUENA)</t>
  </si>
  <si>
    <t>B1000300</t>
  </si>
  <si>
    <t>REAP-IDENTIFICADOR  DE FIBRA ATIVA</t>
  </si>
  <si>
    <t>B1001184</t>
  </si>
  <si>
    <t>REAP-PASSA FIO 10 METROS</t>
  </si>
  <si>
    <t>B1000391</t>
  </si>
  <si>
    <t>REAP-PASSA FIO C/ ALMA DE AÇO 20MTS</t>
  </si>
  <si>
    <t>B1000545</t>
  </si>
  <si>
    <t>REAP-PILHA AA</t>
  </si>
  <si>
    <t>B1000999</t>
  </si>
  <si>
    <t>REAP-PÁ DE BICO</t>
  </si>
  <si>
    <t>B1001669</t>
  </si>
  <si>
    <t>REAP-RECIPIENTE PARA ALCOOL</t>
  </si>
  <si>
    <t>B1001200</t>
  </si>
  <si>
    <t>REAP-ROLETADOR DE TUBO LOOSE</t>
  </si>
  <si>
    <t>B1002045</t>
  </si>
  <si>
    <t>REAP-TAPETE VERDE IHS</t>
  </si>
  <si>
    <t>B1000478</t>
  </si>
  <si>
    <t>REAP-VERRUMA</t>
  </si>
  <si>
    <t>REPELENTE ALG REPEL SPRAY PLUS DEET</t>
  </si>
  <si>
    <t>RESERVA CABO CAIXA NAP PRECON OUTDOOR</t>
  </si>
  <si>
    <t>R1001307</t>
  </si>
  <si>
    <t>RET-BOLSA P/ KIT FIBRA OPTICA</t>
  </si>
  <si>
    <t>R1000224</t>
  </si>
  <si>
    <t>RET-CORRENTE C/ CADEADO SEGURANÇA</t>
  </si>
  <si>
    <t>ROLDANA DE PLASTICO 72 X 72</t>
  </si>
  <si>
    <t>ROLETADOR LONGITUDINAL</t>
  </si>
  <si>
    <t>ROLO DE FITA DE ADVERTÊNCIA CABO ÓPTICO</t>
  </si>
  <si>
    <t>ROLO ESPUMA  PQ P/ PINTURA</t>
  </si>
  <si>
    <t>SERROTE</t>
  </si>
  <si>
    <t>SIDEKICK</t>
  </si>
  <si>
    <t>SINALIZADOR VIARIO SOLAR  PARAFUSO C/ FOTOCECULA</t>
  </si>
  <si>
    <t>SPRAY AZUL</t>
  </si>
  <si>
    <t>S22023400</t>
  </si>
  <si>
    <t>SUC-ABRAPÇADEIRA NYLON 203X4, 9X1, 3MM T50R</t>
  </si>
  <si>
    <t>S1001710</t>
  </si>
  <si>
    <t>SUC-ADAPTADOR SC/APC</t>
  </si>
  <si>
    <t>S30033993</t>
  </si>
  <si>
    <t>SUC-ALCA PREFORMADA FO AS PLP 1015 14,3 A 16</t>
  </si>
  <si>
    <t>S1000031</t>
  </si>
  <si>
    <t>SUC-ALCOOL ISOPROPILICO 1000ML</t>
  </si>
  <si>
    <t>S254018</t>
  </si>
  <si>
    <t>SUC-ALÇA PREFORMADA FO AS PLP 1005</t>
  </si>
  <si>
    <t>S1001455</t>
  </si>
  <si>
    <t>SUC-APLICADOR DE COLA QUENTE</t>
  </si>
  <si>
    <t>S1000041</t>
  </si>
  <si>
    <t>SUC-APLICADOR DE SILICONE</t>
  </si>
  <si>
    <t>S1000048</t>
  </si>
  <si>
    <t>SUC-BADISCO DIGITAL GANDOLA</t>
  </si>
  <si>
    <t>S1000049</t>
  </si>
  <si>
    <t>SUC-BALDE DE LONA</t>
  </si>
  <si>
    <t>S1000051</t>
  </si>
  <si>
    <t>SUC-BANCO PLASTEX BRANCO</t>
  </si>
  <si>
    <t>S1001110</t>
  </si>
  <si>
    <t>SUC-BANQUETA PT ARQUPLAST</t>
  </si>
  <si>
    <t>S1000062</t>
  </si>
  <si>
    <t>SUC-BISNAGA DE SILICONE</t>
  </si>
  <si>
    <t>S1001307</t>
  </si>
  <si>
    <t>SUC-BOLSA P/ KIT FIBRA OPTICA</t>
  </si>
  <si>
    <t>S60000133</t>
  </si>
  <si>
    <t>SUC-CABO COAXIAL RE P3 .500 S/M PT</t>
  </si>
  <si>
    <t>S60000572</t>
  </si>
  <si>
    <t>SUC-CABO FIBRA OPTICA CFOA SM AS 80 S 36 RC</t>
  </si>
  <si>
    <t>S22030303</t>
  </si>
  <si>
    <t>SUC-CABO FIBRA OPTICA CFOA SM AS80 12F RC</t>
  </si>
  <si>
    <t>S60000578</t>
  </si>
  <si>
    <t>SUC-CABO FIBRA OPTICA CFOA SM DD 12 RC</t>
  </si>
  <si>
    <t>S22065302</t>
  </si>
  <si>
    <t>SUC-CABO FIBRA OPTICA CFOA SM DD S 12 RC</t>
  </si>
  <si>
    <t>S60000571</t>
  </si>
  <si>
    <t>SUC-CABO FIBRA OPTICA CFOA SM DD S 36 RC</t>
  </si>
  <si>
    <t>S254343</t>
  </si>
  <si>
    <t>SUC-CABO FIBRA OPTICA CFOA-SM-AS80-S-24-RC</t>
  </si>
  <si>
    <t>S254329</t>
  </si>
  <si>
    <t>SUC-CABO FIBRA OPTICA CFOA-SM-AS80-S-72-RC</t>
  </si>
  <si>
    <t>S22011941</t>
  </si>
  <si>
    <t>SUC-CABO FIBRA OPTICA CFOA-SM-DD-S-72-RC</t>
  </si>
  <si>
    <t>S1000107</t>
  </si>
  <si>
    <t>SUC-CADEADO 25MM</t>
  </si>
  <si>
    <t>S1000109</t>
  </si>
  <si>
    <t>SUC-CADEADO 35 MM</t>
  </si>
  <si>
    <t>S1001185</t>
  </si>
  <si>
    <t>SUC-CADEIRA DE FERRO DOBRAVEL</t>
  </si>
  <si>
    <t>S1008890</t>
  </si>
  <si>
    <t>SUC-CAMERA SONDA ENDOSCOPICA- 5 M</t>
  </si>
  <si>
    <t>S1001667</t>
  </si>
  <si>
    <t>SUC-CANETA  P/ LIMPEZA DE CONECTOR 2.5mm</t>
  </si>
  <si>
    <t>S9000041</t>
  </si>
  <si>
    <t>SUC-CANETA DE LIMPEZA DE CONECTORES</t>
  </si>
  <si>
    <t>S840-1406-2</t>
  </si>
  <si>
    <t>SUC-CANETA LIMPEZA DE CONECTOR 2,5MM</t>
  </si>
  <si>
    <t>S1001599</t>
  </si>
  <si>
    <t>SUC-CANETA MARCADORA  PERMANENTE</t>
  </si>
  <si>
    <t>S1001122</t>
  </si>
  <si>
    <t>SUC-CANETA OPTICA - VISUAL FAULT RY V3105</t>
  </si>
  <si>
    <t>S840-1700-8</t>
  </si>
  <si>
    <t>SUC-CANETA OPTICA - VLSSA</t>
  </si>
  <si>
    <t>S1000137</t>
  </si>
  <si>
    <t>SUC-CANIVETE</t>
  </si>
  <si>
    <t>S1000149</t>
  </si>
  <si>
    <t>SUC-CATRACA DE CORDOALHA 750Kg</t>
  </si>
  <si>
    <t>S1000150</t>
  </si>
  <si>
    <t>SUC-CAVADEIRA ARTICULADA</t>
  </si>
  <si>
    <t>S1000163</t>
  </si>
  <si>
    <t>SUC-CHAVE BOCA /ESTRIA 15MM</t>
  </si>
  <si>
    <t>S1000164</t>
  </si>
  <si>
    <t>SUC-CHAVE BOCA/ ESTRIA 14MM</t>
  </si>
  <si>
    <t>S1000189</t>
  </si>
  <si>
    <t>SUC-CHAVE INGLESA 10MM</t>
  </si>
  <si>
    <t>S1000190</t>
  </si>
  <si>
    <t>SUC-CHAVE INGLESA 12MM</t>
  </si>
  <si>
    <t>S1000191</t>
  </si>
  <si>
    <t>SUC-CHAVE INGLESA 8MM</t>
  </si>
  <si>
    <t>S1000195</t>
  </si>
  <si>
    <t>SUC-CHAVE P/ CAIXA SUBTERRANEA</t>
  </si>
  <si>
    <t>S1006185</t>
  </si>
  <si>
    <t>SUC-CHAVE PARA MANDRIL</t>
  </si>
  <si>
    <t>S1000196</t>
  </si>
  <si>
    <t>SUC-CHAVE PHILIPS GRANDE</t>
  </si>
  <si>
    <t>S1000197</t>
  </si>
  <si>
    <t>SUC-CHAVE PHILIPS MEDIA</t>
  </si>
  <si>
    <t>S1000198</t>
  </si>
  <si>
    <t>SUC-CHAVE PHILIPS PEQUENA</t>
  </si>
  <si>
    <t>S1006847</t>
  </si>
  <si>
    <t>SUC-CHAVE PHILLIPS 1/4</t>
  </si>
  <si>
    <t>S1006848</t>
  </si>
  <si>
    <t>SUC-CHAVE PHILLIPS 1/8</t>
  </si>
  <si>
    <t>S1001479</t>
  </si>
  <si>
    <t>SUC-CONECTOR RJ45</t>
  </si>
  <si>
    <t>S1000629</t>
  </si>
  <si>
    <t>SUC-CORDAO DE TESTE KRONE</t>
  </si>
  <si>
    <t>S1001749</t>
  </si>
  <si>
    <t>SUC-CORDÃO OPTICO SIMPLEX MONOMODO SC APC/SC UPC 2M</t>
  </si>
  <si>
    <t>S1000223</t>
  </si>
  <si>
    <t>SUC-CORRENTE</t>
  </si>
  <si>
    <t>S1000224</t>
  </si>
  <si>
    <t>SUC-CORRENTE C/ CADEADO SEGURANÇA</t>
  </si>
  <si>
    <t>S1000241</t>
  </si>
  <si>
    <t>SUC-ENROLADEIRA/DESENROLADEIRA</t>
  </si>
  <si>
    <t>S1000240</t>
  </si>
  <si>
    <t>SUC-ENXADA</t>
  </si>
  <si>
    <t>S1000254</t>
  </si>
  <si>
    <t>SUC-ESTILETE</t>
  </si>
  <si>
    <t>S1000258</t>
  </si>
  <si>
    <t>SUC-EXTENSAO ELET. 10MTS</t>
  </si>
  <si>
    <t>S1000256</t>
  </si>
  <si>
    <t>SUC-EXTENSÃO 20 MTS</t>
  </si>
  <si>
    <t>S1006122</t>
  </si>
  <si>
    <t>SUC-EXTENSÃO ELÉTRICA FIO PARALELO 25 METROS</t>
  </si>
  <si>
    <t>S1001264</t>
  </si>
  <si>
    <t>SUC-FERRO DE ABRIR CAIXA TIPO T</t>
  </si>
  <si>
    <t>S1000262</t>
  </si>
  <si>
    <t>SUC-FERRO DE CAIXA</t>
  </si>
  <si>
    <t>S1000269</t>
  </si>
  <si>
    <t>SUC-FITA AUTO FUSÃO</t>
  </si>
  <si>
    <t>S1001690</t>
  </si>
  <si>
    <t>SUC-GABARITO P/ CONECTOR DE CAMPO</t>
  </si>
  <si>
    <t>S1000293</t>
  </si>
  <si>
    <t>SUC-GUARDA SOL ARTICULÁVEL</t>
  </si>
  <si>
    <t>S1000300</t>
  </si>
  <si>
    <t>SUC-IDENTIFICADOR  DE FIBRA ATIVA</t>
  </si>
  <si>
    <t>S1001552</t>
  </si>
  <si>
    <t>SUC-KIT DE CHAVE RELOJOEIRO C/ 6 PÇS</t>
  </si>
  <si>
    <t>S1000311</t>
  </si>
  <si>
    <t>SUC-KIT LOCALIZADOR DE SINAL (Barulho)</t>
  </si>
  <si>
    <t>S1002022</t>
  </si>
  <si>
    <t>SUC-LENÇO DE LIMPEZA FIBRA ÓPTICA</t>
  </si>
  <si>
    <t>S1002058</t>
  </si>
  <si>
    <t>SUC-LENÇO UMIDECIDO COM ALCOOL  PARA LIMPEZA</t>
  </si>
  <si>
    <t>S1000503</t>
  </si>
  <si>
    <t>SUC-MESA DE FERRO</t>
  </si>
  <si>
    <t>S1001600</t>
  </si>
  <si>
    <t>SUC-PANO DE LIMPEZA</t>
  </si>
  <si>
    <t>S1001184</t>
  </si>
  <si>
    <t>SUC-PASSA FIO 10 METROS</t>
  </si>
  <si>
    <t>S1000388</t>
  </si>
  <si>
    <t>SUC-PASSA FIO 20Mts ALMA DE AÇO</t>
  </si>
  <si>
    <t>S1000391</t>
  </si>
  <si>
    <t>SUC-PASSA FIO C/ ALMA DE AÇO 20MTS</t>
  </si>
  <si>
    <t>S1000392</t>
  </si>
  <si>
    <t>SUC-PASSA FIO NYLON (GUIA) 20MTS</t>
  </si>
  <si>
    <t>S1000545</t>
  </si>
  <si>
    <t>SUC-PILHA AA</t>
  </si>
  <si>
    <t>S1006136</t>
  </si>
  <si>
    <t>SUC-PILHA AAA</t>
  </si>
  <si>
    <t>S840-2136-4</t>
  </si>
  <si>
    <t>SUC-POWER METTER GPON</t>
  </si>
  <si>
    <t>S1001669</t>
  </si>
  <si>
    <t>SUC-RECIPIENTE PARA ALCOOL</t>
  </si>
  <si>
    <t>S1000534</t>
  </si>
  <si>
    <t>SUC-REFIL ETIQUETADORA</t>
  </si>
  <si>
    <t>S1001200</t>
  </si>
  <si>
    <t>SUC-ROLETADOR DE TUBO LOOSE</t>
  </si>
  <si>
    <t>S1002045</t>
  </si>
  <si>
    <t>SUC-TAPETE VERDE IHS</t>
  </si>
  <si>
    <t>S1001476</t>
  </si>
  <si>
    <t>SUC-TESTADOR DE CABO DE REDE LAN (ETHERNET)</t>
  </si>
  <si>
    <t>S1006901</t>
  </si>
  <si>
    <t>SUC-TORNO / MORSAS DE BANCADA, 3 75 MM/</t>
  </si>
  <si>
    <t>S1000478</t>
  </si>
  <si>
    <t>SUC-VERRUMA</t>
  </si>
  <si>
    <t>SUP SCO-1 C/ALCA PREFOR TIPO A DPR CAPRE</t>
  </si>
  <si>
    <t>SUP SCO-1 C/ALCA PREFOR TIPO C</t>
  </si>
  <si>
    <t>SUPORTE 1/4 TAP BRACKET</t>
  </si>
  <si>
    <t>SUPORTE AEREO CE FOSC 100-DM</t>
  </si>
  <si>
    <t>SUPORTE BASE P/ DISSJUNTOR</t>
  </si>
  <si>
    <t>SUPORTE CABO FO SCO-1</t>
  </si>
  <si>
    <t>SUPORTE CAIXA HUB  BOX PRECON OUTD00R</t>
  </si>
  <si>
    <t>SUPORTE CAIXA HUB BOX PRECON OUTDOOR</t>
  </si>
  <si>
    <t>SUPORTE CEO DM COM ABRAÇADEIRAS</t>
  </si>
  <si>
    <t>SUPORTE CEO DM SEM ABRAÇACEIRA</t>
  </si>
  <si>
    <t>SUPORTE CORDOALHA FOSC BM E B8</t>
  </si>
  <si>
    <t>SUPORTE DE CABO FO SCO 1</t>
  </si>
  <si>
    <t>SUPORTE DE CABO OPT SCO-1 TIPO B</t>
  </si>
  <si>
    <t>SUPORTE DE CABO OPT SCO-1 TIPO C</t>
  </si>
  <si>
    <t>SUPORTE FIXAÇÃO FOSC 100-BM</t>
  </si>
  <si>
    <t>SUPORTE FIXAÇÃO FOSC 100-DM</t>
  </si>
  <si>
    <t>SUPORTE P ISOLADOR VERT. PRESBOW 12X8X17CM</t>
  </si>
  <si>
    <t>SUPORTE P/ ISOLADOR PORCELANA</t>
  </si>
  <si>
    <t>SUPORTE PARA ISOLADOR REVERT</t>
  </si>
  <si>
    <t>SUPORTE ROLDANA FO DROP SDA-1</t>
  </si>
  <si>
    <t>SUPORTE SUBTER. CE FOSC 100-DM</t>
  </si>
  <si>
    <t>SUPORTE SUPA</t>
  </si>
  <si>
    <t>SUPORTE TAP BRACKET 1/4 - 3/16</t>
  </si>
  <si>
    <t>TAMPA ARTIC. R2 FERRO NODULAR</t>
  </si>
  <si>
    <t>TAMPA CX SUBTER R2 C/ QUADRO</t>
  </si>
  <si>
    <t>TAMPA DE CONCRETO DE MANILHA 0,80 X 0,90</t>
  </si>
  <si>
    <t>TAO 4S 08DB 1.2GHZ RMT2124</t>
  </si>
  <si>
    <t>TAP 02S 04DB 1.2 GHZ FFT2-04TQ</t>
  </si>
  <si>
    <t>TAP 02S 04DB 1GHZ SAT2-04</t>
  </si>
  <si>
    <t>TAP 02S 07DB 1.2 GHZ FFT2-07Q</t>
  </si>
  <si>
    <t>TAP 02S 08DB 1GHZ SAT2-08</t>
  </si>
  <si>
    <t>TAP 02S 10DB 1.2 GHZ FFT2-10Q</t>
  </si>
  <si>
    <t>TAP 02S 11DB 1GHZ SAT2-11</t>
  </si>
  <si>
    <t>TAP 02S 11DB 1GHZ SATS-11 TR</t>
  </si>
  <si>
    <t>TAP 02S 12DB 1.2 GHZ FFT2-12Q</t>
  </si>
  <si>
    <t>TAP 02S 14DB 1 G FFT2-14P-R TR</t>
  </si>
  <si>
    <t>TAP 02S 14DB 1.2 GHZ FFT2-14Q</t>
  </si>
  <si>
    <t>TAP 02S 17DB 1 G FFT2-17P-R TR</t>
  </si>
  <si>
    <t>TAP 02S 17DB 1.2 GHZ FFT2-10Q</t>
  </si>
  <si>
    <t>TAP 02S 17DB 1.2 GHZ FFT2-17Q</t>
  </si>
  <si>
    <t>TAP 02S 17DB 1GHZ SAT2-17</t>
  </si>
  <si>
    <t>TAP 02S 20DB 1.2 GHZ FFT2 20Q</t>
  </si>
  <si>
    <t>TAP 02S 23DB 1 G FFT2-23P-R TR</t>
  </si>
  <si>
    <t>TAP 02S 23DB 1GHZ SAT2-23</t>
  </si>
  <si>
    <t>TAP 04S 07DB 1 G FFT4-7TP-R-TR</t>
  </si>
  <si>
    <t>TAP 04S 07DB 1.2GHZ FFT4-07TQ</t>
  </si>
  <si>
    <t>TAP 04S 07DB G FFT4- 7TP-R TR</t>
  </si>
  <si>
    <t>TAP 04S 10DB 1 G FFT4-10P-R TR</t>
  </si>
  <si>
    <t>TAP 04S 10DB 1.2 GHZ FFT4-10Q</t>
  </si>
  <si>
    <t>TAP 04S 11DB 1GHZ SAT4-11</t>
  </si>
  <si>
    <t>TAP 04S 14DB 1 G FFT4-14P-R TR</t>
  </si>
  <si>
    <t>TAP 04S 14DB 1.2 FF4-14Q</t>
  </si>
  <si>
    <t>TAP 04S 14DB 1.2 GHZ FFT4-14Q</t>
  </si>
  <si>
    <t>TAP 04S 15.5DB 1.2G FFT4-15.5Q</t>
  </si>
  <si>
    <t>TAP 04S 17DB 1 G FFT4-17P-R TR</t>
  </si>
  <si>
    <t>TAP 04S 20DB 1 G FFT4-20P-R TR</t>
  </si>
  <si>
    <t>TAP 04S 20DB 1.2 GHZ FFT4-20Q</t>
  </si>
  <si>
    <t>TAP 04S 20DB 1.2 GHZ HHT4-17Q</t>
  </si>
  <si>
    <t>TAP 04S 20DB 1GHZ SAT4-20</t>
  </si>
  <si>
    <t>TAP 04S 23DB 1 G FFT4-23P-R TR</t>
  </si>
  <si>
    <t>TAP 04S 23DB 1.2 GHZ FFT4-23Q</t>
  </si>
  <si>
    <t>TAP 04S 23DB 1GHZ SAT4 23</t>
  </si>
  <si>
    <t>TAP 04S20DB 1.2GHZ FFT4-20Q</t>
  </si>
  <si>
    <t>TAP 08S 10DB 1.2 GHZ FFT8-10TQ</t>
  </si>
  <si>
    <t>TAP 08S 10DB 1G FFT8-10TP-R TR</t>
  </si>
  <si>
    <t>TAP 08S 11DB 1GHZ SAT8-11</t>
  </si>
  <si>
    <t>TAP 08S 14DB 1 G FFT8-14P-R TR</t>
  </si>
  <si>
    <t>TAP 08S 14DB 1.2 GHZ FFT8-14Q</t>
  </si>
  <si>
    <t>TAP 08S 14DB 1.2GHZ FFT8-14Q</t>
  </si>
  <si>
    <t>TAP 08S 14DB 1GHZ SAT8-14</t>
  </si>
  <si>
    <t>TAP 08S 17DB 1.2 GHZ FFT8 -17Q</t>
  </si>
  <si>
    <t>TAP 08S 20DB 1 G FFT8-20P-R TR</t>
  </si>
  <si>
    <t>TAP 08S 20DB 1.2 GHZ FFT8-20Q</t>
  </si>
  <si>
    <t>TAP 08S 23DB 1 G FFT8-23P-R TR</t>
  </si>
  <si>
    <t>TAP 08S 23DB 1.2 GHZ FFT8-23Q</t>
  </si>
  <si>
    <t>TAP 08S 23DB 1.2GHZ FFT8-20Q</t>
  </si>
  <si>
    <t>TAP 08S 23DB 1.2GHZ FFT8-23Q</t>
  </si>
  <si>
    <t>TAP 08S 23DB 1GHZ SAT8-23</t>
  </si>
  <si>
    <t>TAP 08S 26DB 1GHZ SAT8-26</t>
  </si>
  <si>
    <t>TAP 08S 29DB 1GHZ SAT8-29</t>
  </si>
  <si>
    <t>TAP 1.2 GHZ 02S 04DB</t>
  </si>
  <si>
    <t>TAP 1.2 GHZ 02S 08DB</t>
  </si>
  <si>
    <t>TAP 1.2 GHZ 02S 17DB</t>
  </si>
  <si>
    <t>TAP 1.2 GHZ 04S 08DB</t>
  </si>
  <si>
    <t>TAP 1.2 GHZ 04S 14DB</t>
  </si>
  <si>
    <t>TAP 1.2 GHZ 04S 17DB</t>
  </si>
  <si>
    <t>TAP 1.2 GHZ 04S 26DB RW20DB</t>
  </si>
  <si>
    <t>TAP 1.2 GHZ 04S 29DB RW20DB</t>
  </si>
  <si>
    <t>TAP 1.2 GHZ 08S 14DB</t>
  </si>
  <si>
    <t>TAP 1.2 GHZ 08S 17DB</t>
  </si>
  <si>
    <t>TAP 1.2 GHZ 08S 20DB</t>
  </si>
  <si>
    <t>TAP 1.2 GHZ 08S 23DB RW20DB</t>
  </si>
  <si>
    <t>TAP 1.2 GHZ 08S 26DB RW20DB</t>
  </si>
  <si>
    <t>TAP 1.2 GHZ 08S 29DB RW20DB</t>
  </si>
  <si>
    <t>TAP 1.2 GHZ 4S 11DB FST</t>
  </si>
  <si>
    <t>TAP 1.2 GHZ 4S 14DB FST</t>
  </si>
  <si>
    <t>TAP 1.2 GHZ 8S 14DB FST</t>
  </si>
  <si>
    <t>TAP 1.2 GHZ 8S 17DB FST</t>
  </si>
  <si>
    <t>TAP 2S 04DB 1.2GHZ RMT2122</t>
  </si>
  <si>
    <t>TAP 2S 08DB 1.2GHZ RMT2122</t>
  </si>
  <si>
    <t>TAP 2S 11DB 1GHZ RMT2002-11 TR</t>
  </si>
  <si>
    <t>TAP 2S 14DB 1.2GHZ RMT2122</t>
  </si>
  <si>
    <t>TAP 2S 17DB 1.2GHZ RMT2122</t>
  </si>
  <si>
    <t>TAP 2S 17DB 1GHZ RMT2002-17 TR</t>
  </si>
  <si>
    <t>TAP 2S 20DB 1.2GHZ RMT2122</t>
  </si>
  <si>
    <t>TAP 2S 20DB 1GHZ RMT2002-20 TR</t>
  </si>
  <si>
    <t>TAP 2S 23DB 1.2GHZ RMT2122</t>
  </si>
  <si>
    <t>TAP 4S 07DB 1 GHZ CS6 FFTH4-7P</t>
  </si>
  <si>
    <t>TAP 4S 07DB 1 GHZ CS6FFT4-7P</t>
  </si>
  <si>
    <t>TAP 4S 07DB 1 GHZ EQ6 FFT4-7P</t>
  </si>
  <si>
    <t>TAP 4S 08DB 1.2GHZ RMT2124</t>
  </si>
  <si>
    <t>TAP 4S 10DB 1 GHZ CS6 FFT4-10P</t>
  </si>
  <si>
    <t>TAP 4S 11DB 1.2GHZ RM2124</t>
  </si>
  <si>
    <t>TAP 4S 11DB 1.2GHZ RMT2124</t>
  </si>
  <si>
    <t>TAP 4S 14DB 1.2GHZ RMT2124</t>
  </si>
  <si>
    <t>TAP 4S 14DB 1GHZ RMT2004-14 TR</t>
  </si>
  <si>
    <t>TAP 4S 15.5DB 1G FFT4-15.5P TR</t>
  </si>
  <si>
    <t>TAP 4S 15.5DB 1GHZ CS6 FFT4-15</t>
  </si>
  <si>
    <t>TAP 4S 17DB 1.2 GHZ RMT2124</t>
  </si>
  <si>
    <t>TAP 4S 17DB 1.2GHZ RMT2124</t>
  </si>
  <si>
    <t>TAP 4S 17DB 1GHZ CS9 FFT4-17P</t>
  </si>
  <si>
    <t>TAP 4S 17DB 1GHZ EQ4 FFT4-17P</t>
  </si>
  <si>
    <t>TAP 4S 20DB 1.2GHZ RMT2124</t>
  </si>
  <si>
    <t>TAP 4S 20DB 1.GHZ RMT2124</t>
  </si>
  <si>
    <t>TAP 4S 20DB 1GHZ CS9 FFT4-20P</t>
  </si>
  <si>
    <t>TAP 4S 23DB 1.2GHZ EMT2124</t>
  </si>
  <si>
    <t>TAP 4S 23DB 1.2GHZ RMT2124</t>
  </si>
  <si>
    <t>TAP 4S 23DB 1GHZ CS15 FFT4-23P</t>
  </si>
  <si>
    <t>TAP 4S 23DB 1GHZ CS15 FFT5-23P</t>
  </si>
  <si>
    <t>TAP 4S 23DB 1GHZ CS6 FFT4 TR</t>
  </si>
  <si>
    <t>TAP 4S 23DB 1GHZ CS6 FFT4-29P</t>
  </si>
  <si>
    <t>TAP 4X10 EQ6 FFT4-10P-R P/HFC</t>
  </si>
  <si>
    <t>TAP 8S 10DB 1GHZ EQ6-FFT8-10P</t>
  </si>
  <si>
    <t>TAP 8S 11DB 1.2GHZ RMT2128</t>
  </si>
  <si>
    <t>TAP 8S 14DB 1.2GHZ RMT2128</t>
  </si>
  <si>
    <t>TAP 8S 14DB 1GHZ CS6 FFT8-14P</t>
  </si>
  <si>
    <t>TAP 8S 14DB 1GHZ EQ4 FFT8-14P</t>
  </si>
  <si>
    <t>TAP 8S 17DB 1.2GHZ RMT2128</t>
  </si>
  <si>
    <t>TAP 8S 17DB 1GHZ CS6 FFT8-17P</t>
  </si>
  <si>
    <t>TAP 8S 20DB 1.2GHZ RMT2128</t>
  </si>
  <si>
    <t>TAP 8S 20DB 1GHZ CS9 FFT8-20P</t>
  </si>
  <si>
    <t>TAP 8S 23DB 1GHZ CS15 FFT8-23P</t>
  </si>
  <si>
    <t>TAP 8S 23DB 1GHZ CS6 FFT8 TR</t>
  </si>
  <si>
    <t>TAP 8S 23DB 1GHZ RMT2008-23 TR</t>
  </si>
  <si>
    <t>TAPETE VERDE IHS</t>
  </si>
  <si>
    <t>THINNER MULTIUSO</t>
  </si>
  <si>
    <t>TINTA ESMALTE AMARELA 900ML</t>
  </si>
  <si>
    <t>TINTA ESMALTE AZUL 900ML</t>
  </si>
  <si>
    <t>TINTA ESMALTE DE 3,6 AMARELA</t>
  </si>
  <si>
    <t>TINTA ESMALTE DE 3,6 BRANCA</t>
  </si>
  <si>
    <t>TINTA ESMALTE DE 3,6 PRETA</t>
  </si>
  <si>
    <t>TINTA ESMALTE DE 3,6 VERMELHA</t>
  </si>
  <si>
    <t>TINTA ESMALTE PRETA 900 ML</t>
  </si>
  <si>
    <t>TINTA ESMALTE PRETA 900ML</t>
  </si>
  <si>
    <t>TINTA ESMALTE VERMELHA 900ML</t>
  </si>
  <si>
    <t>TINTA SPRAY BRANCA</t>
  </si>
  <si>
    <t>TORNO / MORSAS DE BANCADA, 3 75 MM/</t>
  </si>
  <si>
    <t>TRAVA P/ FONTES KIT P/ CAMPO</t>
  </si>
  <si>
    <t>TUBO DE DERIVAÇÃO CEO R T3 35MM</t>
  </si>
  <si>
    <t>TUBO DE SILICONE</t>
  </si>
  <si>
    <t>TUBO GALVANIZADO S/COSTURA 4PG 3M</t>
  </si>
  <si>
    <t>VASELINA LIQUIDA</t>
  </si>
  <si>
    <t>VASELINA SOLIDA</t>
  </si>
  <si>
    <t>VASSOURA PIACAVA</t>
  </si>
  <si>
    <t>CALÇA CLARO FFA CINZA  - GG</t>
  </si>
  <si>
    <t>CAMISA ROXA VIVO - EXG</t>
  </si>
  <si>
    <t>CAMISA ROXA VIVO - M</t>
  </si>
  <si>
    <t>BERMUDA EM BRIM COM LOGO FFA - EXG</t>
  </si>
  <si>
    <t>BERMUDA EM BRIM COM LOGO FFA - GG</t>
  </si>
  <si>
    <t>CABO PRECON INTERCONEXAO ODN2.0 100M</t>
  </si>
  <si>
    <t>CABO PRECON INTERCONEXAO ODN2.0 50 M</t>
  </si>
  <si>
    <t>CAIXA EMENDA AZUL FOSC 100BM 24F 4SAIDAS</t>
  </si>
  <si>
    <t>CAIXA EMENDA FOSC 100 DM CE R T3</t>
  </si>
  <si>
    <t>CAIXA EMENDA OPTICA DM 144 FO</t>
  </si>
  <si>
    <t>CAIXA NAP 08 FO SC APC</t>
  </si>
  <si>
    <t>CAIXA NAP16 FO SC APC</t>
  </si>
  <si>
    <t>CAIXA RELOGIO MEDICAO BIFASICA</t>
  </si>
  <si>
    <t>CALÇA CINZA VIVO C/ FAIXA REFLETIVA - EXG</t>
  </si>
  <si>
    <t>CALÇA CINZA VIVO C/ FAIXA REFLETIVA - P</t>
  </si>
  <si>
    <t>CALÇA CLARO FFA CINZA  - EXG</t>
  </si>
  <si>
    <t>CALÇA CLARO FFA CINZA  - G</t>
  </si>
  <si>
    <t>CALÇA CLARO FFA CINZA  - XG</t>
  </si>
  <si>
    <t>CALÇA CLARO FFA CINZA  - XXG</t>
  </si>
  <si>
    <t>CALÇA CLARO FFA CINZA - EXG1</t>
  </si>
  <si>
    <t>CALÇA DE BRIM AZUL MARINHO GIGA + TAM 40</t>
  </si>
  <si>
    <t>CALÇA DE BRIM AZUL MARINHO GIGA + TAM 42</t>
  </si>
  <si>
    <t>CALÇA DE BRIM AZUL MARINHO GIGA + TAM 44</t>
  </si>
  <si>
    <t>CALÇA DE BRIM AZUL MARINHO GIGA + TAM 46</t>
  </si>
  <si>
    <t>CALÇA DE BRIM AZUL MARINHO GIGA + TAM 48</t>
  </si>
  <si>
    <t>CALÇA JEANS C/ FAIXA REFLETIVA IHS G</t>
  </si>
  <si>
    <t>CALÇA JEANS C/ FAIXA REFLETIVA IHS G1</t>
  </si>
  <si>
    <t>CALÇA JEANS C/ FAIXA REFLETIVA IHS GG</t>
  </si>
  <si>
    <t>CALÇA JEANS C/ FAIXA REFLETIVA IHS M</t>
  </si>
  <si>
    <t>CALÇA JEANS C/ FAIXA REFLETIVA IHS P</t>
  </si>
  <si>
    <t>CALÇA JEANS COM FAIXA REFLATIVA IHS - G3</t>
  </si>
  <si>
    <t>CALÇA JEANS COM LOGO FFA  52</t>
  </si>
  <si>
    <t>CALÇA JEANS COM LOGO FFA 46</t>
  </si>
  <si>
    <t>CAMISA MALHA CINZA GOLA POLO CLARO TAM EXG1</t>
  </si>
  <si>
    <t>CAMISA MALHA CINZA GOLA POLO CLARO TAM P</t>
  </si>
  <si>
    <t>CAMISA POLO AZUL MARINHO CLARO FFA G</t>
  </si>
  <si>
    <t>CAMISA POLO AZUL MARINHO CLARO FFA GG</t>
  </si>
  <si>
    <t>CAMISA POLO CINZA - CLARO FFA - EXG 1</t>
  </si>
  <si>
    <t>CAMISA POLO CINZA CLARO FFA  - M</t>
  </si>
  <si>
    <t>CAMISA ROXA VIVO - EG</t>
  </si>
  <si>
    <t>CAMISA ROXA VIVO - G</t>
  </si>
  <si>
    <t>CAMISA ROXA VIVO - GG</t>
  </si>
  <si>
    <t>CAMISA ROXA VIVO - P</t>
  </si>
  <si>
    <t>CAMISA SOCIAL MANGA CURTA - EXG (SUPERVISOR TIM)</t>
  </si>
  <si>
    <t>CAMISA SOCIAL MANGA CURTA - G (SUPERVISOR TIM)</t>
  </si>
  <si>
    <t>CAMISA SOCIAL MANGA CURTA - GG (SUPERVISOR TIM)</t>
  </si>
  <si>
    <t>CAMISA SOCIAL SUPERVISOR CLARO IAT EXG</t>
  </si>
  <si>
    <t>CAMISA SOCIAL SUPERVISOR CLARO IAT GG</t>
  </si>
  <si>
    <t>CAMISA SOCIAL SUPERVISOR CLARO IAT M</t>
  </si>
  <si>
    <t>CAMISA SOCIAL TIM G MASCULINA</t>
  </si>
  <si>
    <t>CAMISA SOCIAL TIM M MASCULINA</t>
  </si>
  <si>
    <t>CINTA LOMBAR</t>
  </si>
  <si>
    <t>CINTA LOMBAR COM SUSPENSORIO</t>
  </si>
  <si>
    <t>CORDA COLOR 12MM</t>
  </si>
  <si>
    <t>E1001781</t>
  </si>
  <si>
    <t>DET-ALCOOL EM GEL 5 mL</t>
  </si>
  <si>
    <t>E1001850</t>
  </si>
  <si>
    <t>DET-ANEL DE ANCORAGEM 1,50M</t>
  </si>
  <si>
    <t>E1006180</t>
  </si>
  <si>
    <t>DET-ANEL DE ANCORAGEM 2,00 MT</t>
  </si>
  <si>
    <t>E1000052</t>
  </si>
  <si>
    <t>DET-BANDEROLA DE SINALIZAÇÃO</t>
  </si>
  <si>
    <t>E1001648</t>
  </si>
  <si>
    <t>DET-BISNAGA ALCOOL EM GEL</t>
  </si>
  <si>
    <t>E1001490</t>
  </si>
  <si>
    <t>DET-CALÇA CLARO FFA CAQUI</t>
  </si>
  <si>
    <t>E1006870</t>
  </si>
  <si>
    <t>DET-CALÇA CLARO FFA CAQUI P</t>
  </si>
  <si>
    <t>E1001697</t>
  </si>
  <si>
    <t>DET-CALÇA CLARO FFA CINZA  -  G</t>
  </si>
  <si>
    <t>E1001700</t>
  </si>
  <si>
    <t>DET-CALÇA CLARO FFA CINZA  - EXG</t>
  </si>
  <si>
    <t>E1001698</t>
  </si>
  <si>
    <t>DET-CALÇA CLARO FFA CINZA  - GG</t>
  </si>
  <si>
    <t>E1001699</t>
  </si>
  <si>
    <t>DET-CALÇA CLARO FFA CINZA  - XG</t>
  </si>
  <si>
    <t>E1006858</t>
  </si>
  <si>
    <t>DET-CALÇA CLARO FFA CINZA  - XXG</t>
  </si>
  <si>
    <t>E1002169</t>
  </si>
  <si>
    <t>DET-CALÇA CLARO FFA CINZA - EXGG</t>
  </si>
  <si>
    <t>E1002148</t>
  </si>
  <si>
    <t>DET-CALÇA CLARO FFA CINZA - P</t>
  </si>
  <si>
    <t>E1001916</t>
  </si>
  <si>
    <t>DET-CALÇA CLARO FFA CINZA – M</t>
  </si>
  <si>
    <t>E1001505</t>
  </si>
  <si>
    <t>DET-CALÇA CLARO FFA CÁQUI GG</t>
  </si>
  <si>
    <t>E1006911</t>
  </si>
  <si>
    <t>DET-CALÇA DE BRIM AZUL MARINHO GIGA + TAM 40</t>
  </si>
  <si>
    <t>E1006914</t>
  </si>
  <si>
    <t>DET-CALÇA DE BRIM AZUL MARINHO GIGA + TAM 46</t>
  </si>
  <si>
    <t>E1001518</t>
  </si>
  <si>
    <t>DET-CALÇA EM BRIM 100% ALGODÃO FFA GG</t>
  </si>
  <si>
    <t>E1001929</t>
  </si>
  <si>
    <t>DET-CALÇA JEANS COM LOGO FFA 40</t>
  </si>
  <si>
    <t>E1001930</t>
  </si>
  <si>
    <t>DET-CALÇA JEANS COM LOGO FFA 42</t>
  </si>
  <si>
    <t>E1001931</t>
  </si>
  <si>
    <t>DET-CALÇA JEANS COM LOGO FFA 44</t>
  </si>
  <si>
    <t>E1006907</t>
  </si>
  <si>
    <t>DET-CAMISA AZUL MARINHO GIGA + TAM GG</t>
  </si>
  <si>
    <t>E1006857</t>
  </si>
  <si>
    <t>DET-CAMISA GOLA POLO CLARO VERMELHO - EXG</t>
  </si>
  <si>
    <t>E1002147</t>
  </si>
  <si>
    <t>DET-CAMISA GOLA POLO CLARO VERMELHO - EXG1</t>
  </si>
  <si>
    <t>E1006853</t>
  </si>
  <si>
    <t>DET-CAMISA GOLA POLO CLARO VERMELHO - G</t>
  </si>
  <si>
    <t>E1006854</t>
  </si>
  <si>
    <t>DET-CAMISA GOLA POLO CLARO VERMELHO - GG</t>
  </si>
  <si>
    <t>E1006852</t>
  </si>
  <si>
    <t>DET-CAMISA GOLA POLO CLARO VERMELHO - M</t>
  </si>
  <si>
    <t>E1006851</t>
  </si>
  <si>
    <t>DET-CAMISA GOLA POLO CLARO VERMELHO - P</t>
  </si>
  <si>
    <t>E1006856</t>
  </si>
  <si>
    <t>DET-CAMISA GOLA POLO CLARO VERMELHO - XG</t>
  </si>
  <si>
    <t>E1001512</t>
  </si>
  <si>
    <t>DET-CAMISA MALHA PV AZUL ROYAL G</t>
  </si>
  <si>
    <t>E1001513</t>
  </si>
  <si>
    <t>DET-CAMISA MALHA PV AZUL ROYAL GG</t>
  </si>
  <si>
    <t>E1001696</t>
  </si>
  <si>
    <t>DET-CAMISA POLO CINZA - CLARO FFA - EXG</t>
  </si>
  <si>
    <t>E1002159</t>
  </si>
  <si>
    <t>DET-CAMISA POLO CINZA - CLARO FFA - EXG 1</t>
  </si>
  <si>
    <t>E1001693</t>
  </si>
  <si>
    <t>DET-CAMISA POLO CINZA - CLARO FFA - G</t>
  </si>
  <si>
    <t>E1001694</t>
  </si>
  <si>
    <t>DET-CAMISA POLO CINZA - CLARO FFA - GG</t>
  </si>
  <si>
    <t>E1002158</t>
  </si>
  <si>
    <t>DET-CAMISA POLO CINZA - CLARO FFA - P</t>
  </si>
  <si>
    <t>E1001695</t>
  </si>
  <si>
    <t>DET-CAMISA POLO CINZA - CLARO FFA - XG</t>
  </si>
  <si>
    <t>E1002183</t>
  </si>
  <si>
    <t>DET-CAMISA POLO CINZA - CLARO FFA - XXG</t>
  </si>
  <si>
    <t>E1001920</t>
  </si>
  <si>
    <t>DET-CAMISA POLO CINZA CLARO FFA  - M</t>
  </si>
  <si>
    <t>E1001934</t>
  </si>
  <si>
    <t>DET-CAMISA POLO SUMICITY G</t>
  </si>
  <si>
    <t>E1001935</t>
  </si>
  <si>
    <t>DET-CAMISA POLO SUMICITY GG</t>
  </si>
  <si>
    <t>E1002279</t>
  </si>
  <si>
    <t>DET-CAMISA ROXA VIVO - G</t>
  </si>
  <si>
    <t>E1002278</t>
  </si>
  <si>
    <t>DET-CAMISA ROXA VIVO - M</t>
  </si>
  <si>
    <t>E1002009</t>
  </si>
  <si>
    <t>DET-CAMISA SOCIAL MANGA CURTA - G (SUPERVISOR TIM)</t>
  </si>
  <si>
    <t>E1002008</t>
  </si>
  <si>
    <t>DET-CAMISA SOCIAL MANGA CURTA - M (SUPERVISOR TIM)</t>
  </si>
  <si>
    <t>E1001909</t>
  </si>
  <si>
    <t>DET-CAMISA SOCIAL SUPERVISOR CLARO IAT EXG</t>
  </si>
  <si>
    <t>E1001907</t>
  </si>
  <si>
    <t>DET-CAMISA SOCIAL SUPERVISOR CLARO IAT GG</t>
  </si>
  <si>
    <t>E1001905</t>
  </si>
  <si>
    <t>DET-CAMISA SOCIAL SUPERVISOR CLARO IAT M</t>
  </si>
  <si>
    <t>E1001302</t>
  </si>
  <si>
    <t>DET-CAPA P/ CHUVA FORRADA AMARELA</t>
  </si>
  <si>
    <t>E1001854</t>
  </si>
  <si>
    <t>DET-CORDA TRANC 12 MM LVM 20M</t>
  </si>
  <si>
    <t>E1001265</t>
  </si>
  <si>
    <t>DET-FITA DE SINALIZAÇÃO ZEBRADA</t>
  </si>
  <si>
    <t>E1001780</t>
  </si>
  <si>
    <t>DET-FRASCO  PET ML</t>
  </si>
  <si>
    <t>E1001923</t>
  </si>
  <si>
    <t>DET-JAQUETA CLARO COM CAPUZ - G</t>
  </si>
  <si>
    <t>E1001924</t>
  </si>
  <si>
    <t>DET-JAQUETA CLARO COM CAPUZ - GG</t>
  </si>
  <si>
    <t>E1002021</t>
  </si>
  <si>
    <t>DET-JAQUETA CLARO COM CAPUZ M</t>
  </si>
  <si>
    <t>E1002238</t>
  </si>
  <si>
    <t>DET-JAQUETA IHS - EXG</t>
  </si>
  <si>
    <t>E1002239</t>
  </si>
  <si>
    <t>DET-JAQUETA IHS - EXG1</t>
  </si>
  <si>
    <t>E1002236</t>
  </si>
  <si>
    <t>DET-JAQUETA IHS - G</t>
  </si>
  <si>
    <t>E1002237</t>
  </si>
  <si>
    <t>DET-JAQUETA IHS - GG</t>
  </si>
  <si>
    <t>E1002235</t>
  </si>
  <si>
    <t>DET-JAQUETA IHS - M</t>
  </si>
  <si>
    <t>E1001797</t>
  </si>
  <si>
    <t>DET-JAQUETA TIM LIVE - EXG</t>
  </si>
  <si>
    <t>E1001796</t>
  </si>
  <si>
    <t>DET-JAQUETA TIM LIVE - GG</t>
  </si>
  <si>
    <t>E1001793</t>
  </si>
  <si>
    <t>DET-JAQUETA TIM LIVE - P</t>
  </si>
  <si>
    <t>E1001852</t>
  </si>
  <si>
    <t>DET-MOSQUETÃO CARABINEIRO ROSCA</t>
  </si>
  <si>
    <t>E1006841</t>
  </si>
  <si>
    <t>DET-REPELENTE ALG REPEL SPRAY PLUS DEET</t>
  </si>
  <si>
    <t>DUTO CORRUGADO 4 110MM INT 50MTS</t>
  </si>
  <si>
    <t>FIBERLOOP DE NYLON G 66</t>
  </si>
  <si>
    <t>FRASCO  PET ML</t>
  </si>
  <si>
    <t>GARRA MEIO VÃO LMV</t>
  </si>
  <si>
    <t>JAQUETA CLARO COM CAPUZ M</t>
  </si>
  <si>
    <t>JAQUETA CLARO COM CAPUZ P</t>
  </si>
  <si>
    <t>JAQUETA IHS - M</t>
  </si>
  <si>
    <t>JAQUETA TIM LIVE - EXG</t>
  </si>
  <si>
    <t>JAQUETA TIM LIVE - G</t>
  </si>
  <si>
    <t>JAQUETA TIM LIVE - GG</t>
  </si>
  <si>
    <t>JAQUETA TIM LIVE - M</t>
  </si>
  <si>
    <t>JAQUETA TIM LIVE - P</t>
  </si>
  <si>
    <t>PROTETOR TERMOCONTR.500 A . 625</t>
  </si>
  <si>
    <t>B1001850</t>
  </si>
  <si>
    <t>REAP-ANEL DE ANCORAGEM 1,50M</t>
  </si>
  <si>
    <t>B1006180</t>
  </si>
  <si>
    <t>REAP-ANEL DE ANCORAGEM 2,00 MT</t>
  </si>
  <si>
    <t>B1000052</t>
  </si>
  <si>
    <t>REAP-BANDEROLA DE SINALIZAÇÃO</t>
  </si>
  <si>
    <t>B1002000</t>
  </si>
  <si>
    <t>REAP-BERMUDA EM BRIM COM  LOGO FFA - M</t>
  </si>
  <si>
    <t>B1001697</t>
  </si>
  <si>
    <t>REAP-CALÇA CLARO FFA CINZA  -  G</t>
  </si>
  <si>
    <t>B1001698</t>
  </si>
  <si>
    <t>REAP-CALÇA CLARO FFA CINZA  - GG</t>
  </si>
  <si>
    <t>B1001699</t>
  </si>
  <si>
    <t>REAP-CALÇA CLARO FFA CINZA  - XG</t>
  </si>
  <si>
    <t>B1002148</t>
  </si>
  <si>
    <t>REAP-CALÇA CLARO FFA CINZA - P</t>
  </si>
  <si>
    <t>B1001916</t>
  </si>
  <si>
    <t>REAP-CALÇA CLARO FFA CINZA – M</t>
  </si>
  <si>
    <t>B1001930</t>
  </si>
  <si>
    <t>REAP-CALÇA JEANS COM LOGO FFA 42</t>
  </si>
  <si>
    <t>B1001931</t>
  </si>
  <si>
    <t>REAP-CALÇA JEANS COM LOGO FFA 44</t>
  </si>
  <si>
    <t>B1006857</t>
  </si>
  <si>
    <t>REAP-CAMISA GOLA POLO CLARO VERMELHO - EXG</t>
  </si>
  <si>
    <t>B1002147</t>
  </si>
  <si>
    <t>REAP-CAMISA GOLA POLO CLARO VERMELHO - EXG1</t>
  </si>
  <si>
    <t>B1006853</t>
  </si>
  <si>
    <t>REAP-CAMISA GOLA POLO CLARO VERMELHO - G</t>
  </si>
  <si>
    <t>B1006854</t>
  </si>
  <si>
    <t>REAP-CAMISA GOLA POLO CLARO VERMELHO - GG</t>
  </si>
  <si>
    <t>B1006852</t>
  </si>
  <si>
    <t>REAP-CAMISA GOLA POLO CLARO VERMELHO - M</t>
  </si>
  <si>
    <t>B1001512</t>
  </si>
  <si>
    <t>REAP-CAMISA MALHA PV AZUL ROYAL G</t>
  </si>
  <si>
    <t>B1001513</t>
  </si>
  <si>
    <t>REAP-CAMISA MALHA PV AZUL ROYAL GG</t>
  </si>
  <si>
    <t>B1001973</t>
  </si>
  <si>
    <t>REAP-CAMISA MALHA PV AZUL ROYAL M</t>
  </si>
  <si>
    <t>B1002020</t>
  </si>
  <si>
    <t>REAP-CAMISA MALHA PV AZUL ROYAL P</t>
  </si>
  <si>
    <t>B1001693</t>
  </si>
  <si>
    <t>REAP-CAMISA POLO CINZA - CLARO FFA - G</t>
  </si>
  <si>
    <t>B1001905</t>
  </si>
  <si>
    <t>REAP-CAMISA SOCIAL SUPERVISOR CLARO IAT M</t>
  </si>
  <si>
    <t>B1001908</t>
  </si>
  <si>
    <t>REAP-CAMISA SOCIAL SUPERVISOR CLARO IAT XG</t>
  </si>
  <si>
    <t>B1001289</t>
  </si>
  <si>
    <t>REAP-CANETA DETECTORA DE TENSÃO 90 - 1000V</t>
  </si>
  <si>
    <t>B1001302</t>
  </si>
  <si>
    <t>REAP-CAPA P/ CHUVA FORRADA AMARELA</t>
  </si>
  <si>
    <t>B1001224</t>
  </si>
  <si>
    <t>REAP-CINTA LOMBAR COM SUSPENSORIO</t>
  </si>
  <si>
    <t>B1000906</t>
  </si>
  <si>
    <t>REAP-CORDA 10MM TRANÇADA</t>
  </si>
  <si>
    <t>B1006151</t>
  </si>
  <si>
    <t>REAP-CORDA PP TRAN 12MM BRANCA LVM 16M</t>
  </si>
  <si>
    <t>B1001854</t>
  </si>
  <si>
    <t>REAP-CORDA TRANC 12 MM LVM 20M</t>
  </si>
  <si>
    <t>B1001265</t>
  </si>
  <si>
    <t>REAP-FITA DE SINALIZAÇÃO ZEBRADA</t>
  </si>
  <si>
    <t>B1001926</t>
  </si>
  <si>
    <t>REAP-JAQUETA CLARO COM CAPUZ - EXG</t>
  </si>
  <si>
    <t>B1001923</t>
  </si>
  <si>
    <t>REAP-JAQUETA CLARO COM CAPUZ - G</t>
  </si>
  <si>
    <t>B1001924</t>
  </si>
  <si>
    <t>REAP-JAQUETA CLARO COM CAPUZ - GG</t>
  </si>
  <si>
    <t>B1001925</t>
  </si>
  <si>
    <t>REAP-JAQUETA CLARO COM CAPUZ - XG</t>
  </si>
  <si>
    <t>B1002021</t>
  </si>
  <si>
    <t>REAP-JAQUETA CLARO COM CAPUZ M</t>
  </si>
  <si>
    <t>B1002239</t>
  </si>
  <si>
    <t>REAP-JAQUETA IHS - EXG1</t>
  </si>
  <si>
    <t>B1002237</t>
  </si>
  <si>
    <t>REAP-JAQUETA IHS - GG</t>
  </si>
  <si>
    <t>B1001852</t>
  </si>
  <si>
    <t>REAP-MOSQUETÃO CARABINEIRO ROSCA</t>
  </si>
  <si>
    <t>B1001168</t>
  </si>
  <si>
    <t>REAP-SAPATA DE BORRACHA COGUMELO</t>
  </si>
  <si>
    <t>R1001923</t>
  </si>
  <si>
    <t>RET-JAQUETA CLARO COM CAPUZ - G</t>
  </si>
  <si>
    <t>SAPATA ARTICULAVEL PAR 2 FUROS</t>
  </si>
  <si>
    <t>SAPATA DE BORRACHA COGUMELO</t>
  </si>
  <si>
    <t>S1000014</t>
  </si>
  <si>
    <t>SUC-ABRAÇADEIRA NYLON (FITA HELLERMAN) - MÉDIA</t>
  </si>
  <si>
    <t>S1001850</t>
  </si>
  <si>
    <t>SUC-ANEL DE ANCORAGEM 1,50M</t>
  </si>
  <si>
    <t>S1006180</t>
  </si>
  <si>
    <t>SUC-ANEL DE ANCORAGEM 2,00 MT</t>
  </si>
  <si>
    <t>S1000052</t>
  </si>
  <si>
    <t>SUC-BANDEROLA DE SINALIZAÇÃO</t>
  </si>
  <si>
    <t>S1001648</t>
  </si>
  <si>
    <t>SUC-BISNAGA ALCOOL EM GEL</t>
  </si>
  <si>
    <t>S1000065</t>
  </si>
  <si>
    <t>SUC-BOLSA DE LONA</t>
  </si>
  <si>
    <t>S1001697</t>
  </si>
  <si>
    <t>SUC-CALÇA CLARO FFA CINZA  -  G</t>
  </si>
  <si>
    <t>S1001700</t>
  </si>
  <si>
    <t>SUC-CALÇA CLARO FFA CINZA  - EXG</t>
  </si>
  <si>
    <t>S1001698</t>
  </si>
  <si>
    <t>SUC-CALÇA CLARO FFA CINZA  - GG</t>
  </si>
  <si>
    <t>S1001699</t>
  </si>
  <si>
    <t>SUC-CALÇA CLARO FFA CINZA  - XG</t>
  </si>
  <si>
    <t>S1006858</t>
  </si>
  <si>
    <t>SUC-CALÇA CLARO FFA CINZA  - XXG</t>
  </si>
  <si>
    <t>S1002149</t>
  </si>
  <si>
    <t>SUC-CALÇA CLARO FFA CINZA - EXG1</t>
  </si>
  <si>
    <t>S1002169</t>
  </si>
  <si>
    <t>SUC-CALÇA CLARO FFA CINZA - EXGG</t>
  </si>
  <si>
    <t>S1002148</t>
  </si>
  <si>
    <t>SUC-CALÇA CLARO FFA CINZA - P</t>
  </si>
  <si>
    <t>S1001916</t>
  </si>
  <si>
    <t>SUC-CALÇA CLARO FFA CINZA – M</t>
  </si>
  <si>
    <t>S1001560</t>
  </si>
  <si>
    <t>SUC-CALÇA JEANS 48</t>
  </si>
  <si>
    <t>S1001561</t>
  </si>
  <si>
    <t>SUC-CALÇA JEANS 50</t>
  </si>
  <si>
    <t>S1002001</t>
  </si>
  <si>
    <t>SUC-CALÇA JEANS COM LOGO FFA - M</t>
  </si>
  <si>
    <t>S1002187</t>
  </si>
  <si>
    <t>SUC-CALÇA JEANS COM LOGO FFA - XG</t>
  </si>
  <si>
    <t>S1008923</t>
  </si>
  <si>
    <t>SUC-CALÇA JEANS COM LOGO FFA 38</t>
  </si>
  <si>
    <t>S1001931</t>
  </si>
  <si>
    <t>SUC-CALÇA JEANS COM LOGO FFA 44</t>
  </si>
  <si>
    <t>S1001666</t>
  </si>
  <si>
    <t>SUC-CALÇA JEANS TIM 38</t>
  </si>
  <si>
    <t>S1001576</t>
  </si>
  <si>
    <t>SUC-CALÇA JEANS TIM 40</t>
  </si>
  <si>
    <t>S1001557</t>
  </si>
  <si>
    <t>SUC-CALÇA JEANS TIM 42</t>
  </si>
  <si>
    <t>S1001558</t>
  </si>
  <si>
    <t>SUC-CALÇA JEANS TIM 44</t>
  </si>
  <si>
    <t>S1001559</t>
  </si>
  <si>
    <t>SUC-CALÇA JEANS TIM 46</t>
  </si>
  <si>
    <t>S1001613</t>
  </si>
  <si>
    <t>SUC-CALÇA JEANS TIM 54</t>
  </si>
  <si>
    <t>S1001601</t>
  </si>
  <si>
    <t>SUC-CALÇA TIM JEANS 48</t>
  </si>
  <si>
    <t>S1006857</t>
  </si>
  <si>
    <t>SUC-CAMISA GOLA POLO CLARO VERMELHO - EXG</t>
  </si>
  <si>
    <t>S1002147</t>
  </si>
  <si>
    <t>SUC-CAMISA GOLA POLO CLARO VERMELHO - EXG1</t>
  </si>
  <si>
    <t>S1006853</t>
  </si>
  <si>
    <t>SUC-CAMISA GOLA POLO CLARO VERMELHO - G</t>
  </si>
  <si>
    <t>S1006854</t>
  </si>
  <si>
    <t>SUC-CAMISA GOLA POLO CLARO VERMELHO - GG</t>
  </si>
  <si>
    <t>S1006852</t>
  </si>
  <si>
    <t>SUC-CAMISA GOLA POLO CLARO VERMELHO - M</t>
  </si>
  <si>
    <t>S1006851</t>
  </si>
  <si>
    <t>SUC-CAMISA GOLA POLO CLARO VERMELHO - P</t>
  </si>
  <si>
    <t>S1006856</t>
  </si>
  <si>
    <t>SUC-CAMISA GOLA POLO CLARO VERMELHO - XG</t>
  </si>
  <si>
    <t>S1002098</t>
  </si>
  <si>
    <t>SUC-CAMISA MALHA CINZA GOLA POLO CLARO TAM EXG1</t>
  </si>
  <si>
    <t>S1001622</t>
  </si>
  <si>
    <t>SUC-CAMISA MALHA PV AZUL ROYAL EXG</t>
  </si>
  <si>
    <t>S1002020</t>
  </si>
  <si>
    <t>SUC-CAMISA MALHA PV AZUL ROYAL P</t>
  </si>
  <si>
    <t>S1002039</t>
  </si>
  <si>
    <t>SUC-CAMISA POLO AZUL MARINHO IHS - EXG</t>
  </si>
  <si>
    <t>S1002038</t>
  </si>
  <si>
    <t>SUC-CAMISA POLO AZUL MARINHO IHS - G</t>
  </si>
  <si>
    <t>S1001696</t>
  </si>
  <si>
    <t>SUC-CAMISA POLO CINZA - CLARO FFA - EXG</t>
  </si>
  <si>
    <t>S1001604</t>
  </si>
  <si>
    <t>SUC-CAMISA POLO TIM AZUL - EXG</t>
  </si>
  <si>
    <t>S1001665</t>
  </si>
  <si>
    <t>SUC-CAMISA POLO TIM EXG1</t>
  </si>
  <si>
    <t>S1001465</t>
  </si>
  <si>
    <t>SUC-CAMISA POLO TIM G</t>
  </si>
  <si>
    <t>S1001466</t>
  </si>
  <si>
    <t>SUC-CAMISA POLO TIM GG</t>
  </si>
  <si>
    <t>S1001556</t>
  </si>
  <si>
    <t>SUC-CAMISA POLO TIM M</t>
  </si>
  <si>
    <t>S1001612</t>
  </si>
  <si>
    <t>SUC-CAMISA POLO TIM P</t>
  </si>
  <si>
    <t>S1002009</t>
  </si>
  <si>
    <t>SUC-CAMISA SOCIAL MANGA CURTA - G (SUPERVISOR TIM)</t>
  </si>
  <si>
    <t>S1002010</t>
  </si>
  <si>
    <t>SUC-CAMISA SOCIAL MANGA CURTA - GG (SUPERVISOR TIM)</t>
  </si>
  <si>
    <t>S1002008</t>
  </si>
  <si>
    <t>SUC-CAMISA SOCIAL MANGA CURTA - M (SUPERVISOR TIM)</t>
  </si>
  <si>
    <t>S1001909</t>
  </si>
  <si>
    <t>SUC-CAMISA SOCIAL SUPERVISOR CLARO IAT EXG</t>
  </si>
  <si>
    <t>S10015666</t>
  </si>
  <si>
    <t>SUC-CAMISA SOCIAL TIM  M FEMININA</t>
  </si>
  <si>
    <t>S10015633</t>
  </si>
  <si>
    <t>SUC-CAMISA SOCIAL TIM G MASCULINA</t>
  </si>
  <si>
    <t>S10015622</t>
  </si>
  <si>
    <t>SUC-CAMISA SOCIAL TIM M MASCULINA</t>
  </si>
  <si>
    <t>S1001289</t>
  </si>
  <si>
    <t>SUC-CANETA DETECTORA DE TENSÃO 90 - 1000V</t>
  </si>
  <si>
    <t>S1001302</t>
  </si>
  <si>
    <t>SUC-CAPA P/ CHUVA FORRADA AMARELA</t>
  </si>
  <si>
    <t>S1001102</t>
  </si>
  <si>
    <t>SUC-CORDA 12MM TRAÇADA</t>
  </si>
  <si>
    <t>S1001444</t>
  </si>
  <si>
    <t>SUC-CORDA COLOR 12MM</t>
  </si>
  <si>
    <t>S1006151</t>
  </si>
  <si>
    <t>SUC-CORDA PP TRAN 12MM BRANCA LVM 16M</t>
  </si>
  <si>
    <t>S1001265</t>
  </si>
  <si>
    <t>SUC-FITA DE SINALIZAÇÃO ZEBRADA</t>
  </si>
  <si>
    <t>S1001780</t>
  </si>
  <si>
    <t>SUC-FRASCO  PET ML</t>
  </si>
  <si>
    <t>S1001673</t>
  </si>
  <si>
    <t>SUC-FRASCO 30ML</t>
  </si>
  <si>
    <t>S10016733</t>
  </si>
  <si>
    <t>SUC-FRASCO 60ML</t>
  </si>
  <si>
    <t>S1001926</t>
  </si>
  <si>
    <t>SUC-JAQUETA CLARO COM CAPUZ - EXG</t>
  </si>
  <si>
    <t>S1001923</t>
  </si>
  <si>
    <t>SUC-JAQUETA CLARO COM CAPUZ - G</t>
  </si>
  <si>
    <t>S1001924</t>
  </si>
  <si>
    <t>SUC-JAQUETA CLARO COM CAPUZ - GG</t>
  </si>
  <si>
    <t>S1002238</t>
  </si>
  <si>
    <t>SUC-JAQUETA IHS - EXG</t>
  </si>
  <si>
    <t>S1002236</t>
  </si>
  <si>
    <t>SUC-JAQUETA IHS - G</t>
  </si>
  <si>
    <t>S1002237</t>
  </si>
  <si>
    <t>SUC-JAQUETA IHS - GG</t>
  </si>
  <si>
    <t>S1002235</t>
  </si>
  <si>
    <t>SUC-JAQUETA IHS - M</t>
  </si>
  <si>
    <t>S1001797</t>
  </si>
  <si>
    <t>SUC-JAQUETA TIM LIVE - EXG</t>
  </si>
  <si>
    <t>S1001798</t>
  </si>
  <si>
    <t>SUC-JAQUETA TIM LIVE - EXG1</t>
  </si>
  <si>
    <t>S1001799</t>
  </si>
  <si>
    <t>SUC-JAQUETA TIM LIVE - EXG2</t>
  </si>
  <si>
    <t>S1001795</t>
  </si>
  <si>
    <t>SUC-JAQUETA TIM LIVE - G</t>
  </si>
  <si>
    <t>S1001796</t>
  </si>
  <si>
    <t>SUC-JAQUETA TIM LIVE - GG</t>
  </si>
  <si>
    <t>S1001794</t>
  </si>
  <si>
    <t>SUC-JAQUETA TIM LIVE - M</t>
  </si>
  <si>
    <t>S1001852</t>
  </si>
  <si>
    <t>SUC-MOSQUETÃO CARABINEIRO ROSCA</t>
  </si>
  <si>
    <t>SB1001923</t>
  </si>
  <si>
    <t>SUC-REAP-JAQUETA CLARO COM CAPUZ - G</t>
  </si>
  <si>
    <t>S1006841</t>
  </si>
  <si>
    <t>SUC-REPELENTE ALG REPEL SPRAY PLUS DEET</t>
  </si>
  <si>
    <t>S1001168</t>
  </si>
  <si>
    <t>SUC-SAPATA DE BORRACHA COGUMELO</t>
  </si>
  <si>
    <t>TAMPA ARTIC, R2 FERRO NODULAR</t>
  </si>
  <si>
    <t>Local</t>
  </si>
  <si>
    <t>Data</t>
  </si>
  <si>
    <t>RIO DE JANEIRO</t>
  </si>
  <si>
    <t>TESTADOR DE CABO DE REDE LAN (ETHER...)</t>
  </si>
  <si>
    <t>17/06/</t>
  </si>
  <si>
    <t>LENÇO UMIDECIDO COM ALCOOL PARA LI...</t>
  </si>
  <si>
    <t>17/</t>
  </si>
  <si>
    <t>CALÇA JEANS C/ FAIXA REFLETIVA IHS</t>
  </si>
  <si>
    <t>POLO VERDE C/ ZIPER C/ FAIXA REFLETIVA</t>
  </si>
  <si>
    <t>CAMISA SOCIAL SUPERVISOR CLARO IAT</t>
  </si>
  <si>
    <t>CONSOLIDADO DE ESTOQUE — BELO HORIZONTE</t>
  </si>
  <si>
    <t>Itens da unidade Belo Horizonte. Classe (A/B/C) e código buscados nas abas 'de para abc' e 'de para codigo'.</t>
  </si>
  <si>
    <t>CADEIRA DE FERRO DOBRÁVEL</t>
  </si>
  <si>
    <t>UNI</t>
  </si>
  <si>
    <t>ESCADA DE 6,50MTS</t>
  </si>
  <si>
    <t xml:space="preserve">CHAVE BAP 15 s/isolamento </t>
  </si>
  <si>
    <t>LT</t>
  </si>
  <si>
    <t>CHAVE BOCA ESTRIA 11</t>
  </si>
  <si>
    <t>CONSOLIDADO DE ESTOQUE — JUIZ DE FORA</t>
  </si>
  <si>
    <t>Itens da unidade Juiz de Fora. Classe (A/B/C) e código buscados nas abas 'de para abc' e 'de para codigo'.</t>
  </si>
  <si>
    <t>CONSOLIDADO DE ESTOQUE — UBERLANDIA</t>
  </si>
  <si>
    <t>Itens da unidade Uberlândia. Classe (A/B/C) e código buscados nas abas 'de para abc' e 'de para codigo'.</t>
  </si>
  <si>
    <t>PROTETOR SOLAR 6og</t>
  </si>
  <si>
    <t>CONSOLIDADO DE ESTOQUE — VARGINHA</t>
  </si>
  <si>
    <t>Itens da unidade Varginha. Classe (A/B/C) e código buscados nas abas 'de para abc' e 'de para codigo'.</t>
  </si>
  <si>
    <t>CONSOLIDADO DE ESTOQUE — GOVERNADOR VALADARES</t>
  </si>
  <si>
    <t>Itens da unidade Governador Valadares. Classe (A/B/C) e código buscados nas abas 'de para abc' e 'de para codigo'.</t>
  </si>
  <si>
    <t>MARTELO CUNHA</t>
  </si>
  <si>
    <t>Estado</t>
  </si>
  <si>
    <t>Cidade</t>
  </si>
  <si>
    <t>RJ</t>
  </si>
  <si>
    <t>Rio de Janeiro</t>
  </si>
  <si>
    <t>1001455</t>
  </si>
  <si>
    <t>1000048</t>
  </si>
  <si>
    <t>1008890</t>
  </si>
  <si>
    <t>1001289</t>
  </si>
  <si>
    <t>1001122</t>
  </si>
  <si>
    <t>1001667</t>
  </si>
  <si>
    <t>1006116</t>
  </si>
  <si>
    <t>1000195</t>
  </si>
  <si>
    <t>1000258</t>
  </si>
  <si>
    <t>1000256</t>
  </si>
  <si>
    <t>1001264</t>
  </si>
  <si>
    <t>1002153</t>
  </si>
  <si>
    <t>1001476</t>
  </si>
  <si>
    <t>1000049</t>
  </si>
  <si>
    <t>1001939</t>
  </si>
  <si>
    <t>1000197</t>
  </si>
  <si>
    <t>1002108</t>
  </si>
  <si>
    <t>1000189</t>
  </si>
  <si>
    <t>1000196</t>
  </si>
  <si>
    <t>1000198</t>
  </si>
  <si>
    <t>1000262</t>
  </si>
  <si>
    <t>1000478</t>
  </si>
  <si>
    <t>1006855</t>
  </si>
  <si>
    <t>1002169</t>
  </si>
  <si>
    <t>1002148</t>
  </si>
  <si>
    <t>1001930</t>
  </si>
  <si>
    <t>1002097</t>
  </si>
  <si>
    <t>1001622</t>
  </si>
  <si>
    <t>1001512</t>
  </si>
  <si>
    <t>1001513</t>
  </si>
  <si>
    <t>1001973</t>
  </si>
  <si>
    <t>1001696</t>
  </si>
  <si>
    <t>1002158</t>
  </si>
  <si>
    <t>1001909</t>
  </si>
  <si>
    <t>1001906</t>
  </si>
  <si>
    <t>1001905</t>
  </si>
  <si>
    <t>1001907</t>
  </si>
  <si>
    <t>1001302</t>
  </si>
  <si>
    <t>1001854</t>
  </si>
  <si>
    <t>1001923</t>
  </si>
  <si>
    <t>1001925</t>
  </si>
  <si>
    <t>1002238</t>
  </si>
  <si>
    <t>1002239</t>
  </si>
  <si>
    <t>1002058</t>
  </si>
  <si>
    <t>1000544</t>
  </si>
  <si>
    <t>Nova Friburgo</t>
  </si>
  <si>
    <t>1000060</t>
  </si>
  <si>
    <t>1000065</t>
  </si>
  <si>
    <t>1006819</t>
  </si>
  <si>
    <t>1000162</t>
  </si>
  <si>
    <t>1000224</t>
  </si>
  <si>
    <t>1000254</t>
  </si>
  <si>
    <t>1001552</t>
  </si>
  <si>
    <t>1001736</t>
  </si>
  <si>
    <t>1000388</t>
  </si>
  <si>
    <t>1001669</t>
  </si>
  <si>
    <t>1001461</t>
  </si>
  <si>
    <t>1001850</t>
  </si>
  <si>
    <t>1006180</t>
  </si>
  <si>
    <t>1000052</t>
  </si>
  <si>
    <t>N/D</t>
  </si>
  <si>
    <t>1001694</t>
  </si>
  <si>
    <t>1001852</t>
  </si>
  <si>
    <t>Campo Grande</t>
  </si>
  <si>
    <t>9000028</t>
  </si>
  <si>
    <t>1001241</t>
  </si>
  <si>
    <t>1002152</t>
  </si>
  <si>
    <t>1002190</t>
  </si>
  <si>
    <t>1002191</t>
  </si>
  <si>
    <t>1002192</t>
  </si>
  <si>
    <t>1002194</t>
  </si>
  <si>
    <t>1002364</t>
  </si>
  <si>
    <t>1002365</t>
  </si>
  <si>
    <t>1001490</t>
  </si>
  <si>
    <t>1001507</t>
  </si>
  <si>
    <t>1001504</t>
  </si>
  <si>
    <t>1001505</t>
  </si>
  <si>
    <t>1006870</t>
  </si>
  <si>
    <t>1001506</t>
  </si>
  <si>
    <t>1001700</t>
  </si>
  <si>
    <t>1001697</t>
  </si>
  <si>
    <t>1001698</t>
  </si>
  <si>
    <t>1001916</t>
  </si>
  <si>
    <t>1001699</t>
  </si>
  <si>
    <t>1006858</t>
  </si>
  <si>
    <t>1006912</t>
  </si>
  <si>
    <t>1006913</t>
  </si>
  <si>
    <t>1006911</t>
  </si>
  <si>
    <t>1006914</t>
  </si>
  <si>
    <t>1006915</t>
  </si>
  <si>
    <t>1002367</t>
  </si>
  <si>
    <t>1002354</t>
  </si>
  <si>
    <t>1002003</t>
  </si>
  <si>
    <t>1002187</t>
  </si>
  <si>
    <t>1002186</t>
  </si>
  <si>
    <t>1001929</t>
  </si>
  <si>
    <t>1008922</t>
  </si>
  <si>
    <t>1002363</t>
  </si>
  <si>
    <t>1006909</t>
  </si>
  <si>
    <t>1006906</t>
  </si>
  <si>
    <t>1006907</t>
  </si>
  <si>
    <t>1002098</t>
  </si>
  <si>
    <t>1002366</t>
  </si>
  <si>
    <t>1001514</t>
  </si>
  <si>
    <t>1001509</t>
  </si>
  <si>
    <t>1001508</t>
  </si>
  <si>
    <t>1002159</t>
  </si>
  <si>
    <t>1001693</t>
  </si>
  <si>
    <t>1001695</t>
  </si>
  <si>
    <t>1002183</t>
  </si>
  <si>
    <t>1001920</t>
  </si>
  <si>
    <t>1002009</t>
  </si>
  <si>
    <t>1002010</t>
  </si>
  <si>
    <t>1000633</t>
  </si>
  <si>
    <t>1001282</t>
  </si>
  <si>
    <t>1001102</t>
  </si>
  <si>
    <t>1006151</t>
  </si>
  <si>
    <t>1001926</t>
  </si>
  <si>
    <t>1001924</t>
  </si>
  <si>
    <t>1002236</t>
  </si>
  <si>
    <t>1002237</t>
  </si>
  <si>
    <t>1002251</t>
  </si>
  <si>
    <t>1002259</t>
  </si>
  <si>
    <t>Niterói</t>
  </si>
  <si>
    <t>1001307</t>
  </si>
  <si>
    <t>100049</t>
  </si>
  <si>
    <t>MG</t>
  </si>
  <si>
    <t>Belo Horizonte</t>
  </si>
  <si>
    <t>1000021</t>
  </si>
  <si>
    <t>1006884</t>
  </si>
  <si>
    <t>1006882</t>
  </si>
  <si>
    <t>1006885</t>
  </si>
  <si>
    <t>1006883</t>
  </si>
  <si>
    <t>30030829</t>
  </si>
  <si>
    <t>1001110</t>
  </si>
  <si>
    <t>1000657</t>
  </si>
  <si>
    <t>1000066</t>
  </si>
  <si>
    <t>1001430</t>
  </si>
  <si>
    <t>1001185</t>
  </si>
  <si>
    <t>1000137</t>
  </si>
  <si>
    <t>1000713</t>
  </si>
  <si>
    <t>1000149</t>
  </si>
  <si>
    <t>1000150</t>
  </si>
  <si>
    <t>1000834</t>
  </si>
  <si>
    <t>1000163</t>
  </si>
  <si>
    <t>1006833</t>
  </si>
  <si>
    <t>1006850</t>
  </si>
  <si>
    <t>100120</t>
  </si>
  <si>
    <t>1006835</t>
  </si>
  <si>
    <t>1006836</t>
  </si>
  <si>
    <t>1006837</t>
  </si>
  <si>
    <t>1006838</t>
  </si>
  <si>
    <t>1006827</t>
  </si>
  <si>
    <t>1006828</t>
  </si>
  <si>
    <t>1002103</t>
  </si>
  <si>
    <t>1000169</t>
  </si>
  <si>
    <t>1006829</t>
  </si>
  <si>
    <t>1006839</t>
  </si>
  <si>
    <t>1001677</t>
  </si>
  <si>
    <t>1006950</t>
  </si>
  <si>
    <t>1001293</t>
  </si>
  <si>
    <t>1006831</t>
  </si>
  <si>
    <t>1001676</t>
  </si>
  <si>
    <t>1006832</t>
  </si>
  <si>
    <t>1006952</t>
  </si>
  <si>
    <t>1006951</t>
  </si>
  <si>
    <t>1000190</t>
  </si>
  <si>
    <t>1006847</t>
  </si>
  <si>
    <t>1006848</t>
  </si>
  <si>
    <t>1006849</t>
  </si>
  <si>
    <t>1001787</t>
  </si>
  <si>
    <t>1002334</t>
  </si>
  <si>
    <t>1000207</t>
  </si>
  <si>
    <t>1000607</t>
  </si>
  <si>
    <t>1000658</t>
  </si>
  <si>
    <t>1000241</t>
  </si>
  <si>
    <t>1000240</t>
  </si>
  <si>
    <t>1001025</t>
  </si>
  <si>
    <t>1001447</t>
  </si>
  <si>
    <t>1002254</t>
  </si>
  <si>
    <t>1008917</t>
  </si>
  <si>
    <t>1001295</t>
  </si>
  <si>
    <t>1002013</t>
  </si>
  <si>
    <t>1000586</t>
  </si>
  <si>
    <t>1000293</t>
  </si>
  <si>
    <t>1001189</t>
  </si>
  <si>
    <t>1000296</t>
  </si>
  <si>
    <t>1000300</t>
  </si>
  <si>
    <t>1002170</t>
  </si>
  <si>
    <t>1002022</t>
  </si>
  <si>
    <t>1006880</t>
  </si>
  <si>
    <t>9000050</t>
  </si>
  <si>
    <t>1000346</t>
  </si>
  <si>
    <t>1001039</t>
  </si>
  <si>
    <t>1000503</t>
  </si>
  <si>
    <t>1000999</t>
  </si>
  <si>
    <t>900058</t>
  </si>
  <si>
    <t>1000910</t>
  </si>
  <si>
    <t>1006903</t>
  </si>
  <si>
    <t>1006818</t>
  </si>
  <si>
    <t>1002265</t>
  </si>
  <si>
    <t>1001450</t>
  </si>
  <si>
    <t>1000411</t>
  </si>
  <si>
    <t>1000534</t>
  </si>
  <si>
    <t>1002107</t>
  </si>
  <si>
    <t>1001186</t>
  </si>
  <si>
    <t>1006875</t>
  </si>
  <si>
    <t>1001200</t>
  </si>
  <si>
    <t>1002154</t>
  </si>
  <si>
    <t>1001222</t>
  </si>
  <si>
    <t>1001225</t>
  </si>
  <si>
    <t>1001266</t>
  </si>
  <si>
    <t>1000473</t>
  </si>
  <si>
    <t>1001480</t>
  </si>
  <si>
    <t>1006886</t>
  </si>
  <si>
    <t>1008923</t>
  </si>
  <si>
    <t>1001931</t>
  </si>
  <si>
    <t>1006857</t>
  </si>
  <si>
    <t>1002147</t>
  </si>
  <si>
    <t>1006853</t>
  </si>
  <si>
    <t>1006854</t>
  </si>
  <si>
    <t>1006852</t>
  </si>
  <si>
    <t>1006851</t>
  </si>
  <si>
    <t>1006856</t>
  </si>
  <si>
    <t>1002020</t>
  </si>
  <si>
    <t>1000480</t>
  </si>
  <si>
    <t>1001265</t>
  </si>
  <si>
    <t>1001042</t>
  </si>
  <si>
    <t>Juiz de Fora</t>
  </si>
  <si>
    <t>1000545</t>
  </si>
  <si>
    <t>1006136</t>
  </si>
  <si>
    <t>1006876</t>
  </si>
  <si>
    <t>1006841</t>
  </si>
  <si>
    <t>Uberlândia</t>
  </si>
  <si>
    <t>1000852</t>
  </si>
  <si>
    <t>1000395</t>
  </si>
  <si>
    <t>Varginha</t>
  </si>
  <si>
    <t>1002012</t>
  </si>
  <si>
    <t>1006842</t>
  </si>
  <si>
    <t>1006834</t>
  </si>
  <si>
    <t>1000393</t>
  </si>
  <si>
    <t>1000423</t>
  </si>
  <si>
    <t>1002046</t>
  </si>
  <si>
    <t>1006901</t>
  </si>
  <si>
    <t>Governador Valadares</t>
  </si>
  <si>
    <t>1001118</t>
  </si>
  <si>
    <t>Saldo em Estoque</t>
  </si>
  <si>
    <t>1000031</t>
  </si>
  <si>
    <t>9000069</t>
  </si>
  <si>
    <t>1002050</t>
  </si>
  <si>
    <t>1000107</t>
  </si>
  <si>
    <t>1000151</t>
  </si>
  <si>
    <t>1006890</t>
  </si>
  <si>
    <t>1002326</t>
  </si>
  <si>
    <t>1001031</t>
  </si>
  <si>
    <t>1006928</t>
  </si>
  <si>
    <t>PR</t>
  </si>
  <si>
    <t>1001285</t>
  </si>
  <si>
    <t>1001662</t>
  </si>
  <si>
    <t>1006869</t>
  </si>
  <si>
    <t>1000223</t>
  </si>
  <si>
    <t>1001048</t>
  </si>
  <si>
    <t>1001448</t>
  </si>
  <si>
    <t>1008908</t>
  </si>
  <si>
    <t>1000252</t>
  </si>
  <si>
    <t>1002231</t>
  </si>
  <si>
    <t>1000255</t>
  </si>
  <si>
    <t>1000274</t>
  </si>
  <si>
    <t>200583</t>
  </si>
  <si>
    <t>1001440</t>
  </si>
  <si>
    <t>1000301</t>
  </si>
  <si>
    <t>1000821</t>
  </si>
  <si>
    <t>1001287</t>
  </si>
  <si>
    <t>1001645</t>
  </si>
  <si>
    <t>1001288</t>
  </si>
  <si>
    <t>1000311</t>
  </si>
  <si>
    <t>1002258</t>
  </si>
  <si>
    <t>1000318</t>
  </si>
  <si>
    <t>1001040</t>
  </si>
  <si>
    <t>1001979</t>
  </si>
  <si>
    <t>1000343</t>
  </si>
  <si>
    <t>1000345</t>
  </si>
  <si>
    <t>1001279</t>
  </si>
  <si>
    <t>90007710</t>
  </si>
  <si>
    <t>1000715</t>
  </si>
  <si>
    <t>1001286</t>
  </si>
  <si>
    <t>1001591</t>
  </si>
  <si>
    <t>1000714</t>
  </si>
  <si>
    <t>1000457</t>
  </si>
  <si>
    <t>1000227</t>
  </si>
  <si>
    <t>1000477</t>
  </si>
  <si>
    <t>CONSOLIDADO DE ESTOQUE — VITÓRIA</t>
  </si>
  <si>
    <t>Itens da unidade Vitória (ES). Contagem importada da planilha de origem.</t>
  </si>
  <si>
    <t>ES</t>
  </si>
  <si>
    <t>Vitória</t>
  </si>
  <si>
    <t>Curva ABC</t>
  </si>
  <si>
    <t>ABRAÇADEIRA NYLON (FITA HELLERMAN) - MÉDIA</t>
  </si>
  <si>
    <t>CABO USB UNIVERSAL</t>
  </si>
  <si>
    <t>CALÇA CINZA  VIVO C/ FAIXA REFLETIVA - P</t>
  </si>
  <si>
    <t>CALÇA CINZA VIVO C/ FAIXA REFLETIVA  - XXG</t>
  </si>
  <si>
    <t>CAMISA ROXA VIVO - EXG1</t>
  </si>
  <si>
    <t>CAMISA ROXA VIVO - G1</t>
  </si>
  <si>
    <t>CAMISA SOCIAL MANGA CURTA - M (SUPERVISOR TIM)</t>
  </si>
  <si>
    <t>MACACÃO APICUL TAM G</t>
  </si>
  <si>
    <t>CONSOLIDADO DE ESTOQUE — SÃO PAULO</t>
  </si>
  <si>
    <t>Itens da unidade São Paulo (SP).</t>
  </si>
  <si>
    <t>U</t>
  </si>
  <si>
    <t>SP</t>
  </si>
  <si>
    <t>São Paulo</t>
  </si>
  <si>
    <t>1000014</t>
  </si>
  <si>
    <t>1002276</t>
  </si>
  <si>
    <t>1002303</t>
  </si>
  <si>
    <t>1002352</t>
  </si>
  <si>
    <t>1002319</t>
  </si>
  <si>
    <t>1002317</t>
  </si>
  <si>
    <t>1002337</t>
  </si>
  <si>
    <t>1002338</t>
  </si>
  <si>
    <t>1002279</t>
  </si>
  <si>
    <t>1002335</t>
  </si>
  <si>
    <t>1002280</t>
  </si>
  <si>
    <t>1002278</t>
  </si>
  <si>
    <t>1006871</t>
  </si>
  <si>
    <t>1002008</t>
  </si>
  <si>
    <t>10015633</t>
  </si>
  <si>
    <t>10015622</t>
  </si>
  <si>
    <t>1002188</t>
  </si>
  <si>
    <t>1001444</t>
  </si>
  <si>
    <t>1002235</t>
  </si>
  <si>
    <t>1001797</t>
  </si>
  <si>
    <t>1001795</t>
  </si>
  <si>
    <t>1001796</t>
  </si>
  <si>
    <t>1001794</t>
  </si>
  <si>
    <t>1001793</t>
  </si>
  <si>
    <t>1001863</t>
  </si>
  <si>
    <t>1002234</t>
  </si>
  <si>
    <t>1001168</t>
  </si>
  <si>
    <t>1006146</t>
  </si>
  <si>
    <t>1001224</t>
  </si>
  <si>
    <t>CONSOLIDADO DE ESTOQUE — CAMPOS DOS GOYTACAZES</t>
  </si>
  <si>
    <t>Itens da unidade Campos dos Goytacazes. Código e classe (A/B/C) buscados na aba 'de para abc' pelo nome do item.</t>
  </si>
  <si>
    <t>Campos dos Goytacazes</t>
  </si>
  <si>
    <t>1000391</t>
  </si>
  <si>
    <t>1001001</t>
  </si>
  <si>
    <t>1002052</t>
  </si>
  <si>
    <t>1001706</t>
  </si>
  <si>
    <t>1006121</t>
  </si>
  <si>
    <t>1000392</t>
  </si>
  <si>
    <t>CONSOLIDADO DE ESTOQUE — TERESÓPOLIS</t>
  </si>
  <si>
    <t>Itens da unidade Teresópolis (RJ).</t>
  </si>
  <si>
    <t>CONSOLIDADO DE ESTOQUE — PETRÓPOLIS</t>
  </si>
  <si>
    <t>Itens da unidade Petrópolis (RJ).</t>
  </si>
  <si>
    <t>Petrópolis</t>
  </si>
  <si>
    <t>1002281</t>
  </si>
  <si>
    <t>Teresópolis</t>
  </si>
  <si>
    <t>1006821</t>
  </si>
  <si>
    <t>ALICATE COMPRESSÃO P/ CABO COAXIAL RG11</t>
  </si>
  <si>
    <t>BROCA SDS 10MM (MARTELETE)</t>
  </si>
  <si>
    <t>BROCA SDS 8MM (MARTELETE)</t>
  </si>
  <si>
    <t>CHAVE INGLESA 8MM</t>
  </si>
  <si>
    <t>ADAPTADOR SC/APC</t>
  </si>
  <si>
    <t>DISCO DIAMANTADO - 105 mm</t>
  </si>
  <si>
    <t>TRENA DIGITAL 10Km</t>
  </si>
  <si>
    <t>SINALIZADOR VIARIO SOLAR PARAFUSO C/ FOTOCECULA</t>
  </si>
  <si>
    <t>ALICATE CORTE 6</t>
  </si>
  <si>
    <t>BROCA 10 MM X 40CM ENGATE RAPIDO</t>
  </si>
  <si>
    <t>BROCA 6MM X 16CM ENGATE RAPIDO</t>
  </si>
  <si>
    <t>CANETA DE LIMPEZA DE CONECTORES</t>
  </si>
  <si>
    <t>CHAVE PARA MANDRIL</t>
  </si>
  <si>
    <t>CONECTOR RJ45</t>
  </si>
  <si>
    <t>CORDÃO OPTICO SIMPLEX MONOMODO SC APC/SC UPC 2M</t>
  </si>
  <si>
    <t>EXTENSÃO ELÉTRICA FIO PARALELO 25 METROS</t>
  </si>
  <si>
    <t>CONSOLIDADO DE ESTOQUE — LAGOS</t>
  </si>
  <si>
    <t>Itens da unidade Região dos Lagos (RJ).</t>
  </si>
  <si>
    <t>1000041</t>
  </si>
  <si>
    <t>1002051</t>
  </si>
  <si>
    <t>1001976</t>
  </si>
  <si>
    <t>1001975</t>
  </si>
  <si>
    <t>1001927</t>
  </si>
  <si>
    <t>30001277</t>
  </si>
  <si>
    <t>1000109</t>
  </si>
  <si>
    <t>1001959</t>
  </si>
  <si>
    <t>1000191</t>
  </si>
  <si>
    <t>1000866</t>
  </si>
  <si>
    <t>1000629</t>
  </si>
  <si>
    <t>1000259</t>
  </si>
  <si>
    <t>1001690</t>
  </si>
  <si>
    <t>1001735</t>
  </si>
  <si>
    <t>1001614</t>
  </si>
  <si>
    <t>1001600</t>
  </si>
  <si>
    <t>1001710</t>
  </si>
  <si>
    <t>1000091</t>
  </si>
  <si>
    <t>1001283</t>
  </si>
  <si>
    <t>1002045</t>
  </si>
  <si>
    <t>1000468</t>
  </si>
  <si>
    <t>9000029</t>
  </si>
  <si>
    <t>1001724</t>
  </si>
  <si>
    <t>1000847</t>
  </si>
  <si>
    <t>1000051</t>
  </si>
  <si>
    <t>1000062</t>
  </si>
  <si>
    <t>1001462</t>
  </si>
  <si>
    <t>1001463</t>
  </si>
  <si>
    <t>9000041</t>
  </si>
  <si>
    <t>1006185</t>
  </si>
  <si>
    <t>1001479</t>
  </si>
  <si>
    <t>1001749</t>
  </si>
  <si>
    <t>1006122</t>
  </si>
  <si>
    <t>Lagos</t>
  </si>
  <si>
    <t>1001599</t>
  </si>
  <si>
    <t>1000322</t>
  </si>
  <si>
    <t>Diferença</t>
  </si>
  <si>
    <t>Acertou (exato)</t>
  </si>
  <si>
    <t>Valor Unitário</t>
  </si>
  <si>
    <t>Valor Contagem</t>
  </si>
  <si>
    <t>Valor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</si>
</sst>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;\(#,##0\);\-"/>
    <numFmt numFmtId="165" formatCode="_-[$R$-416]\ * #,##0.00_-;\-[$R$-416]\ * #,##0.00_-;_-[$R$-416]\ * &quot;-&quot;??_-;_-@_-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8000"/>
      <name val="Calibri"/>
      <family val="2"/>
      <scheme val="minor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5" fillId="0" borderId="0" xfId="0" applyFont="1"/>
    <xf numFmtId="164" fontId="5" fillId="0" borderId="0" xfId="0" applyNumberFormat="1" applyFont="1"/>
    <xf numFmtId="0" fontId="6" fillId="3" borderId="2" xfId="0" applyFont="1" applyFill="1" applyBorder="1"/>
    <xf numFmtId="164" fontId="6" fillId="3" borderId="2" xfId="0" applyNumberFormat="1" applyFont="1" applyFill="1" applyBorder="1"/>
    <xf numFmtId="0" fontId="4" fillId="2" borderId="2" xfId="0" applyFont="1" applyFill="1" applyBorder="1"/>
    <xf numFmtId="0" fontId="7" fillId="0" borderId="0" xfId="0" applyFont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8" fillId="2" borderId="0" xfId="0" applyFont="1" applyFill="1"/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3" xfId="0" applyFont="1" applyBorder="1"/>
    <xf numFmtId="49" fontId="9" fillId="0" borderId="3" xfId="0" applyNumberFormat="1" applyFont="1" applyBorder="1"/>
    <xf numFmtId="0" fontId="9" fillId="0" borderId="3" xfId="0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9" fillId="0" borderId="0" xfId="0" applyFont="1"/>
    <xf numFmtId="0" fontId="5" fillId="0" borderId="0" xfId="0" applyFont="1" applyAlignment="1">
      <alignment wrapText="1"/>
    </xf>
    <xf numFmtId="0" fontId="2" fillId="0" borderId="4" xfId="0" applyFont="1" applyBorder="1"/>
    <xf numFmtId="0" fontId="10" fillId="0" borderId="0" xfId="0" applyFont="1" applyAlignment="1">
      <alignment wrapText="1"/>
    </xf>
    <xf numFmtId="14" fontId="5" fillId="0" borderId="0" xfId="0" applyNumberFormat="1" applyFont="1"/>
    <xf numFmtId="0" fontId="8" fillId="5" borderId="0" xfId="0" applyFont="1" applyFill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1" fillId="0" borderId="0" xfId="0" applyFont="1"/>
    <xf numFmtId="0" fontId="1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164" fontId="9" fillId="0" borderId="8" xfId="0" applyNumberFormat="1" applyFont="1" applyBorder="1" applyAlignment="1">
      <alignment horizontal="right"/>
    </xf>
    <xf numFmtId="0" fontId="8" fillId="5" borderId="9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1" fontId="9" fillId="0" borderId="12" xfId="0" applyNumberFormat="1" applyFont="1" applyBorder="1" applyAlignment="1">
      <alignment horizontal="center"/>
    </xf>
    <xf numFmtId="0" fontId="9" fillId="0" borderId="12" xfId="0" applyFont="1" applyBorder="1"/>
    <xf numFmtId="0" fontId="9" fillId="0" borderId="12" xfId="0" applyFont="1" applyBorder="1" applyAlignment="1">
      <alignment horizontal="center"/>
    </xf>
    <xf numFmtId="164" fontId="9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164" fontId="0" fillId="0" borderId="8" xfId="0" applyNumberFormat="1" applyBorder="1" applyAlignment="1">
      <alignment horizontal="right"/>
    </xf>
    <xf numFmtId="0" fontId="0" fillId="0" borderId="11" xfId="0" applyBorder="1" applyAlignment="1">
      <alignment horizontal="left"/>
    </xf>
    <xf numFmtId="1" fontId="0" fillId="0" borderId="12" xfId="0" applyNumberForma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164" fontId="0" fillId="0" borderId="13" xfId="0" applyNumberFormat="1" applyBorder="1" applyAlignment="1">
      <alignment horizontal="right"/>
    </xf>
    <xf numFmtId="0" fontId="0" fillId="6" borderId="0" xfId="0" applyFill="1"/>
    <xf numFmtId="0" fontId="13" fillId="6" borderId="0" xfId="0" applyFont="1" applyFill="1"/>
    <xf numFmtId="0" fontId="12" fillId="6" borderId="0" xfId="0" applyFont="1" applyFill="1"/>
    <xf numFmtId="49" fontId="8" fillId="5" borderId="9" xfId="0" applyNumberFormat="1" applyFont="1" applyFill="1" applyBorder="1" applyAlignment="1">
      <alignment horizontal="center"/>
    </xf>
    <xf numFmtId="49" fontId="8" fillId="5" borderId="5" xfId="0" applyNumberFormat="1" applyFont="1" applyFill="1" applyBorder="1" applyAlignment="1">
      <alignment horizontal="center"/>
    </xf>
    <xf numFmtId="49" fontId="8" fillId="5" borderId="10" xfId="0" applyNumberFormat="1" applyFont="1" applyFill="1" applyBorder="1" applyAlignment="1">
      <alignment horizontal="center"/>
    </xf>
    <xf numFmtId="49" fontId="14" fillId="6" borderId="7" xfId="0" applyNumberFormat="1" applyFont="1" applyFill="1" applyBorder="1" applyAlignment="1">
      <alignment horizontal="left"/>
    </xf>
    <xf numFmtId="49" fontId="14" fillId="6" borderId="1" xfId="0" applyNumberFormat="1" applyFont="1" applyFill="1" applyBorder="1" applyAlignment="1">
      <alignment horizontal="center"/>
    </xf>
    <xf numFmtId="49" fontId="14" fillId="6" borderId="1" xfId="0" applyNumberFormat="1" applyFont="1" applyFill="1" applyBorder="1" applyAlignment="1">
      <alignment horizontal="left"/>
    </xf>
    <xf numFmtId="164" fontId="14" fillId="6" borderId="8" xfId="0" applyNumberFormat="1" applyFont="1" applyFill="1" applyBorder="1" applyAlignment="1">
      <alignment horizontal="right"/>
    </xf>
    <xf numFmtId="0" fontId="15" fillId="6" borderId="0" xfId="0" applyFont="1" applyFill="1"/>
    <xf numFmtId="0" fontId="16" fillId="6" borderId="0" xfId="0" applyFont="1" applyFill="1"/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18" fillId="6" borderId="7" xfId="0" applyFont="1" applyFill="1" applyBorder="1" applyAlignment="1">
      <alignment horizontal="left"/>
    </xf>
    <xf numFmtId="164" fontId="18" fillId="6" borderId="8" xfId="0" applyNumberFormat="1" applyFont="1" applyFill="1" applyBorder="1" applyAlignment="1">
      <alignment horizontal="right"/>
    </xf>
    <xf numFmtId="0" fontId="17" fillId="5" borderId="9" xfId="0" applyFont="1" applyFill="1" applyBorder="1" applyAlignment="1">
      <alignment horizontal="center"/>
    </xf>
    <xf numFmtId="49" fontId="17" fillId="5" borderId="5" xfId="0" applyNumberFormat="1" applyFont="1" applyFill="1" applyBorder="1" applyAlignment="1">
      <alignment horizontal="center" vertical="center"/>
    </xf>
    <xf numFmtId="49" fontId="17" fillId="5" borderId="10" xfId="0" applyNumberFormat="1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left"/>
    </xf>
    <xf numFmtId="0" fontId="18" fillId="6" borderId="12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left" vertical="center"/>
    </xf>
    <xf numFmtId="164" fontId="18" fillId="6" borderId="13" xfId="0" applyNumberFormat="1" applyFont="1" applyFill="1" applyBorder="1" applyAlignment="1">
      <alignment horizontal="right"/>
    </xf>
    <xf numFmtId="49" fontId="14" fillId="6" borderId="11" xfId="0" applyNumberFormat="1" applyFont="1" applyFill="1" applyBorder="1" applyAlignment="1">
      <alignment horizontal="left"/>
    </xf>
    <xf numFmtId="49" fontId="14" fillId="6" borderId="12" xfId="0" applyNumberFormat="1" applyFont="1" applyFill="1" applyBorder="1" applyAlignment="1">
      <alignment horizontal="center"/>
    </xf>
    <xf numFmtId="49" fontId="14" fillId="6" borderId="12" xfId="0" applyNumberFormat="1" applyFont="1" applyFill="1" applyBorder="1" applyAlignment="1">
      <alignment horizontal="left"/>
    </xf>
    <xf numFmtId="1" fontId="0" fillId="0" borderId="1" xfId="0" applyNumberFormat="1" applyBorder="1"/>
    <xf numFmtId="164" fontId="0" fillId="0" borderId="8" xfId="0" applyNumberFormat="1" applyBorder="1"/>
    <xf numFmtId="164" fontId="0" fillId="0" borderId="13" xfId="0" applyNumberFormat="1" applyBorder="1"/>
    <xf numFmtId="0" fontId="20" fillId="0" borderId="7" xfId="0" applyFont="1" applyBorder="1" applyAlignment="1">
      <alignment horizontal="left"/>
    </xf>
    <xf numFmtId="1" fontId="20" fillId="0" borderId="1" xfId="0" applyNumberFormat="1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20" fillId="0" borderId="11" xfId="0" applyFont="1" applyBorder="1" applyAlignment="1">
      <alignment horizontal="left"/>
    </xf>
    <xf numFmtId="1" fontId="20" fillId="0" borderId="12" xfId="0" applyNumberFormat="1" applyFont="1" applyBorder="1"/>
    <xf numFmtId="0" fontId="20" fillId="0" borderId="12" xfId="0" applyFont="1" applyBorder="1"/>
    <xf numFmtId="0" fontId="20" fillId="0" borderId="12" xfId="0" applyFont="1" applyBorder="1" applyAlignment="1">
      <alignment horizontal="center"/>
    </xf>
    <xf numFmtId="49" fontId="17" fillId="5" borderId="9" xfId="0" applyNumberFormat="1" applyFont="1" applyFill="1" applyBorder="1" applyAlignment="1">
      <alignment horizontal="center"/>
    </xf>
    <xf numFmtId="49" fontId="17" fillId="5" borderId="5" xfId="0" applyNumberFormat="1" applyFont="1" applyFill="1" applyBorder="1" applyAlignment="1">
      <alignment horizontal="center"/>
    </xf>
    <xf numFmtId="49" fontId="17" fillId="5" borderId="10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left"/>
    </xf>
    <xf numFmtId="1" fontId="14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4" fillId="6" borderId="1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left"/>
    </xf>
    <xf numFmtId="1" fontId="14" fillId="6" borderId="12" xfId="0" applyNumberFormat="1" applyFont="1" applyFill="1" applyBorder="1" applyAlignment="1">
      <alignment horizontal="center"/>
    </xf>
    <xf numFmtId="0" fontId="14" fillId="6" borderId="12" xfId="0" applyFont="1" applyFill="1" applyBorder="1" applyAlignment="1">
      <alignment horizontal="left"/>
    </xf>
    <xf numFmtId="0" fontId="14" fillId="6" borderId="12" xfId="0" applyFont="1" applyFill="1" applyBorder="1" applyAlignment="1">
      <alignment horizontal="center"/>
    </xf>
    <xf numFmtId="164" fontId="14" fillId="6" borderId="13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4" fillId="6" borderId="12" xfId="0" applyFont="1" applyFill="1" applyBorder="1" applyAlignment="1">
      <alignment horizontal="left" vertical="center"/>
    </xf>
    <xf numFmtId="0" fontId="14" fillId="6" borderId="12" xfId="0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1" fontId="18" fillId="6" borderId="12" xfId="0" applyNumberFormat="1" applyFont="1" applyFill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" fontId="14" fillId="6" borderId="12" xfId="0" applyNumberFormat="1" applyFont="1" applyFill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1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\(#,##0\);\-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\(#,##0\);\-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\(#,##0\);\-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;\(#,##0\);\-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#,##0;\(#,##0\);\-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04040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#,##0;\(#,##0\);\-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04040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#,##0;\(#,##0\);\-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04040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\(#,##0\);\-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numFmt numFmtId="30" formatCode="@"/>
      <fill>
        <patternFill patternType="solid">
          <fgColor indexed="64"/>
          <bgColor rgb="FF40404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  <dxf>
      <numFmt numFmtId="164" formatCode="#,##0;\(#,##0\);\-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numFmt numFmtId="0" formatCode="General"/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alignment horizontal="left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>
        <bottom style="thin">
          <color rgb="FFBFBFBF"/>
        </bottom>
      </border>
    </dxf>
    <dxf>
      <font>
        <b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right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left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left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sz val="9"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right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left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left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sz val="9"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right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left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  <alignment horizontal="left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1"/>
        <color rgb="FF000000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sz val="9"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sz val="11"/>
        <color rgb="FF000000"/>
        <name val="Calibri"/>
      </font>
      <numFmt numFmtId="164" formatCode="#,##0;\(#,##0\);\-"/>
      <fill>
        <patternFill patternType="solid">
          <fgColor indexed="64"/>
          <bgColor rgb="FFFFFFFF"/>
        </patternFill>
      </fill>
      <alignment horizontal="right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left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left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30" formatCode="@"/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#,##0;\(#,##0\);\-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04040"/>
          <bgColor rgb="FF40404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543CE00E-0E9D-42FF-9A4B-ED7F4A6D30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/Desktop/ARQUVOS/RELATORIOS/EXCEL/autonomia.xlsx" TargetMode="External"/><Relationship Id="rId1" Type="http://schemas.openxmlformats.org/officeDocument/2006/relationships/externalLinkPath" Target="/Users/user/Desktop/ARQUVOS/RELATORIOS/EXCEL/autonom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 PARA CONTRATO_PROJETO"/>
      <sheetName val="BASE DE DADOS RM "/>
      <sheetName val="CURVA ABC"/>
      <sheetName val="DE-PARA ABC"/>
      <sheetName val="BASE DE DADOS ESTOQUE"/>
      <sheetName val="DE PARA MATERIAIS"/>
      <sheetName val="autonomi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035E663-55EE-4124-AD2C-6B11524517B2}" autoFormatId="16" applyNumberFormats="0" applyBorderFormats="0" applyFontFormats="0" applyPatternFormats="0" applyAlignmentFormats="0" applyWidthHeightFormats="0">
  <queryTableRefresh nextId="19">
    <queryTableFields count="14">
      <queryTableField id="1" name="Estado" tableColumnId="1"/>
      <queryTableField id="2" name="Cidade" tableColumnId="2"/>
      <queryTableField id="3" name="Categoria" tableColumnId="3"/>
      <queryTableField id="4" name="Código" tableColumnId="4"/>
      <queryTableField id="5" name="Descrição" tableColumnId="5"/>
      <queryTableField id="6" name="Unidade" tableColumnId="6"/>
      <queryTableField id="8" name="Quantidade" tableColumnId="8"/>
      <queryTableField id="9" name="Saldo em Estoque" tableColumnId="9"/>
      <queryTableField id="10" name="Curva ABC" tableColumnId="10"/>
      <queryTableField id="13" name="Diferença" tableColumnId="7"/>
      <queryTableField id="14" name="Acertou (exato)" tableColumnId="11"/>
      <queryTableField id="15" name="Valor Unitário" tableColumnId="12"/>
      <queryTableField id="16" name="Valor Contagem" tableColumnId="13"/>
      <queryTableField id="17" name="Valor Estoque" tableColumnId="14"/>
    </queryTableFields>
    <queryTableDeletedFields count="2">
      <deletedField name="Classe"/>
      <deletedField name="Acuracidade (R$)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046A6-0DE7-4B48-8F0A-077113502297}" name="tblRioDeJaneiro" displayName="tblRioDeJaneiro" ref="A4:F111" totalsRowShown="0" headerRowDxfId="150" headerRowBorderDxfId="149" tableBorderDxfId="148">
  <autoFilter ref="A4:F111" xr:uid="{00000000-0009-0000-0000-000000000000}"/>
  <tableColumns count="6">
    <tableColumn id="1" xr3:uid="{21822F29-CEB3-408B-A266-84E0AD25431F}" name="Categoria" dataDxfId="147"/>
    <tableColumn id="2" xr3:uid="{8E1164A0-1FEB-4DBC-BD90-A845D7A5C989}" name="Código" dataDxfId="146"/>
    <tableColumn id="3" xr3:uid="{504A8ABD-E60C-42C8-9779-A3967768FD93}" name="Descrição" dataDxfId="145"/>
    <tableColumn id="4" xr3:uid="{6ABCA335-6083-45F9-A814-FD237858F19A}" name="Unidade" dataDxfId="144"/>
    <tableColumn id="5" xr3:uid="{F394238A-1EEA-4FC5-8724-DA2E778BDD4C}" name="Aba origem" dataDxfId="143"/>
    <tableColumn id="6" xr3:uid="{FFF6E792-EF48-4A5B-93B6-C6D80C552490}" name="Quantidade" dataDxfId="1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923144-FB4A-406C-BD2B-C9657CC15A63}" name="tblVitoria" displayName="tblVitoria" ref="A4:F303" totalsRowShown="0" headerRowDxfId="141" dataDxfId="139" headerRowBorderDxfId="140" tableBorderDxfId="138" totalsRowBorderDxfId="137">
  <autoFilter ref="A4:F303" xr:uid="{33923144-FB4A-406C-BD2B-C9657CC15A63}"/>
  <tableColumns count="6">
    <tableColumn id="1" xr3:uid="{CE3F9E51-D30B-4CF1-B910-4D3FDA3B4072}" name="Categoria" dataDxfId="136"/>
    <tableColumn id="2" xr3:uid="{62CFC441-2A9C-4AEF-BBF8-4469B698D156}" name="Código" dataDxfId="135"/>
    <tableColumn id="3" xr3:uid="{8678A854-BFF9-4605-8C3C-600950623758}" name="Descrição" dataDxfId="134"/>
    <tableColumn id="4" xr3:uid="{5EE17C9B-9253-47E9-B550-912585631A85}" name="Unidade" dataDxfId="133"/>
    <tableColumn id="5" xr3:uid="{617BCAC9-4BDE-444D-9FB6-C4A11F6FF5A1}" name="Classe (A/B/C)" dataDxfId="132"/>
    <tableColumn id="6" xr3:uid="{525CB2E7-2999-4B3B-B951-7A05732CB5A8}" name="Quantidade" dataDxfId="1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9DC61A-8DA0-42F7-B7B7-2714FD80D6E3}" name="Consulta1" displayName="Consulta1" ref="A1:N2156" tableType="queryTable" totalsRowShown="0">
  <autoFilter ref="A1:N2156" xr:uid="{839DC61A-8DA0-42F7-B7B7-2714FD80D6E3}">
    <filterColumn colId="0">
      <filters>
        <filter val="ES"/>
      </filters>
    </filterColumn>
  </autoFilter>
  <tableColumns count="14">
    <tableColumn id="1" xr3:uid="{F25ACAD9-FC1D-42BE-B98D-F5073869E19B}" uniqueName="1" name="Estado" queryTableFieldId="1" dataDxfId="158"/>
    <tableColumn id="2" xr3:uid="{1BF17AAC-F560-4EEC-AF5C-43D173BCBB0B}" uniqueName="2" name="Cidade" queryTableFieldId="2" dataDxfId="157"/>
    <tableColumn id="3" xr3:uid="{BADE33F4-ABDC-4B3A-B301-6FF60AC90860}" uniqueName="3" name="Categoria" queryTableFieldId="3" dataDxfId="156"/>
    <tableColumn id="4" xr3:uid="{19E850B1-C726-469A-AABC-51CD7D63CC09}" uniqueName="4" name="Código" queryTableFieldId="4" dataDxfId="155"/>
    <tableColumn id="5" xr3:uid="{494D53E5-7A1B-4FE7-AD6D-E5C0EE20F7EC}" uniqueName="5" name="Descrição" queryTableFieldId="5" dataDxfId="154"/>
    <tableColumn id="6" xr3:uid="{E4EF138C-E307-4C62-AD7A-CFFC6800B519}" uniqueName="6" name="Unidade" queryTableFieldId="6" dataDxfId="153"/>
    <tableColumn id="8" xr3:uid="{85EFABE1-E232-47BE-A026-DAF80D4D34DA}" uniqueName="8" name="Quantidade" queryTableFieldId="8" dataDxfId="152"/>
    <tableColumn id="9" xr3:uid="{4F959391-1DD4-4EC0-BE2A-0C0F762166A8}" uniqueName="9" name="Saldo em Estoque" queryTableFieldId="9"/>
    <tableColumn id="10" xr3:uid="{44D41A73-1173-4BE5-A4DC-3CD6658B9183}" uniqueName="10" name="Curva ABC" queryTableFieldId="10" dataDxfId="151"/>
    <tableColumn id="7" xr3:uid="{EA67E1F9-D1F0-4513-8AF7-EC65DD96FE3F}" uniqueName="7" name="Diferença" queryTableFieldId="13"/>
    <tableColumn id="11" xr3:uid="{52E8F067-D7E7-417C-B15B-52B7137E854F}" uniqueName="11" name="Acertou (exato)" queryTableFieldId="14"/>
    <tableColumn id="12" xr3:uid="{2DA8D90F-8F99-4C2A-8997-71CCB08F470B}" uniqueName="12" name="Valor Unitário" queryTableFieldId="15"/>
    <tableColumn id="13" xr3:uid="{AEA65F7F-C8E4-4577-A731-A92F80CDEB42}" uniqueName="13" name="Valor Contagem" queryTableFieldId="16"/>
    <tableColumn id="14" xr3:uid="{6F7E9E13-796C-4DCA-AAF0-4FD2FB807273}" uniqueName="14" name="Valor Estoque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902F2F-4819-4896-ADE4-4AA029C007CD}" name="tblLagos" displayName="tblLagos" ref="A4:F103" totalsRowShown="0" headerRowDxfId="130" dataDxfId="128" headerRowBorderDxfId="129" tableBorderDxfId="127" totalsRowBorderDxfId="126">
  <autoFilter ref="A4:F103" xr:uid="{05902F2F-4819-4896-ADE4-4AA029C007CD}"/>
  <tableColumns count="6">
    <tableColumn id="1" xr3:uid="{317B9C89-A98F-48CA-B473-7522DE88E67C}" name="Categoria" dataDxfId="125"/>
    <tableColumn id="2" xr3:uid="{21E0FC0D-22FA-4325-8D1B-3BA365BBB160}" name="Código" dataDxfId="124"/>
    <tableColumn id="3" xr3:uid="{0C85B676-94D2-4F01-B0F2-E934F2A3394D}" name="Descrição" dataDxfId="123"/>
    <tableColumn id="4" xr3:uid="{66BE841B-BA0C-4B1D-85A6-EE566142F1A1}" name="Unidade" dataDxfId="122"/>
    <tableColumn id="5" xr3:uid="{9CB0F5C2-B143-4425-B918-99BC314515C9}" name="Classe (A/B/C)" dataDxfId="121"/>
    <tableColumn id="6" xr3:uid="{B4E74233-AC6D-4F49-8A1D-70A7D7A160C2}" name="Quantidade" dataDxfId="120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C0364E-2E11-4CBD-A278-BCED39FB2FFC}" name="tblTeresopolis" displayName="tblTeresopolis" ref="A4:F79" totalsRowShown="0" headerRowDxfId="119" dataDxfId="117" headerRowBorderDxfId="118" tableBorderDxfId="116" totalsRowBorderDxfId="115">
  <autoFilter ref="A4:F79" xr:uid="{55C0364E-2E11-4CBD-A278-BCED39FB2FFC}"/>
  <tableColumns count="6">
    <tableColumn id="1" xr3:uid="{BE8453D4-4531-4DA5-80A3-602D54A30CCE}" name="Categoria" dataDxfId="114"/>
    <tableColumn id="2" xr3:uid="{CEBB9302-4A7A-4D6E-8A67-1BD153E7BEAF}" name="Código" dataDxfId="113"/>
    <tableColumn id="3" xr3:uid="{7F83B8FC-2A50-4895-9E27-10D43867C1AF}" name="Descrição" dataDxfId="112"/>
    <tableColumn id="4" xr3:uid="{6DF21A81-1EA8-422C-B320-5079E090CD2C}" name="Unidade" dataDxfId="111"/>
    <tableColumn id="5" xr3:uid="{ADE86F9A-91FE-417D-A11C-31367A87107E}" name="Classe (A/B/C)" dataDxfId="110"/>
    <tableColumn id="6" xr3:uid="{D929E929-49B2-46A8-BDD5-095BD5B27278}" name="Quantidade" dataDxfId="109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B631BBF-D055-4CE9-B1E5-C62105B5D887}" name="tblPetropolis" displayName="tblPetropolis" ref="A4:F74" totalsRowShown="0" headerRowDxfId="108" dataDxfId="106" headerRowBorderDxfId="107" tableBorderDxfId="105" totalsRowBorderDxfId="104">
  <autoFilter ref="A4:F74" xr:uid="{8B631BBF-D055-4CE9-B1E5-C62105B5D887}"/>
  <tableColumns count="6">
    <tableColumn id="1" xr3:uid="{18E1A140-B60D-4D1E-877D-EAC626C1C715}" name="Categoria" dataDxfId="103"/>
    <tableColumn id="2" xr3:uid="{7476BE0F-419D-4C4E-837B-424B06F7B36A}" name="Código" dataDxfId="102"/>
    <tableColumn id="3" xr3:uid="{E1490E34-14AB-4B47-B245-C997BBDE2C49}" name="Descrição" dataDxfId="101"/>
    <tableColumn id="4" xr3:uid="{1CF61BAF-A8FE-41D4-BAA6-0505453DF84E}" name="Unidade" dataDxfId="100"/>
    <tableColumn id="5" xr3:uid="{4F00B3F0-B9B0-4676-8803-5D6C3A45C023}" name="Classe (A/B/C)" dataDxfId="99"/>
    <tableColumn id="6" xr3:uid="{EEF369D6-F703-4F45-8E11-39B327A26854}" name="Quantidade" dataDxfId="98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C3AE0D-A920-4E8C-BB78-504FB16F295B}" name="tblCamposDosGoytacazes" displayName="tblCamposDosGoytacazes" ref="A4:F123" totalsRowShown="0" headerRowDxfId="97" headerRowBorderDxfId="96" tableBorderDxfId="95" totalsRowBorderDxfId="94">
  <autoFilter ref="A4:F123" xr:uid="{F8C3AE0D-A920-4E8C-BB78-504FB16F295B}"/>
  <tableColumns count="6">
    <tableColumn id="1" xr3:uid="{5D6E57B7-4467-4787-9D84-BC086FC3426D}" name="Categoria" dataDxfId="93">
      <calculatedColumnFormula>IFERROR(INDEX('de para abc'!$D:$D,MATCH($C5,'de para abc'!$B:$B,0)),"N/D")</calculatedColumnFormula>
    </tableColumn>
    <tableColumn id="2" xr3:uid="{D85F6229-E170-4D94-B839-B8A7264FAB8D}" name="Código" dataDxfId="92">
      <calculatedColumnFormula>IFERROR(INDEX('de para abc'!$A:$A,MATCH($C5,'de para abc'!$B:$B,0)),"N/D")</calculatedColumnFormula>
    </tableColumn>
    <tableColumn id="3" xr3:uid="{0648443C-7CF2-4BB4-9D69-7FBC1B9BDCC3}" name="Descrição" dataDxfId="91"/>
    <tableColumn id="4" xr3:uid="{8FDD6BE1-D4C7-41E7-AFAC-FAB8DE01F097}" name="Unidade" dataDxfId="90"/>
    <tableColumn id="5" xr3:uid="{3DBB5E70-95AE-45E6-B812-5457EDB4522F}" name="Classe (A/B/C)" dataDxfId="89">
      <calculatedColumnFormula>IFERROR(T(INDEX('de para abc'!$C:$C,MATCH($C5,'de para abc'!$B:$B,0))),"N/D")</calculatedColumnFormula>
    </tableColumn>
    <tableColumn id="6" xr3:uid="{F7CF2B00-61DE-4317-BBD9-3A61879502BD}" name="Quantidade" dataDxfId="88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FA71EC7-B3D7-468B-AC1A-3FD80C581D7C}" name="tblSaoPaulo" displayName="tblSaoPaulo" ref="A4:F287" totalsRowShown="0" headerRowDxfId="87" dataDxfId="85" headerRowBorderDxfId="86" tableBorderDxfId="84" totalsRowBorderDxfId="83">
  <autoFilter ref="A4:F287" xr:uid="{6FA71EC7-B3D7-468B-AC1A-3FD80C581D7C}"/>
  <tableColumns count="6">
    <tableColumn id="1" xr3:uid="{28AE05B2-684F-4ADB-B2B1-A4F2CE07ED52}" name="Categoria" dataDxfId="82"/>
    <tableColumn id="2" xr3:uid="{DDA82122-8B0E-4CB3-A4BD-96AF21B9BEBD}" name="Código" dataDxfId="81"/>
    <tableColumn id="3" xr3:uid="{F1123857-82E8-4354-B226-C12C282FEB78}" name="Descrição" dataDxfId="80"/>
    <tableColumn id="4" xr3:uid="{2B982907-62E2-491D-99F7-685A8722811E}" name="Unidade" dataDxfId="79"/>
    <tableColumn id="5" xr3:uid="{FB8D88E6-D7D5-4758-BCF8-9B344638297E}" name="Classe (A/B/C)" dataDxfId="78"/>
    <tableColumn id="6" xr3:uid="{88298FA1-2522-4F29-A28D-E2580B77519A}" name="Quantidade" dataDxfId="7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D6061B-8D78-4529-A31F-531ECB388FCA}" name="tblNovaFriburgo" displayName="tblNovaFriburgo" ref="A4:F111" totalsRowShown="0" headerRowDxfId="76" headerRowBorderDxfId="75" tableBorderDxfId="74">
  <autoFilter ref="A4:F111" xr:uid="{00000000-0009-0000-0000-000001000000}"/>
  <tableColumns count="6">
    <tableColumn id="1" xr3:uid="{00A4DA68-5458-4164-A793-63409FDB7C4D}" name="Categoria" dataDxfId="73"/>
    <tableColumn id="2" xr3:uid="{9902BDD8-6D03-4351-820A-F3C7594F9A81}" name="Código" dataDxfId="72"/>
    <tableColumn id="3" xr3:uid="{1DECA208-F174-4BEE-BB26-F47593C32BF8}" name="Descrição" dataDxfId="71"/>
    <tableColumn id="4" xr3:uid="{53D0D423-72E1-413C-A8FC-989028CC5F94}" name="Unidade" dataDxfId="70"/>
    <tableColumn id="5" xr3:uid="{D0697307-D866-4BA3-817F-704D615E55F1}" name="Classe (A/B/C)" dataDxfId="69"/>
    <tableColumn id="6" xr3:uid="{9CAB6124-DF43-41ED-B47B-E653A23160A6}" name="Quantidade" dataDxfId="6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A85D10-3887-4151-850C-96BD6E6755C6}" name="tblCampoGrande" displayName="tblCampoGrande" ref="A4:F205" totalsRowShown="0" headerRowDxfId="67" headerRowBorderDxfId="66" tableBorderDxfId="65">
  <autoFilter ref="A4:F205" xr:uid="{00000000-0009-0000-0000-000002000000}"/>
  <tableColumns count="6">
    <tableColumn id="1" xr3:uid="{60A975F5-8779-4871-A6ED-367C41DEBA74}" name="Categoria" dataDxfId="64"/>
    <tableColumn id="2" xr3:uid="{1CD2AE83-D90E-418D-AEE6-7B9E3E4D397B}" name="Código" dataDxfId="63"/>
    <tableColumn id="3" xr3:uid="{E6E89B7C-0FDC-4959-8AD8-48E218B5BE40}" name="Descrição" dataDxfId="62"/>
    <tableColumn id="4" xr3:uid="{5BD0FF1A-15E8-4AB3-9F08-2161DC29F52F}" name="Unidade" dataDxfId="61"/>
    <tableColumn id="5" xr3:uid="{9E379681-B6BC-4AB9-9806-9C7DE83E63C9}" name="Classe (A/B/C)" dataDxfId="60"/>
    <tableColumn id="6" xr3:uid="{475A823A-1583-488B-97BE-F954140DD84B}" name="Quantidade" dataDxfId="5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E5A89E-5229-49B1-8700-DB4DC1D2F24B}" name="tblNiteroi" displayName="tblNiteroi" ref="A4:F91" totalsRowShown="0" headerRowDxfId="58" tableBorderDxfId="57">
  <autoFilter ref="A4:F91" xr:uid="{F5E5A89E-5229-49B1-8700-DB4DC1D2F24B}"/>
  <tableColumns count="6">
    <tableColumn id="1" xr3:uid="{AB51F3EC-9228-41FB-AD4C-D2061719C494}" name="Categoria" dataDxfId="56"/>
    <tableColumn id="2" xr3:uid="{0484FEDC-E63D-4723-A6CF-B378281CDF7C}" name="Código" dataDxfId="55"/>
    <tableColumn id="3" xr3:uid="{9E878A90-6407-4AAF-93FD-D828F4DFC08C}" name="Descrição" dataDxfId="54"/>
    <tableColumn id="4" xr3:uid="{8F13A236-3555-4F38-91E6-AE7AD76317ED}" name="Unidade" dataDxfId="53"/>
    <tableColumn id="5" xr3:uid="{DFA17EC2-FB6F-4DCD-8D5D-94F70E19B447}" name="Classe (A/B/C)" dataDxfId="52">
      <calculatedColumnFormula array="1"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calculatedColumnFormula>
    </tableColumn>
    <tableColumn id="6" xr3:uid="{C3B5B7A4-C785-4077-A915-0ED93C531ACA}" name="Quantidade" dataDxfId="5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CE76D9-9A09-47FA-8FB4-E0E10C4E55AE}" name="tblBeloHorizonte" displayName="tblBeloHorizonte" ref="A4:F252" totalsRowShown="0" headerRowDxfId="50" headerRowBorderDxfId="49" tableBorderDxfId="48" totalsRowBorderDxfId="47">
  <autoFilter ref="A4:F252" xr:uid="{C5CE76D9-9A09-47FA-8FB4-E0E10C4E55AE}"/>
  <tableColumns count="6">
    <tableColumn id="1" xr3:uid="{E94A4843-A9AB-4CB4-9B52-609B8E7A4C02}" name="Categoria" dataDxfId="46"/>
    <tableColumn id="2" xr3:uid="{533A5670-1CC7-43E3-A8C6-F0FC19BF020D}" name="Código" dataDxfId="45"/>
    <tableColumn id="3" xr3:uid="{93DBE23C-59A9-421B-8157-4EB12A0DB32F}" name="Descrição" dataDxfId="44"/>
    <tableColumn id="4" xr3:uid="{9D6CBADD-BDB8-474D-B260-46C67EC50333}" name="Unidade" dataDxfId="43"/>
    <tableColumn id="5" xr3:uid="{57E980B7-4D93-433E-B7EA-8F49E6B9FCC8}" name="Classe (A/B/C)" dataDxfId="42">
      <calculatedColumnFormula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calculatedColumnFormula>
    </tableColumn>
    <tableColumn id="6" xr3:uid="{EE0919B1-06D4-400E-84C9-3C0A0ECF88AE}" name="Quantidade" dataDxfId="4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77413F-5D96-4844-9881-2513F8F03BC8}" name="tblJuizDeFora" displayName="tblJuizDeFora" ref="A4:F129" totalsRowShown="0" headerRowDxfId="40" headerRowBorderDxfId="39" tableBorderDxfId="38" totalsRowBorderDxfId="37">
  <autoFilter ref="A4:F129" xr:uid="{DC4130E8-C697-4FBD-9CF3-C623C27504E6}"/>
  <tableColumns count="6">
    <tableColumn id="1" xr3:uid="{A81A03D6-5166-4A6C-B8FF-CE27E742FD3E}" name="Categoria" dataDxfId="36"/>
    <tableColumn id="2" xr3:uid="{CAE87373-3637-411E-8A56-0F73DEE889BD}" name="Código" dataDxfId="35"/>
    <tableColumn id="3" xr3:uid="{26800971-B406-403D-9E45-6D0B35DD63EA}" name="Descrição" dataDxfId="34"/>
    <tableColumn id="4" xr3:uid="{21574465-A5CB-4502-895D-A484586C02B2}" name="Unidade" dataDxfId="33"/>
    <tableColumn id="5" xr3:uid="{4F464F5E-D85C-4F91-937E-8D0EDA260B06}" name="Classe (A/B/C)" dataDxfId="32">
      <calculatedColumnFormula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calculatedColumnFormula>
    </tableColumn>
    <tableColumn id="6" xr3:uid="{376A2083-4624-4BD1-88CB-AD0FE82E4222}" name="Quantidade" dataDxfId="3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0618DB-A652-4C4B-A16D-D91D25025D3A}" name="tblUberlandia" displayName="tblUberlandia" ref="A4:F171" totalsRowShown="0" headerRowDxfId="30" headerRowBorderDxfId="29" tableBorderDxfId="28" totalsRowBorderDxfId="27">
  <autoFilter ref="A4:F171" xr:uid="{560618DB-A652-4C4B-A16D-D91D25025D3A}"/>
  <tableColumns count="6">
    <tableColumn id="1" xr3:uid="{198B6469-7274-4480-9945-C9879096EF75}" name="Categoria" dataDxfId="26"/>
    <tableColumn id="2" xr3:uid="{6414E027-3986-4D39-839B-5D164B556286}" name="Código" dataDxfId="25"/>
    <tableColumn id="3" xr3:uid="{D71C46BF-BF51-4221-9ACA-CCB01EF5B6D3}" name="Descrição" dataDxfId="24"/>
    <tableColumn id="4" xr3:uid="{0C404624-7481-4EDE-A106-8F5EBA0EC738}" name="Unidade" dataDxfId="23"/>
    <tableColumn id="5" xr3:uid="{3C405078-02B5-44AE-B014-1D1B64E19A0A}" name="Classe (A/B/C)" dataDxfId="22">
      <calculatedColumnFormula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calculatedColumnFormula>
    </tableColumn>
    <tableColumn id="6" xr3:uid="{0CCA31AD-84F1-4BB8-AC4D-44805A994BB7}" name="Quantidade" dataDxfId="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631476-1F25-49D8-9B1A-DCDB62FD920B}" name="tblVarginha" displayName="tblVarginha" ref="A4:F168" totalsRowShown="0" headerRowDxfId="20" headerRowBorderDxfId="19" tableBorderDxfId="18" totalsRowBorderDxfId="17">
  <autoFilter ref="A4:F168" xr:uid="{A2631476-1F25-49D8-9B1A-DCDB62FD920B}"/>
  <tableColumns count="6">
    <tableColumn id="1" xr3:uid="{4B7C6DAB-297A-40D8-B33B-BA40B23A69A0}" name="Categoria" dataDxfId="16"/>
    <tableColumn id="2" xr3:uid="{C11EFEB0-BD80-4931-84C4-0A9B1AAF3FC0}" name="Código" dataDxfId="15"/>
    <tableColumn id="3" xr3:uid="{3C18D96B-DCC9-488B-8C31-A156BD00BAA8}" name="Descrição" dataDxfId="14"/>
    <tableColumn id="4" xr3:uid="{F89BDC4C-45F1-4B4C-8300-5434FE3090E9}" name="Unidade" dataDxfId="13"/>
    <tableColumn id="5" xr3:uid="{DD38059B-A1D2-4F57-9F64-03587E573E8E}" name="Classe (A/B/C)" dataDxfId="12">
      <calculatedColumnFormula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calculatedColumnFormula>
    </tableColumn>
    <tableColumn id="6" xr3:uid="{C63A474A-7B5C-4CB7-A986-2F8F4E1C4948}" name="Quantidade" dataDxfId="1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BD0B4C-117C-4CC7-88B1-7AF7FFE22AA4}" name="tblValadares" displayName="tblValadares" ref="A4:F142" totalsRowShown="0" headerRowDxfId="10" dataDxfId="8" headerRowBorderDxfId="9" tableBorderDxfId="7" totalsRowBorderDxfId="6">
  <autoFilter ref="A4:F142" xr:uid="{9EBD0B4C-117C-4CC7-88B1-7AF7FFE22AA4}"/>
  <tableColumns count="6">
    <tableColumn id="1" xr3:uid="{79379341-1B76-416B-B686-8E662064AD31}" name="Categoria" dataDxfId="5"/>
    <tableColumn id="2" xr3:uid="{48A5FABE-3385-49E8-BA49-75E5A1419176}" name="Código" dataDxfId="4"/>
    <tableColumn id="3" xr3:uid="{A5DA05A2-D9CB-49F3-8046-39E68814E0CF}" name="Descrição" dataDxfId="3"/>
    <tableColumn id="4" xr3:uid="{341363BD-2A12-4A1C-B4D3-1402727B9532}" name="Unidade" dataDxfId="2"/>
    <tableColumn id="5" xr3:uid="{9F75653E-29F7-413C-AF73-0B12BB636D8B}" name="Classe (A/B/C)" dataDxfId="1">
      <calculatedColumnFormula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calculatedColumnFormula>
    </tableColumn>
    <tableColumn id="6" xr3:uid="{5B5A16E0-CC2F-4EE7-A8F9-BC10C577855F}" name="Quant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BF9FCE-DE1B-4237-A011-4C136F5DAE9B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7792cdf3-23e1-4ad1-af9b-dca974d4ded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pane ySplit="4" topLeftCell="A19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18.140625" customWidth="1"/>
    <col min="2" max="2" width="13.28515625" customWidth="1"/>
    <col min="3" max="3" width="57.140625" customWidth="1"/>
    <col min="4" max="4" width="11.85546875" customWidth="1"/>
    <col min="5" max="5" width="13.7109375" customWidth="1"/>
    <col min="6" max="6" width="16.7109375" customWidth="1"/>
    <col min="7" max="7" width="3.85546875" customWidth="1"/>
    <col min="8" max="8" width="18.140625" customWidth="1"/>
    <col min="9" max="26" width="8.7109375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</row>
    <row r="4" spans="1:10" x14ac:dyDescent="0.25">
      <c r="A4" s="42" t="s">
        <v>2</v>
      </c>
      <c r="B4" s="42" t="s">
        <v>3</v>
      </c>
      <c r="C4" s="42" t="s">
        <v>4</v>
      </c>
      <c r="D4" s="42" t="s">
        <v>5</v>
      </c>
      <c r="E4" s="42" t="s">
        <v>6</v>
      </c>
      <c r="F4" s="42" t="s">
        <v>7</v>
      </c>
      <c r="H4" s="3"/>
      <c r="I4" s="3"/>
      <c r="J4" s="3"/>
    </row>
    <row r="5" spans="1:10" x14ac:dyDescent="0.25">
      <c r="A5" s="4" t="s">
        <v>8</v>
      </c>
      <c r="B5" s="5">
        <v>1000032</v>
      </c>
      <c r="C5" s="6" t="s">
        <v>9</v>
      </c>
      <c r="D5" s="7" t="s">
        <v>10</v>
      </c>
      <c r="E5" s="7" t="s">
        <v>11</v>
      </c>
      <c r="F5" s="8">
        <f>SUMIF(a!$B:$B,$B5,a!$F:$F)</f>
        <v>40</v>
      </c>
      <c r="H5" s="9"/>
      <c r="I5" s="9"/>
      <c r="J5" s="10"/>
    </row>
    <row r="6" spans="1:10" x14ac:dyDescent="0.25">
      <c r="A6" s="4" t="s">
        <v>8</v>
      </c>
      <c r="B6" s="5">
        <v>1000033</v>
      </c>
      <c r="C6" s="6" t="s">
        <v>12</v>
      </c>
      <c r="D6" s="7" t="s">
        <v>10</v>
      </c>
      <c r="E6" s="7" t="s">
        <v>11</v>
      </c>
      <c r="F6" s="8">
        <f>SUMIF(a!$B:$B,$B6,a!$F:$F)</f>
        <v>11</v>
      </c>
      <c r="H6" s="9"/>
      <c r="I6" s="9"/>
      <c r="J6" s="10"/>
    </row>
    <row r="7" spans="1:10" x14ac:dyDescent="0.25">
      <c r="A7" s="4" t="s">
        <v>8</v>
      </c>
      <c r="B7" s="5">
        <v>1001306</v>
      </c>
      <c r="C7" s="6" t="s">
        <v>13</v>
      </c>
      <c r="D7" s="7" t="s">
        <v>14</v>
      </c>
      <c r="E7" s="7" t="s">
        <v>11</v>
      </c>
      <c r="F7" s="8">
        <f>SUMIF(a!$B:$B,$B7,a!$F:$F)</f>
        <v>53</v>
      </c>
      <c r="H7" s="9"/>
      <c r="I7" s="9"/>
      <c r="J7" s="10"/>
    </row>
    <row r="8" spans="1:10" x14ac:dyDescent="0.25">
      <c r="A8" s="4" t="s">
        <v>8</v>
      </c>
      <c r="B8" s="5">
        <v>1000036</v>
      </c>
      <c r="C8" s="6" t="s">
        <v>15</v>
      </c>
      <c r="D8" s="7" t="s">
        <v>10</v>
      </c>
      <c r="E8" s="7" t="s">
        <v>11</v>
      </c>
      <c r="F8" s="8">
        <f>SUMIF(a!$B:$B,$B8,a!$F:$F)</f>
        <v>50</v>
      </c>
    </row>
    <row r="9" spans="1:10" x14ac:dyDescent="0.25">
      <c r="A9" s="4" t="s">
        <v>8</v>
      </c>
      <c r="B9" s="5">
        <v>1000039</v>
      </c>
      <c r="C9" s="6" t="s">
        <v>16</v>
      </c>
      <c r="D9" s="7" t="s">
        <v>10</v>
      </c>
      <c r="E9" s="7" t="s">
        <v>11</v>
      </c>
      <c r="F9" s="8">
        <f>SUMIF(a!$B:$B,$B9,a!$F:$F)</f>
        <v>75</v>
      </c>
    </row>
    <row r="10" spans="1:10" x14ac:dyDescent="0.25">
      <c r="A10" s="4" t="s">
        <v>8</v>
      </c>
      <c r="B10" s="5">
        <v>1001455</v>
      </c>
      <c r="C10" s="6" t="s">
        <v>17</v>
      </c>
      <c r="D10" s="7" t="s">
        <v>18</v>
      </c>
      <c r="E10" s="7" t="s">
        <v>11</v>
      </c>
      <c r="F10" s="8">
        <f>SUMIF(a!$B:$B,$B10,a!$F:$F)</f>
        <v>103</v>
      </c>
    </row>
    <row r="11" spans="1:10" x14ac:dyDescent="0.25">
      <c r="A11" s="4" t="s">
        <v>8</v>
      </c>
      <c r="B11" s="5">
        <v>1000048</v>
      </c>
      <c r="C11" s="6" t="s">
        <v>19</v>
      </c>
      <c r="D11" s="7" t="s">
        <v>10</v>
      </c>
      <c r="E11" s="7" t="s">
        <v>11</v>
      </c>
      <c r="F11" s="8">
        <f>SUMIF(a!$B:$B,$B11,a!$F:$F)</f>
        <v>198</v>
      </c>
    </row>
    <row r="12" spans="1:10" x14ac:dyDescent="0.25">
      <c r="A12" s="4" t="s">
        <v>8</v>
      </c>
      <c r="B12" s="5">
        <v>1001702</v>
      </c>
      <c r="C12" s="6" t="s">
        <v>20</v>
      </c>
      <c r="D12" s="7" t="s">
        <v>18</v>
      </c>
      <c r="E12" s="7" t="s">
        <v>11</v>
      </c>
      <c r="F12" s="8">
        <f>SUMIF(a!$B:$B,$B12,a!$F:$F)</f>
        <v>5</v>
      </c>
    </row>
    <row r="13" spans="1:10" x14ac:dyDescent="0.25">
      <c r="A13" s="4" t="s">
        <v>8</v>
      </c>
      <c r="B13" s="5">
        <v>1001701</v>
      </c>
      <c r="C13" s="6" t="s">
        <v>21</v>
      </c>
      <c r="D13" s="7" t="s">
        <v>18</v>
      </c>
      <c r="E13" s="7" t="s">
        <v>11</v>
      </c>
      <c r="F13" s="8">
        <f>SUMIF(a!$B:$B,$B13,a!$F:$F)</f>
        <v>5</v>
      </c>
    </row>
    <row r="14" spans="1:10" x14ac:dyDescent="0.25">
      <c r="A14" s="4" t="s">
        <v>8</v>
      </c>
      <c r="B14" s="5">
        <v>1001680</v>
      </c>
      <c r="C14" s="6" t="s">
        <v>22</v>
      </c>
      <c r="D14" s="7" t="s">
        <v>10</v>
      </c>
      <c r="E14" s="7" t="s">
        <v>11</v>
      </c>
      <c r="F14" s="8">
        <f>SUMIF(a!$B:$B,$B14,a!$F:$F)</f>
        <v>43</v>
      </c>
    </row>
    <row r="15" spans="1:10" x14ac:dyDescent="0.25">
      <c r="A15" s="4" t="s">
        <v>8</v>
      </c>
      <c r="B15" s="5">
        <v>1008890</v>
      </c>
      <c r="C15" s="6" t="s">
        <v>23</v>
      </c>
      <c r="D15" s="7" t="s">
        <v>18</v>
      </c>
      <c r="E15" s="7" t="s">
        <v>11</v>
      </c>
      <c r="F15" s="8">
        <f>SUMIF(a!$B:$B,$B15,a!$F:$F)</f>
        <v>6</v>
      </c>
    </row>
    <row r="16" spans="1:10" x14ac:dyDescent="0.25">
      <c r="A16" s="4" t="s">
        <v>8</v>
      </c>
      <c r="B16" s="5">
        <v>1001289</v>
      </c>
      <c r="C16" s="6" t="s">
        <v>24</v>
      </c>
      <c r="D16" s="7" t="s">
        <v>14</v>
      </c>
      <c r="E16" s="7" t="s">
        <v>11</v>
      </c>
      <c r="F16" s="8">
        <f>SUMIF(a!$B:$B,$B16,a!$F:$F)</f>
        <v>125</v>
      </c>
    </row>
    <row r="17" spans="1:6" x14ac:dyDescent="0.25">
      <c r="A17" s="4" t="s">
        <v>8</v>
      </c>
      <c r="B17" s="5">
        <v>1001122</v>
      </c>
      <c r="C17" s="6" t="s">
        <v>25</v>
      </c>
      <c r="D17" s="7" t="s">
        <v>10</v>
      </c>
      <c r="E17" s="7" t="s">
        <v>11</v>
      </c>
      <c r="F17" s="8">
        <f>SUMIF(a!$B:$B,$B17,a!$F:$F)</f>
        <v>9</v>
      </c>
    </row>
    <row r="18" spans="1:6" x14ac:dyDescent="0.25">
      <c r="A18" s="4" t="s">
        <v>8</v>
      </c>
      <c r="B18" s="5">
        <v>1001667</v>
      </c>
      <c r="C18" s="6" t="s">
        <v>26</v>
      </c>
      <c r="D18" s="7" t="s">
        <v>18</v>
      </c>
      <c r="E18" s="7" t="s">
        <v>11</v>
      </c>
      <c r="F18" s="8">
        <f>SUMIF(a!$B:$B,$B18,a!$F:$F)</f>
        <v>116</v>
      </c>
    </row>
    <row r="19" spans="1:6" x14ac:dyDescent="0.25">
      <c r="A19" s="4" t="s">
        <v>8</v>
      </c>
      <c r="B19" s="5">
        <v>1001146</v>
      </c>
      <c r="C19" s="6" t="s">
        <v>27</v>
      </c>
      <c r="D19" s="7" t="s">
        <v>10</v>
      </c>
      <c r="E19" s="7" t="s">
        <v>11</v>
      </c>
      <c r="F19" s="8">
        <f>SUMIF(a!$B:$B,$B19,a!$F:$F)</f>
        <v>59</v>
      </c>
    </row>
    <row r="20" spans="1:6" x14ac:dyDescent="0.25">
      <c r="A20" s="4" t="s">
        <v>8</v>
      </c>
      <c r="B20" s="5">
        <v>1000184</v>
      </c>
      <c r="C20" s="6" t="s">
        <v>28</v>
      </c>
      <c r="D20" s="7" t="s">
        <v>14</v>
      </c>
      <c r="E20" s="7" t="s">
        <v>11</v>
      </c>
      <c r="F20" s="8">
        <f>SUMIF(a!$B:$B,$B20,a!$F:$F)</f>
        <v>91</v>
      </c>
    </row>
    <row r="21" spans="1:6" ht="15.75" customHeight="1" x14ac:dyDescent="0.25">
      <c r="A21" s="4" t="s">
        <v>8</v>
      </c>
      <c r="B21" s="5">
        <v>1001478</v>
      </c>
      <c r="C21" s="6" t="s">
        <v>29</v>
      </c>
      <c r="D21" s="7" t="s">
        <v>18</v>
      </c>
      <c r="E21" s="7" t="s">
        <v>11</v>
      </c>
      <c r="F21" s="8">
        <f>SUMIF(a!$B:$B,$B21,a!$F:$F)</f>
        <v>0</v>
      </c>
    </row>
    <row r="22" spans="1:6" ht="15.75" customHeight="1" x14ac:dyDescent="0.25">
      <c r="A22" s="4" t="s">
        <v>8</v>
      </c>
      <c r="B22" s="5">
        <v>1006116</v>
      </c>
      <c r="C22" s="6" t="s">
        <v>30</v>
      </c>
      <c r="D22" s="7" t="s">
        <v>10</v>
      </c>
      <c r="E22" s="7" t="s">
        <v>11</v>
      </c>
      <c r="F22" s="8">
        <f>SUMIF(a!$B:$B,$B22,a!$F:$F)</f>
        <v>54</v>
      </c>
    </row>
    <row r="23" spans="1:6" ht="15.75" customHeight="1" x14ac:dyDescent="0.25">
      <c r="A23" s="4" t="s">
        <v>8</v>
      </c>
      <c r="B23" s="5">
        <v>1001707</v>
      </c>
      <c r="C23" s="6" t="s">
        <v>31</v>
      </c>
      <c r="D23" s="7" t="s">
        <v>18</v>
      </c>
      <c r="E23" s="7" t="s">
        <v>11</v>
      </c>
      <c r="F23" s="8">
        <f>SUMIF(a!$B:$B,$B23,a!$F:$F)</f>
        <v>26</v>
      </c>
    </row>
    <row r="24" spans="1:6" ht="15.75" customHeight="1" x14ac:dyDescent="0.25">
      <c r="A24" s="4" t="s">
        <v>8</v>
      </c>
      <c r="B24" s="5">
        <v>1000195</v>
      </c>
      <c r="C24" s="6" t="s">
        <v>32</v>
      </c>
      <c r="D24" s="7" t="s">
        <v>10</v>
      </c>
      <c r="E24" s="7" t="s">
        <v>11</v>
      </c>
      <c r="F24" s="8">
        <f>SUMIF(a!$B:$B,$B24,a!$F:$F)</f>
        <v>101</v>
      </c>
    </row>
    <row r="25" spans="1:6" ht="15.75" customHeight="1" x14ac:dyDescent="0.25">
      <c r="A25" s="4" t="s">
        <v>8</v>
      </c>
      <c r="B25" s="5">
        <v>1001741</v>
      </c>
      <c r="C25" s="6" t="s">
        <v>33</v>
      </c>
      <c r="D25" s="7" t="s">
        <v>14</v>
      </c>
      <c r="E25" s="7" t="s">
        <v>11</v>
      </c>
      <c r="F25" s="8">
        <f>SUMIF(a!$B:$B,$B25,a!$F:$F)</f>
        <v>47</v>
      </c>
    </row>
    <row r="26" spans="1:6" ht="15.75" customHeight="1" x14ac:dyDescent="0.25">
      <c r="A26" s="4" t="s">
        <v>8</v>
      </c>
      <c r="B26" s="5">
        <v>1001488</v>
      </c>
      <c r="C26" s="6" t="s">
        <v>34</v>
      </c>
      <c r="D26" s="7" t="s">
        <v>18</v>
      </c>
      <c r="E26" s="7" t="s">
        <v>11</v>
      </c>
      <c r="F26" s="8">
        <f>SUMIF(a!$B:$B,$B26,a!$F:$F)</f>
        <v>24</v>
      </c>
    </row>
    <row r="27" spans="1:6" ht="15.75" customHeight="1" x14ac:dyDescent="0.25">
      <c r="A27" s="4" t="s">
        <v>8</v>
      </c>
      <c r="B27" s="5">
        <v>1000258</v>
      </c>
      <c r="C27" s="6" t="s">
        <v>35</v>
      </c>
      <c r="D27" s="7" t="s">
        <v>10</v>
      </c>
      <c r="E27" s="7" t="s">
        <v>11</v>
      </c>
      <c r="F27" s="8">
        <f>SUMIF(a!$B:$B,$B27,a!$F:$F)</f>
        <v>27</v>
      </c>
    </row>
    <row r="28" spans="1:6" ht="15.75" customHeight="1" x14ac:dyDescent="0.25">
      <c r="A28" s="4" t="s">
        <v>8</v>
      </c>
      <c r="B28" s="5">
        <v>1000256</v>
      </c>
      <c r="C28" s="6" t="s">
        <v>36</v>
      </c>
      <c r="D28" s="7" t="s">
        <v>14</v>
      </c>
      <c r="E28" s="7" t="s">
        <v>11</v>
      </c>
      <c r="F28" s="8">
        <f>SUMIF(a!$B:$B,$B28,a!$F:$F)</f>
        <v>37</v>
      </c>
    </row>
    <row r="29" spans="1:6" ht="15.75" customHeight="1" x14ac:dyDescent="0.25">
      <c r="A29" s="4" t="s">
        <v>8</v>
      </c>
      <c r="B29" s="5">
        <v>1001264</v>
      </c>
      <c r="C29" s="6" t="s">
        <v>37</v>
      </c>
      <c r="D29" s="7" t="s">
        <v>14</v>
      </c>
      <c r="E29" s="7" t="s">
        <v>11</v>
      </c>
      <c r="F29" s="8">
        <f>SUMIF(a!$B:$B,$B29,a!$F:$F)</f>
        <v>107</v>
      </c>
    </row>
    <row r="30" spans="1:6" ht="15.75" customHeight="1" x14ac:dyDescent="0.25">
      <c r="A30" s="4" t="s">
        <v>8</v>
      </c>
      <c r="B30" s="5">
        <v>1000284</v>
      </c>
      <c r="C30" s="6" t="s">
        <v>38</v>
      </c>
      <c r="D30" s="7" t="s">
        <v>14</v>
      </c>
      <c r="E30" s="7" t="s">
        <v>11</v>
      </c>
      <c r="F30" s="8">
        <f>SUMIF(a!$B:$B,$B30,a!$F:$F)</f>
        <v>23</v>
      </c>
    </row>
    <row r="31" spans="1:6" ht="15.75" customHeight="1" x14ac:dyDescent="0.25">
      <c r="A31" s="4" t="s">
        <v>8</v>
      </c>
      <c r="B31" s="5">
        <v>1002270</v>
      </c>
      <c r="C31" s="6" t="s">
        <v>39</v>
      </c>
      <c r="D31" s="7" t="s">
        <v>18</v>
      </c>
      <c r="E31" s="7" t="s">
        <v>11</v>
      </c>
      <c r="F31" s="8">
        <f>SUMIF(a!$B:$B,$B31,a!$F:$F)</f>
        <v>20</v>
      </c>
    </row>
    <row r="32" spans="1:6" ht="15.75" customHeight="1" x14ac:dyDescent="0.25">
      <c r="A32" s="4" t="s">
        <v>8</v>
      </c>
      <c r="B32" s="5">
        <v>1001705</v>
      </c>
      <c r="C32" s="6" t="s">
        <v>40</v>
      </c>
      <c r="D32" s="7" t="s">
        <v>18</v>
      </c>
      <c r="E32" s="7" t="s">
        <v>11</v>
      </c>
      <c r="F32" s="8">
        <f>SUMIF(a!$B:$B,$B32,a!$F:$F)</f>
        <v>3</v>
      </c>
    </row>
    <row r="33" spans="1:6" ht="15.75" customHeight="1" x14ac:dyDescent="0.25">
      <c r="A33" s="4" t="s">
        <v>8</v>
      </c>
      <c r="B33" s="5">
        <v>1001660</v>
      </c>
      <c r="C33" s="6" t="s">
        <v>41</v>
      </c>
      <c r="D33" s="7" t="s">
        <v>10</v>
      </c>
      <c r="E33" s="7" t="s">
        <v>11</v>
      </c>
      <c r="F33" s="8">
        <f>SUMIF(a!$B:$B,$B33,a!$F:$F)</f>
        <v>19</v>
      </c>
    </row>
    <row r="34" spans="1:6" ht="15.75" customHeight="1" x14ac:dyDescent="0.25">
      <c r="A34" s="4" t="s">
        <v>8</v>
      </c>
      <c r="B34" s="5">
        <v>1002153</v>
      </c>
      <c r="C34" s="6" t="s">
        <v>42</v>
      </c>
      <c r="D34" s="7" t="s">
        <v>18</v>
      </c>
      <c r="E34" s="7" t="s">
        <v>11</v>
      </c>
      <c r="F34" s="8">
        <f>SUMIF(a!$B:$B,$B34,a!$F:$F)</f>
        <v>3</v>
      </c>
    </row>
    <row r="35" spans="1:6" ht="15.75" customHeight="1" x14ac:dyDescent="0.25">
      <c r="A35" s="4" t="s">
        <v>8</v>
      </c>
      <c r="B35" s="5">
        <v>1000348</v>
      </c>
      <c r="C35" s="6" t="s">
        <v>43</v>
      </c>
      <c r="D35" s="7" t="s">
        <v>10</v>
      </c>
      <c r="E35" s="7" t="s">
        <v>11</v>
      </c>
      <c r="F35" s="8">
        <f>SUMIF(a!$B:$B,$B35,a!$F:$F)</f>
        <v>67</v>
      </c>
    </row>
    <row r="36" spans="1:6" ht="15.75" customHeight="1" x14ac:dyDescent="0.25">
      <c r="A36" s="4" t="s">
        <v>8</v>
      </c>
      <c r="B36" s="5">
        <v>1001562</v>
      </c>
      <c r="C36" s="6" t="s">
        <v>44</v>
      </c>
      <c r="D36" s="7" t="s">
        <v>18</v>
      </c>
      <c r="E36" s="7" t="s">
        <v>11</v>
      </c>
      <c r="F36" s="8">
        <f>SUMIF(a!$B:$B,$B36,a!$F:$F)</f>
        <v>56</v>
      </c>
    </row>
    <row r="37" spans="1:6" ht="15.75" customHeight="1" x14ac:dyDescent="0.25">
      <c r="A37" s="4" t="s">
        <v>8</v>
      </c>
      <c r="B37" s="5">
        <v>1001476</v>
      </c>
      <c r="C37" s="6" t="s">
        <v>45</v>
      </c>
      <c r="D37" s="7" t="s">
        <v>18</v>
      </c>
      <c r="E37" s="7" t="s">
        <v>11</v>
      </c>
      <c r="F37" s="8">
        <f>SUMIF(a!$B:$B,$B37,a!$F:$F)</f>
        <v>164</v>
      </c>
    </row>
    <row r="38" spans="1:6" ht="15.75" customHeight="1" x14ac:dyDescent="0.25">
      <c r="A38" s="4" t="s">
        <v>8</v>
      </c>
      <c r="B38" s="5">
        <v>1000037</v>
      </c>
      <c r="C38" s="6" t="s">
        <v>46</v>
      </c>
      <c r="D38" s="7" t="s">
        <v>10</v>
      </c>
      <c r="E38" s="7" t="s">
        <v>47</v>
      </c>
      <c r="F38" s="8">
        <f>SUMIF(b!$B:$B,$B38,b!$F:$F)</f>
        <v>173</v>
      </c>
    </row>
    <row r="39" spans="1:6" ht="15.75" customHeight="1" x14ac:dyDescent="0.25">
      <c r="A39" s="4" t="s">
        <v>8</v>
      </c>
      <c r="B39" s="5">
        <v>1000049</v>
      </c>
      <c r="C39" s="6" t="s">
        <v>48</v>
      </c>
      <c r="D39" s="7" t="s">
        <v>10</v>
      </c>
      <c r="E39" s="7" t="s">
        <v>47</v>
      </c>
      <c r="F39" s="8">
        <f>SUMIF(b!$B:$B,$B39,b!$F:$F)</f>
        <v>19</v>
      </c>
    </row>
    <row r="40" spans="1:6" ht="15.75" customHeight="1" x14ac:dyDescent="0.25">
      <c r="A40" s="4" t="s">
        <v>8</v>
      </c>
      <c r="B40" s="5">
        <v>1001712</v>
      </c>
      <c r="C40" s="6" t="s">
        <v>49</v>
      </c>
      <c r="D40" s="7" t="s">
        <v>18</v>
      </c>
      <c r="E40" s="7" t="s">
        <v>47</v>
      </c>
      <c r="F40" s="8">
        <f>SUMIF(b!$B:$B,$B40,b!$F:$F)</f>
        <v>5</v>
      </c>
    </row>
    <row r="41" spans="1:6" ht="15.75" customHeight="1" x14ac:dyDescent="0.25">
      <c r="A41" s="4" t="s">
        <v>8</v>
      </c>
      <c r="B41" s="5">
        <v>1001939</v>
      </c>
      <c r="C41" s="6" t="s">
        <v>50</v>
      </c>
      <c r="D41" s="7" t="s">
        <v>18</v>
      </c>
      <c r="E41" s="7" t="s">
        <v>47</v>
      </c>
      <c r="F41" s="8">
        <f>SUMIF(b!$B:$B,$B41,b!$F:$F)</f>
        <v>10</v>
      </c>
    </row>
    <row r="42" spans="1:6" ht="15.75" customHeight="1" x14ac:dyDescent="0.25">
      <c r="A42" s="4" t="s">
        <v>8</v>
      </c>
      <c r="B42" s="5">
        <v>1000183</v>
      </c>
      <c r="C42" s="6" t="s">
        <v>51</v>
      </c>
      <c r="D42" s="7" t="s">
        <v>14</v>
      </c>
      <c r="E42" s="7" t="s">
        <v>47</v>
      </c>
      <c r="F42" s="8">
        <f>SUMIF(b!$B:$B,$B42,b!$F:$F)</f>
        <v>64</v>
      </c>
    </row>
    <row r="43" spans="1:6" ht="15.75" customHeight="1" x14ac:dyDescent="0.25">
      <c r="A43" s="4" t="s">
        <v>8</v>
      </c>
      <c r="B43" s="5">
        <v>1000185</v>
      </c>
      <c r="C43" s="6" t="s">
        <v>52</v>
      </c>
      <c r="D43" s="7" t="s">
        <v>14</v>
      </c>
      <c r="E43" s="7" t="s">
        <v>47</v>
      </c>
      <c r="F43" s="8">
        <f>SUMIF(b!$B:$B,$B43,b!$F:$F)</f>
        <v>88</v>
      </c>
    </row>
    <row r="44" spans="1:6" ht="15.75" customHeight="1" x14ac:dyDescent="0.25">
      <c r="A44" s="4" t="s">
        <v>8</v>
      </c>
      <c r="B44" s="5">
        <v>1000197</v>
      </c>
      <c r="C44" s="6" t="s">
        <v>53</v>
      </c>
      <c r="D44" s="7" t="s">
        <v>14</v>
      </c>
      <c r="E44" s="7" t="s">
        <v>47</v>
      </c>
      <c r="F44" s="8">
        <f>SUMIF(b!$B:$B,$B44,b!$F:$F)</f>
        <v>54</v>
      </c>
    </row>
    <row r="45" spans="1:6" ht="15.75" customHeight="1" x14ac:dyDescent="0.25">
      <c r="A45" s="4" t="s">
        <v>8</v>
      </c>
      <c r="B45" s="5">
        <v>1000319</v>
      </c>
      <c r="C45" s="6" t="s">
        <v>54</v>
      </c>
      <c r="D45" s="7" t="s">
        <v>14</v>
      </c>
      <c r="E45" s="7" t="s">
        <v>47</v>
      </c>
      <c r="F45" s="8">
        <f>SUMIF(b!$B:$B,$B45,b!$F:$F)</f>
        <v>56</v>
      </c>
    </row>
    <row r="46" spans="1:6" ht="15.75" customHeight="1" x14ac:dyDescent="0.25">
      <c r="A46" s="4" t="s">
        <v>8</v>
      </c>
      <c r="B46" s="5">
        <v>1002108</v>
      </c>
      <c r="C46" s="6" t="s">
        <v>55</v>
      </c>
      <c r="D46" s="7" t="s">
        <v>18</v>
      </c>
      <c r="E46" s="7" t="s">
        <v>47</v>
      </c>
      <c r="F46" s="8">
        <f>SUMIF(b!$B:$B,$B46,b!$F:$F)</f>
        <v>13</v>
      </c>
    </row>
    <row r="47" spans="1:6" ht="15.75" customHeight="1" x14ac:dyDescent="0.25">
      <c r="A47" s="4" t="s">
        <v>8</v>
      </c>
      <c r="B47" s="5">
        <v>1001719</v>
      </c>
      <c r="C47" s="6" t="s">
        <v>56</v>
      </c>
      <c r="D47" s="7" t="s">
        <v>10</v>
      </c>
      <c r="E47" s="7" t="s">
        <v>57</v>
      </c>
      <c r="F47" s="8">
        <f>SUMIF('c'!$B:$B,$B47,'c'!$F:$F)</f>
        <v>3</v>
      </c>
    </row>
    <row r="48" spans="1:6" ht="15.75" customHeight="1" x14ac:dyDescent="0.25">
      <c r="A48" s="4" t="s">
        <v>8</v>
      </c>
      <c r="B48" s="5">
        <v>1001941</v>
      </c>
      <c r="C48" s="6" t="s">
        <v>58</v>
      </c>
      <c r="D48" s="7" t="s">
        <v>59</v>
      </c>
      <c r="E48" s="7" t="s">
        <v>57</v>
      </c>
      <c r="F48" s="8">
        <f>SUMIF('c'!$B:$B,$B48,'c'!$F:$F)</f>
        <v>49</v>
      </c>
    </row>
    <row r="49" spans="1:6" ht="15.75" customHeight="1" x14ac:dyDescent="0.25">
      <c r="A49" s="4" t="s">
        <v>8</v>
      </c>
      <c r="B49" s="5">
        <v>1000089</v>
      </c>
      <c r="C49" s="6" t="s">
        <v>60</v>
      </c>
      <c r="D49" s="7" t="s">
        <v>10</v>
      </c>
      <c r="E49" s="7" t="s">
        <v>57</v>
      </c>
      <c r="F49" s="8">
        <f>SUMIF('c'!$B:$B,$B49,'c'!$F:$F)</f>
        <v>122</v>
      </c>
    </row>
    <row r="50" spans="1:6" ht="15.75" customHeight="1" x14ac:dyDescent="0.25">
      <c r="A50" s="4" t="s">
        <v>8</v>
      </c>
      <c r="B50" s="5">
        <v>1000170</v>
      </c>
      <c r="C50" s="6" t="s">
        <v>61</v>
      </c>
      <c r="D50" s="7" t="s">
        <v>10</v>
      </c>
      <c r="E50" s="7" t="s">
        <v>57</v>
      </c>
      <c r="F50" s="8">
        <f>SUMIF('c'!$B:$B,$B50,'c'!$F:$F)</f>
        <v>11</v>
      </c>
    </row>
    <row r="51" spans="1:6" ht="15.75" customHeight="1" x14ac:dyDescent="0.25">
      <c r="A51" s="4" t="s">
        <v>8</v>
      </c>
      <c r="B51" s="5">
        <v>1000171</v>
      </c>
      <c r="C51" s="6" t="s">
        <v>62</v>
      </c>
      <c r="D51" s="7" t="s">
        <v>10</v>
      </c>
      <c r="E51" s="7" t="s">
        <v>57</v>
      </c>
      <c r="F51" s="8">
        <f>SUMIF('c'!$B:$B,$B51,'c'!$F:$F)</f>
        <v>31</v>
      </c>
    </row>
    <row r="52" spans="1:6" ht="15.75" customHeight="1" x14ac:dyDescent="0.25">
      <c r="A52" s="4" t="s">
        <v>8</v>
      </c>
      <c r="B52" s="5">
        <v>1000189</v>
      </c>
      <c r="C52" s="6" t="s">
        <v>63</v>
      </c>
      <c r="D52" s="7" t="s">
        <v>14</v>
      </c>
      <c r="E52" s="7" t="s">
        <v>57</v>
      </c>
      <c r="F52" s="8">
        <f>SUMIF('c'!$B:$B,$B52,'c'!$F:$F)</f>
        <v>24</v>
      </c>
    </row>
    <row r="53" spans="1:6" ht="15.75" customHeight="1" x14ac:dyDescent="0.25">
      <c r="A53" s="4" t="s">
        <v>8</v>
      </c>
      <c r="B53" s="5">
        <v>1000196</v>
      </c>
      <c r="C53" s="6" t="s">
        <v>64</v>
      </c>
      <c r="D53" s="7" t="s">
        <v>14</v>
      </c>
      <c r="E53" s="7" t="s">
        <v>57</v>
      </c>
      <c r="F53" s="8">
        <f>SUMIF('c'!$B:$B,$B53,'c'!$F:$F)</f>
        <v>30</v>
      </c>
    </row>
    <row r="54" spans="1:6" ht="15.75" customHeight="1" x14ac:dyDescent="0.25">
      <c r="A54" s="4" t="s">
        <v>8</v>
      </c>
      <c r="B54" s="5">
        <v>1000198</v>
      </c>
      <c r="C54" s="6" t="s">
        <v>65</v>
      </c>
      <c r="D54" s="7" t="s">
        <v>14</v>
      </c>
      <c r="E54" s="7" t="s">
        <v>57</v>
      </c>
      <c r="F54" s="8">
        <f>SUMIF('c'!$B:$B,$B54,'c'!$F:$F)</f>
        <v>153</v>
      </c>
    </row>
    <row r="55" spans="1:6" ht="15.75" customHeight="1" x14ac:dyDescent="0.25">
      <c r="A55" s="4" t="s">
        <v>8</v>
      </c>
      <c r="B55" s="5">
        <v>1000262</v>
      </c>
      <c r="C55" s="6" t="s">
        <v>66</v>
      </c>
      <c r="D55" s="7" t="s">
        <v>14</v>
      </c>
      <c r="E55" s="7" t="s">
        <v>57</v>
      </c>
      <c r="F55" s="8">
        <f>SUMIF('c'!$B:$B,$B55,'c'!$F:$F)</f>
        <v>107</v>
      </c>
    </row>
    <row r="56" spans="1:6" ht="15.75" customHeight="1" x14ac:dyDescent="0.25">
      <c r="A56" s="4" t="s">
        <v>8</v>
      </c>
      <c r="B56" s="5">
        <v>1000470</v>
      </c>
      <c r="C56" s="6" t="s">
        <v>67</v>
      </c>
      <c r="D56" s="7" t="s">
        <v>10</v>
      </c>
      <c r="E56" s="7" t="s">
        <v>57</v>
      </c>
      <c r="F56" s="8">
        <f>SUMIF('c'!$B:$B,$B56,'c'!$F:$F)</f>
        <v>74</v>
      </c>
    </row>
    <row r="57" spans="1:6" ht="15.75" customHeight="1" x14ac:dyDescent="0.25">
      <c r="A57" s="4" t="s">
        <v>8</v>
      </c>
      <c r="B57" s="5">
        <v>1000478</v>
      </c>
      <c r="C57" s="6" t="s">
        <v>68</v>
      </c>
      <c r="D57" s="7" t="s">
        <v>10</v>
      </c>
      <c r="E57" s="7" t="s">
        <v>57</v>
      </c>
      <c r="F57" s="8">
        <f>SUMIF('c'!$B:$B,$B57,'c'!$F:$F)</f>
        <v>30</v>
      </c>
    </row>
    <row r="58" spans="1:6" ht="15.75" customHeight="1" x14ac:dyDescent="0.25">
      <c r="A58" s="4" t="s">
        <v>69</v>
      </c>
      <c r="B58" s="5">
        <v>1001248</v>
      </c>
      <c r="C58" s="6" t="s">
        <v>70</v>
      </c>
      <c r="D58" s="7" t="s">
        <v>71</v>
      </c>
      <c r="E58" s="7" t="s">
        <v>57</v>
      </c>
      <c r="F58" s="8">
        <f>SUMIF('c'!$B:$B,$B58,'c'!$F:$F)</f>
        <v>6</v>
      </c>
    </row>
    <row r="59" spans="1:6" ht="15.75" customHeight="1" x14ac:dyDescent="0.25">
      <c r="A59" s="4" t="s">
        <v>69</v>
      </c>
      <c r="B59" s="5">
        <v>1001249</v>
      </c>
      <c r="C59" s="6" t="s">
        <v>72</v>
      </c>
      <c r="D59" s="7" t="s">
        <v>71</v>
      </c>
      <c r="E59" s="7" t="s">
        <v>57</v>
      </c>
      <c r="F59" s="8">
        <f>SUMIF('c'!$B:$B,$B59,'c'!$F:$F)</f>
        <v>16</v>
      </c>
    </row>
    <row r="60" spans="1:6" ht="15.75" customHeight="1" x14ac:dyDescent="0.25">
      <c r="A60" s="4" t="s">
        <v>69</v>
      </c>
      <c r="B60" s="5">
        <v>1000068</v>
      </c>
      <c r="C60" s="6" t="s">
        <v>73</v>
      </c>
      <c r="D60" s="7" t="s">
        <v>71</v>
      </c>
      <c r="E60" s="7" t="s">
        <v>57</v>
      </c>
      <c r="F60" s="8">
        <f>SUMIF('c'!$B:$B,$B60,'c'!$F:$F)</f>
        <v>49</v>
      </c>
    </row>
    <row r="61" spans="1:6" ht="15.75" customHeight="1" x14ac:dyDescent="0.25">
      <c r="A61" s="4" t="s">
        <v>69</v>
      </c>
      <c r="B61" s="5">
        <v>1000069</v>
      </c>
      <c r="C61" s="6" t="s">
        <v>74</v>
      </c>
      <c r="D61" s="7" t="s">
        <v>71</v>
      </c>
      <c r="E61" s="7" t="s">
        <v>57</v>
      </c>
      <c r="F61" s="8">
        <f>SUMIF('c'!$B:$B,$B61,'c'!$F:$F)</f>
        <v>49</v>
      </c>
    </row>
    <row r="62" spans="1:6" ht="15.75" customHeight="1" x14ac:dyDescent="0.25">
      <c r="A62" s="4" t="s">
        <v>69</v>
      </c>
      <c r="B62" s="5">
        <v>1000070</v>
      </c>
      <c r="C62" s="6" t="s">
        <v>75</v>
      </c>
      <c r="D62" s="7" t="s">
        <v>71</v>
      </c>
      <c r="E62" s="7" t="s">
        <v>11</v>
      </c>
      <c r="F62" s="8">
        <f>SUMIF(a!$B:$B,$B62,a!$F:$F)</f>
        <v>15</v>
      </c>
    </row>
    <row r="63" spans="1:6" ht="15.75" customHeight="1" x14ac:dyDescent="0.25">
      <c r="A63" s="4" t="s">
        <v>69</v>
      </c>
      <c r="B63" s="5">
        <v>1000071</v>
      </c>
      <c r="C63" s="6" t="s">
        <v>76</v>
      </c>
      <c r="D63" s="7" t="s">
        <v>71</v>
      </c>
      <c r="E63" s="7" t="s">
        <v>11</v>
      </c>
      <c r="F63" s="8">
        <f>SUMIF(a!$B:$B,$B63,a!$F:$F)</f>
        <v>15</v>
      </c>
    </row>
    <row r="64" spans="1:6" ht="15.75" customHeight="1" x14ac:dyDescent="0.25">
      <c r="A64" s="4" t="s">
        <v>69</v>
      </c>
      <c r="B64" s="5">
        <v>1000076</v>
      </c>
      <c r="C64" s="6" t="s">
        <v>77</v>
      </c>
      <c r="D64" s="7" t="s">
        <v>71</v>
      </c>
      <c r="E64" s="7" t="s">
        <v>11</v>
      </c>
      <c r="F64" s="8">
        <f>SUMIF(a!$B:$B,$B64,a!$F:$F)</f>
        <v>30</v>
      </c>
    </row>
    <row r="65" spans="1:6" ht="15.75" customHeight="1" x14ac:dyDescent="0.25">
      <c r="A65" s="4" t="s">
        <v>69</v>
      </c>
      <c r="B65" s="5">
        <v>1006855</v>
      </c>
      <c r="C65" s="6" t="s">
        <v>78</v>
      </c>
      <c r="D65" s="7" t="s">
        <v>10</v>
      </c>
      <c r="E65" s="7" t="s">
        <v>47</v>
      </c>
      <c r="F65" s="8">
        <f>SUMIF(b!$B:$B,$B65,b!$F:$F)</f>
        <v>54</v>
      </c>
    </row>
    <row r="66" spans="1:6" ht="15.75" customHeight="1" x14ac:dyDescent="0.25">
      <c r="A66" s="4" t="s">
        <v>69</v>
      </c>
      <c r="B66" s="5">
        <v>1002169</v>
      </c>
      <c r="C66" s="6" t="s">
        <v>79</v>
      </c>
      <c r="D66" s="7" t="s">
        <v>10</v>
      </c>
      <c r="E66" s="7" t="s">
        <v>11</v>
      </c>
      <c r="F66" s="8">
        <f>SUMIF(a!$B:$B,$B66,a!$F:$F)</f>
        <v>21</v>
      </c>
    </row>
    <row r="67" spans="1:6" ht="15.75" customHeight="1" x14ac:dyDescent="0.25">
      <c r="A67" s="4" t="s">
        <v>69</v>
      </c>
      <c r="B67" s="5">
        <v>1002148</v>
      </c>
      <c r="C67" s="6" t="s">
        <v>80</v>
      </c>
      <c r="D67" s="7" t="s">
        <v>10</v>
      </c>
      <c r="E67" s="7" t="s">
        <v>47</v>
      </c>
      <c r="F67" s="8">
        <f>SUMIF(b!$B:$B,$B67,b!$F:$F)</f>
        <v>54</v>
      </c>
    </row>
    <row r="68" spans="1:6" ht="15.75" customHeight="1" x14ac:dyDescent="0.25">
      <c r="A68" s="4" t="s">
        <v>69</v>
      </c>
      <c r="B68" s="5">
        <v>1001999</v>
      </c>
      <c r="C68" s="6" t="s">
        <v>81</v>
      </c>
      <c r="D68" s="7" t="s">
        <v>18</v>
      </c>
      <c r="E68" s="7" t="s">
        <v>11</v>
      </c>
      <c r="F68" s="8">
        <f>SUMIF(a!$B:$B,$B68,a!$F:$F)</f>
        <v>75</v>
      </c>
    </row>
    <row r="69" spans="1:6" ht="15.75" customHeight="1" x14ac:dyDescent="0.25">
      <c r="A69" s="4" t="s">
        <v>69</v>
      </c>
      <c r="B69" s="5">
        <v>1006798</v>
      </c>
      <c r="C69" s="6" t="s">
        <v>82</v>
      </c>
      <c r="D69" s="7" t="s">
        <v>10</v>
      </c>
      <c r="E69" s="7" t="s">
        <v>11</v>
      </c>
      <c r="F69" s="8">
        <f>SUMIF(a!$B:$B,$B69,a!$F:$F)</f>
        <v>47</v>
      </c>
    </row>
    <row r="70" spans="1:6" ht="15.75" customHeight="1" x14ac:dyDescent="0.25">
      <c r="A70" s="4" t="s">
        <v>69</v>
      </c>
      <c r="B70" s="5">
        <v>1001996</v>
      </c>
      <c r="C70" s="6" t="s">
        <v>83</v>
      </c>
      <c r="D70" s="7" t="s">
        <v>18</v>
      </c>
      <c r="E70" s="7" t="s">
        <v>11</v>
      </c>
      <c r="F70" s="8">
        <f>SUMIF(a!$B:$B,$B70,a!$F:$F)</f>
        <v>2</v>
      </c>
    </row>
    <row r="71" spans="1:6" ht="15.75" customHeight="1" x14ac:dyDescent="0.25">
      <c r="A71" s="4" t="s">
        <v>69</v>
      </c>
      <c r="B71" s="5">
        <v>1001930</v>
      </c>
      <c r="C71" s="6" t="s">
        <v>84</v>
      </c>
      <c r="D71" s="7" t="s">
        <v>18</v>
      </c>
      <c r="E71" s="7" t="s">
        <v>57</v>
      </c>
      <c r="F71" s="8">
        <f>SUMIF('c'!$B:$B,$B71,'c'!$F:$F)</f>
        <v>3</v>
      </c>
    </row>
    <row r="72" spans="1:6" ht="15.75" customHeight="1" x14ac:dyDescent="0.25">
      <c r="A72" s="4" t="s">
        <v>69</v>
      </c>
      <c r="B72" s="5">
        <v>1002097</v>
      </c>
      <c r="C72" s="6" t="s">
        <v>85</v>
      </c>
      <c r="D72" s="7" t="s">
        <v>18</v>
      </c>
      <c r="E72" s="7" t="s">
        <v>11</v>
      </c>
      <c r="F72" s="8">
        <f>SUMIF(a!$B:$B,$B72,a!$F:$F)</f>
        <v>5</v>
      </c>
    </row>
    <row r="73" spans="1:6" ht="15.75" customHeight="1" x14ac:dyDescent="0.25">
      <c r="A73" s="4" t="s">
        <v>69</v>
      </c>
      <c r="B73" s="5">
        <v>1001622</v>
      </c>
      <c r="C73" s="6" t="s">
        <v>86</v>
      </c>
      <c r="D73" s="7" t="s">
        <v>18</v>
      </c>
      <c r="E73" s="7" t="s">
        <v>57</v>
      </c>
      <c r="F73" s="8">
        <f>SUMIF('c'!$B:$B,$B73,'c'!$F:$F)</f>
        <v>9</v>
      </c>
    </row>
    <row r="74" spans="1:6" ht="15.75" customHeight="1" x14ac:dyDescent="0.25">
      <c r="A74" s="4" t="s">
        <v>69</v>
      </c>
      <c r="B74" s="5">
        <v>1001512</v>
      </c>
      <c r="C74" s="6" t="s">
        <v>87</v>
      </c>
      <c r="D74" s="7" t="s">
        <v>18</v>
      </c>
      <c r="E74" s="7" t="s">
        <v>57</v>
      </c>
      <c r="F74" s="8">
        <f>SUMIF('c'!$B:$B,$B74,'c'!$F:$F)</f>
        <v>14</v>
      </c>
    </row>
    <row r="75" spans="1:6" ht="15.75" customHeight="1" x14ac:dyDescent="0.25">
      <c r="A75" s="4" t="s">
        <v>69</v>
      </c>
      <c r="B75" s="5">
        <v>1001513</v>
      </c>
      <c r="C75" s="6" t="s">
        <v>88</v>
      </c>
      <c r="D75" s="7" t="s">
        <v>18</v>
      </c>
      <c r="E75" s="7" t="s">
        <v>57</v>
      </c>
      <c r="F75" s="8">
        <f>SUMIF('c'!$B:$B,$B75,'c'!$F:$F)</f>
        <v>12</v>
      </c>
    </row>
    <row r="76" spans="1:6" ht="15.75" customHeight="1" x14ac:dyDescent="0.25">
      <c r="A76" s="4" t="s">
        <v>69</v>
      </c>
      <c r="B76" s="5">
        <v>1001973</v>
      </c>
      <c r="C76" s="6" t="s">
        <v>89</v>
      </c>
      <c r="D76" s="7" t="s">
        <v>18</v>
      </c>
      <c r="E76" s="7" t="s">
        <v>57</v>
      </c>
      <c r="F76" s="8">
        <f>SUMIF('c'!$B:$B,$B76,'c'!$F:$F)</f>
        <v>16</v>
      </c>
    </row>
    <row r="77" spans="1:6" ht="15.75" customHeight="1" x14ac:dyDescent="0.25">
      <c r="A77" s="4" t="s">
        <v>69</v>
      </c>
      <c r="B77" s="5">
        <v>1001696</v>
      </c>
      <c r="C77" s="6" t="s">
        <v>90</v>
      </c>
      <c r="D77" s="7" t="s">
        <v>14</v>
      </c>
      <c r="E77" s="7" t="s">
        <v>11</v>
      </c>
      <c r="F77" s="8">
        <f>SUMIF(a!$B:$B,$B77,a!$F:$F)</f>
        <v>21</v>
      </c>
    </row>
    <row r="78" spans="1:6" ht="15.75" customHeight="1" x14ac:dyDescent="0.25">
      <c r="A78" s="4" t="s">
        <v>69</v>
      </c>
      <c r="B78" s="5">
        <v>1002158</v>
      </c>
      <c r="C78" s="6" t="s">
        <v>91</v>
      </c>
      <c r="D78" s="7" t="s">
        <v>18</v>
      </c>
      <c r="E78" s="7" t="s">
        <v>11</v>
      </c>
      <c r="F78" s="8">
        <f>SUMIF(a!$B:$B,$B78,a!$F:$F)</f>
        <v>5</v>
      </c>
    </row>
    <row r="79" spans="1:6" ht="15.75" customHeight="1" x14ac:dyDescent="0.25">
      <c r="A79" s="4" t="s">
        <v>69</v>
      </c>
      <c r="B79" s="5">
        <v>1001909</v>
      </c>
      <c r="C79" s="6" t="s">
        <v>92</v>
      </c>
      <c r="D79" s="7" t="s">
        <v>18</v>
      </c>
      <c r="E79" s="7" t="s">
        <v>11</v>
      </c>
      <c r="F79" s="8">
        <f>SUMIF(a!$B:$B,$B79,a!$F:$F)</f>
        <v>9</v>
      </c>
    </row>
    <row r="80" spans="1:6" ht="15.75" customHeight="1" x14ac:dyDescent="0.25">
      <c r="A80" s="4" t="s">
        <v>69</v>
      </c>
      <c r="B80" s="5">
        <v>1001906</v>
      </c>
      <c r="C80" s="6" t="s">
        <v>93</v>
      </c>
      <c r="D80" s="7" t="s">
        <v>18</v>
      </c>
      <c r="E80" s="7" t="s">
        <v>11</v>
      </c>
      <c r="F80" s="8">
        <f>SUMIF(a!$B:$B,$B80,a!$F:$F)</f>
        <v>11</v>
      </c>
    </row>
    <row r="81" spans="1:6" ht="15.75" customHeight="1" x14ac:dyDescent="0.25">
      <c r="A81" s="4" t="s">
        <v>69</v>
      </c>
      <c r="B81" s="5">
        <v>1001905</v>
      </c>
      <c r="C81" s="6" t="s">
        <v>94</v>
      </c>
      <c r="D81" s="7" t="s">
        <v>18</v>
      </c>
      <c r="E81" s="7" t="s">
        <v>47</v>
      </c>
      <c r="F81" s="8">
        <f>SUMIF(b!$B:$B,$B81,b!$F:$F)</f>
        <v>20</v>
      </c>
    </row>
    <row r="82" spans="1:6" ht="15.75" customHeight="1" x14ac:dyDescent="0.25">
      <c r="A82" s="4" t="s">
        <v>69</v>
      </c>
      <c r="B82" s="5">
        <v>1001907</v>
      </c>
      <c r="C82" s="6" t="s">
        <v>95</v>
      </c>
      <c r="D82" s="7" t="s">
        <v>18</v>
      </c>
      <c r="E82" s="7" t="s">
        <v>47</v>
      </c>
      <c r="F82" s="8">
        <f>SUMIF(b!$B:$B,$B82,b!$F:$F)</f>
        <v>14</v>
      </c>
    </row>
    <row r="83" spans="1:6" ht="15.75" customHeight="1" x14ac:dyDescent="0.25">
      <c r="A83" s="4" t="s">
        <v>69</v>
      </c>
      <c r="B83" s="5">
        <v>1001302</v>
      </c>
      <c r="C83" s="6" t="s">
        <v>96</v>
      </c>
      <c r="D83" s="7" t="s">
        <v>10</v>
      </c>
      <c r="E83" s="7" t="s">
        <v>47</v>
      </c>
      <c r="F83" s="8">
        <f>SUMIF(b!$B:$B,$B83,b!$F:$F)</f>
        <v>101</v>
      </c>
    </row>
    <row r="84" spans="1:6" ht="15.75" customHeight="1" x14ac:dyDescent="0.25">
      <c r="A84" s="4" t="s">
        <v>69</v>
      </c>
      <c r="B84" s="5">
        <v>1001190</v>
      </c>
      <c r="C84" s="6" t="s">
        <v>97</v>
      </c>
      <c r="D84" s="7" t="s">
        <v>10</v>
      </c>
      <c r="E84" s="7" t="s">
        <v>11</v>
      </c>
      <c r="F84" s="8">
        <f>SUMIF(a!$B:$B,$B84,a!$F:$F)</f>
        <v>108</v>
      </c>
    </row>
    <row r="85" spans="1:6" ht="15.75" customHeight="1" x14ac:dyDescent="0.25">
      <c r="A85" s="4" t="s">
        <v>69</v>
      </c>
      <c r="B85" s="5">
        <v>1002253</v>
      </c>
      <c r="C85" s="6" t="s">
        <v>98</v>
      </c>
      <c r="D85" s="7" t="s">
        <v>18</v>
      </c>
      <c r="E85" s="7" t="s">
        <v>57</v>
      </c>
      <c r="F85" s="8">
        <f>SUMIF('c'!$B:$B,$B85,'c'!$F:$F)</f>
        <v>3</v>
      </c>
    </row>
    <row r="86" spans="1:6" ht="15.75" customHeight="1" x14ac:dyDescent="0.25">
      <c r="A86" s="4" t="s">
        <v>69</v>
      </c>
      <c r="B86" s="5">
        <v>1000146</v>
      </c>
      <c r="C86" s="6" t="s">
        <v>99</v>
      </c>
      <c r="D86" s="7" t="s">
        <v>10</v>
      </c>
      <c r="E86" s="7" t="s">
        <v>11</v>
      </c>
      <c r="F86" s="8">
        <f>SUMIF(a!$B:$B,$B86,a!$F:$F)</f>
        <v>252</v>
      </c>
    </row>
    <row r="87" spans="1:6" ht="15.75" customHeight="1" x14ac:dyDescent="0.25">
      <c r="A87" s="4" t="s">
        <v>69</v>
      </c>
      <c r="B87" s="5">
        <v>1002262</v>
      </c>
      <c r="C87" s="6" t="s">
        <v>100</v>
      </c>
      <c r="D87" s="7" t="s">
        <v>101</v>
      </c>
      <c r="E87" s="7" t="s">
        <v>11</v>
      </c>
      <c r="F87" s="8">
        <f>SUMIF(a!$B:$B,$B87,a!$F:$F)</f>
        <v>24</v>
      </c>
    </row>
    <row r="88" spans="1:6" ht="15.75" customHeight="1" x14ac:dyDescent="0.25">
      <c r="A88" s="4" t="s">
        <v>69</v>
      </c>
      <c r="B88" s="5">
        <v>1000206</v>
      </c>
      <c r="C88" s="6" t="s">
        <v>102</v>
      </c>
      <c r="D88" s="7" t="s">
        <v>10</v>
      </c>
      <c r="E88" s="7" t="s">
        <v>11</v>
      </c>
      <c r="F88" s="8">
        <f>SUMIF(a!$B:$B,$B88,a!$F:$F)</f>
        <v>186</v>
      </c>
    </row>
    <row r="89" spans="1:6" ht="15.75" customHeight="1" x14ac:dyDescent="0.25">
      <c r="A89" s="4" t="s">
        <v>69</v>
      </c>
      <c r="B89" s="5">
        <v>1000208</v>
      </c>
      <c r="C89" s="6" t="s">
        <v>103</v>
      </c>
      <c r="D89" s="7" t="s">
        <v>14</v>
      </c>
      <c r="E89" s="7" t="s">
        <v>11</v>
      </c>
      <c r="F89" s="8">
        <f>SUMIF(a!$B:$B,$B89,a!$F:$F)</f>
        <v>393</v>
      </c>
    </row>
    <row r="90" spans="1:6" ht="15.75" customHeight="1" x14ac:dyDescent="0.25">
      <c r="A90" s="4" t="s">
        <v>69</v>
      </c>
      <c r="B90" s="5">
        <v>1000209</v>
      </c>
      <c r="C90" s="6" t="s">
        <v>104</v>
      </c>
      <c r="D90" s="7" t="s">
        <v>14</v>
      </c>
      <c r="E90" s="7" t="s">
        <v>11</v>
      </c>
      <c r="F90" s="8">
        <f>SUMIF(a!$B:$B,$B90,a!$F:$F)</f>
        <v>16</v>
      </c>
    </row>
    <row r="91" spans="1:6" ht="15.75" customHeight="1" x14ac:dyDescent="0.25">
      <c r="A91" s="4" t="s">
        <v>69</v>
      </c>
      <c r="B91" s="5">
        <v>1001854</v>
      </c>
      <c r="C91" s="6" t="s">
        <v>105</v>
      </c>
      <c r="D91" s="7" t="s">
        <v>10</v>
      </c>
      <c r="E91" s="7" t="s">
        <v>11</v>
      </c>
      <c r="F91" s="8">
        <f>SUMIF(a!$B:$B,$B91,a!$F:$F)</f>
        <v>58</v>
      </c>
    </row>
    <row r="92" spans="1:6" ht="15.75" customHeight="1" x14ac:dyDescent="0.25">
      <c r="A92" s="4" t="s">
        <v>69</v>
      </c>
      <c r="B92" s="5">
        <v>1006179</v>
      </c>
      <c r="C92" s="6" t="s">
        <v>106</v>
      </c>
      <c r="D92" s="7" t="s">
        <v>18</v>
      </c>
      <c r="E92" s="7" t="s">
        <v>11</v>
      </c>
      <c r="F92" s="8">
        <f>SUMIF(a!$B:$B,$B92,a!$F:$F)</f>
        <v>21</v>
      </c>
    </row>
    <row r="93" spans="1:6" ht="15.75" customHeight="1" x14ac:dyDescent="0.25">
      <c r="A93" s="4" t="s">
        <v>69</v>
      </c>
      <c r="B93" s="5">
        <v>1001923</v>
      </c>
      <c r="C93" s="6" t="s">
        <v>107</v>
      </c>
      <c r="D93" s="7" t="s">
        <v>18</v>
      </c>
      <c r="E93" s="7" t="s">
        <v>11</v>
      </c>
      <c r="F93" s="8">
        <f>SUMIF(a!$B:$B,$B93,a!$F:$F)</f>
        <v>2</v>
      </c>
    </row>
    <row r="94" spans="1:6" ht="15.75" customHeight="1" x14ac:dyDescent="0.25">
      <c r="A94" s="4" t="s">
        <v>69</v>
      </c>
      <c r="B94" s="5">
        <v>1001925</v>
      </c>
      <c r="C94" s="6" t="s">
        <v>108</v>
      </c>
      <c r="D94" s="7" t="s">
        <v>18</v>
      </c>
      <c r="E94" s="7" t="s">
        <v>11</v>
      </c>
      <c r="F94" s="8">
        <f>SUMIF(a!$B:$B,$B94,a!$F:$F)</f>
        <v>1</v>
      </c>
    </row>
    <row r="95" spans="1:6" ht="15.75" customHeight="1" x14ac:dyDescent="0.25">
      <c r="A95" s="4" t="s">
        <v>69</v>
      </c>
      <c r="B95" s="5">
        <v>1002238</v>
      </c>
      <c r="C95" s="6" t="s">
        <v>109</v>
      </c>
      <c r="D95" s="7" t="s">
        <v>18</v>
      </c>
      <c r="E95" s="7" t="s">
        <v>47</v>
      </c>
      <c r="F95" s="8">
        <f>SUMIF(b!$B:$B,$B95,b!$F:$F)</f>
        <v>12</v>
      </c>
    </row>
    <row r="96" spans="1:6" ht="15.75" customHeight="1" x14ac:dyDescent="0.25">
      <c r="A96" s="4" t="s">
        <v>69</v>
      </c>
      <c r="B96" s="5">
        <v>1002239</v>
      </c>
      <c r="C96" s="6" t="s">
        <v>110</v>
      </c>
      <c r="D96" s="7" t="s">
        <v>18</v>
      </c>
      <c r="E96" s="7" t="s">
        <v>47</v>
      </c>
      <c r="F96" s="8">
        <f>SUMIF(b!$B:$B,$B96,b!$F:$F)</f>
        <v>12</v>
      </c>
    </row>
    <row r="97" spans="1:6" ht="15.75" customHeight="1" x14ac:dyDescent="0.25">
      <c r="A97" s="4" t="s">
        <v>69</v>
      </c>
      <c r="B97" s="5">
        <v>1000305</v>
      </c>
      <c r="C97" s="6" t="s">
        <v>111</v>
      </c>
      <c r="D97" s="7" t="s">
        <v>10</v>
      </c>
      <c r="E97" s="7" t="s">
        <v>11</v>
      </c>
      <c r="F97" s="8">
        <f>SUMIF(a!$B:$B,$B97,a!$F:$F)</f>
        <v>240</v>
      </c>
    </row>
    <row r="98" spans="1:6" ht="15.75" customHeight="1" x14ac:dyDescent="0.25">
      <c r="A98" s="4" t="s">
        <v>69</v>
      </c>
      <c r="B98" s="5">
        <v>1002058</v>
      </c>
      <c r="C98" s="6" t="s">
        <v>112</v>
      </c>
      <c r="D98" s="7" t="s">
        <v>18</v>
      </c>
      <c r="E98" s="7" t="s">
        <v>47</v>
      </c>
      <c r="F98" s="8">
        <f>SUMIF(b!$B:$B,$B98,b!$F:$F)</f>
        <v>2</v>
      </c>
    </row>
    <row r="99" spans="1:6" ht="15.75" customHeight="1" x14ac:dyDescent="0.25">
      <c r="A99" s="4" t="s">
        <v>69</v>
      </c>
      <c r="B99" s="5">
        <v>1000665</v>
      </c>
      <c r="C99" s="6" t="s">
        <v>113</v>
      </c>
      <c r="D99" s="7" t="s">
        <v>71</v>
      </c>
      <c r="E99" s="7" t="s">
        <v>57</v>
      </c>
      <c r="F99" s="8">
        <f>SUMIF('c'!$B:$B,$B99,'c'!$F:$F)</f>
        <v>170</v>
      </c>
    </row>
    <row r="100" spans="1:6" ht="15.75" customHeight="1" x14ac:dyDescent="0.25">
      <c r="A100" s="4" t="s">
        <v>69</v>
      </c>
      <c r="B100" s="5">
        <v>1000327</v>
      </c>
      <c r="C100" s="6" t="s">
        <v>114</v>
      </c>
      <c r="D100" s="7" t="s">
        <v>71</v>
      </c>
      <c r="E100" s="7" t="s">
        <v>47</v>
      </c>
      <c r="F100" s="8">
        <f>SUMIF(b!$B:$B,$B100,b!$F:$F)</f>
        <v>146</v>
      </c>
    </row>
    <row r="101" spans="1:6" ht="15.75" customHeight="1" x14ac:dyDescent="0.25">
      <c r="A101" s="4" t="s">
        <v>69</v>
      </c>
      <c r="B101" s="5">
        <v>1006150</v>
      </c>
      <c r="C101" s="6" t="s">
        <v>115</v>
      </c>
      <c r="D101" s="7" t="s">
        <v>71</v>
      </c>
      <c r="E101" s="7" t="s">
        <v>57</v>
      </c>
      <c r="F101" s="8">
        <f>SUMIF('c'!$B:$B,$B101,'c'!$F:$F)</f>
        <v>88</v>
      </c>
    </row>
    <row r="102" spans="1:6" ht="15.75" customHeight="1" x14ac:dyDescent="0.25">
      <c r="A102" s="4" t="s">
        <v>69</v>
      </c>
      <c r="B102" s="5">
        <v>1000544</v>
      </c>
      <c r="C102" s="6" t="s">
        <v>116</v>
      </c>
      <c r="D102" s="7" t="s">
        <v>14</v>
      </c>
      <c r="E102" s="7" t="s">
        <v>47</v>
      </c>
      <c r="F102" s="8">
        <f>SUMIF(b!$B:$B,$B102,b!$F:$F)</f>
        <v>125</v>
      </c>
    </row>
    <row r="103" spans="1:6" ht="15.75" customHeight="1" x14ac:dyDescent="0.25">
      <c r="A103" s="4" t="s">
        <v>69</v>
      </c>
      <c r="B103" s="5">
        <v>1000366</v>
      </c>
      <c r="C103" s="6" t="s">
        <v>117</v>
      </c>
      <c r="D103" s="7" t="s">
        <v>14</v>
      </c>
      <c r="E103" s="7" t="s">
        <v>57</v>
      </c>
      <c r="F103" s="8">
        <f>SUMIF('c'!$B:$B,$B103,'c'!$F:$F)</f>
        <v>0</v>
      </c>
    </row>
    <row r="104" spans="1:6" ht="15.75" customHeight="1" x14ac:dyDescent="0.25">
      <c r="A104" s="4" t="s">
        <v>69</v>
      </c>
      <c r="B104" s="5">
        <v>1006826</v>
      </c>
      <c r="C104" s="6" t="s">
        <v>118</v>
      </c>
      <c r="D104" s="7" t="s">
        <v>18</v>
      </c>
      <c r="E104" s="7" t="s">
        <v>11</v>
      </c>
      <c r="F104" s="8">
        <f>SUMIF(a!$B:$B,$B104,a!$F:$F)</f>
        <v>57</v>
      </c>
    </row>
    <row r="105" spans="1:6" ht="15.75" customHeight="1" x14ac:dyDescent="0.25">
      <c r="A105" s="4" t="s">
        <v>69</v>
      </c>
      <c r="B105" s="5">
        <v>1001987</v>
      </c>
      <c r="C105" s="6" t="s">
        <v>119</v>
      </c>
      <c r="D105" s="7" t="s">
        <v>18</v>
      </c>
      <c r="E105" s="7" t="s">
        <v>11</v>
      </c>
      <c r="F105" s="8">
        <f>SUMIF(a!$B:$B,$B105,a!$F:$F)</f>
        <v>39</v>
      </c>
    </row>
    <row r="106" spans="1:6" ht="15.75" customHeight="1" x14ac:dyDescent="0.25">
      <c r="A106" s="4" t="s">
        <v>69</v>
      </c>
      <c r="B106" s="5">
        <v>1001991</v>
      </c>
      <c r="C106" s="6" t="s">
        <v>120</v>
      </c>
      <c r="D106" s="7" t="s">
        <v>18</v>
      </c>
      <c r="E106" s="7" t="s">
        <v>11</v>
      </c>
      <c r="F106" s="8">
        <f>SUMIF(a!$B:$B,$B106,a!$F:$F)</f>
        <v>53</v>
      </c>
    </row>
    <row r="107" spans="1:6" ht="15.75" customHeight="1" x14ac:dyDescent="0.25">
      <c r="A107" s="4" t="s">
        <v>69</v>
      </c>
      <c r="B107" s="5">
        <v>1000583</v>
      </c>
      <c r="C107" s="6" t="s">
        <v>121</v>
      </c>
      <c r="D107" s="7" t="s">
        <v>14</v>
      </c>
      <c r="E107" s="7" t="s">
        <v>57</v>
      </c>
      <c r="F107" s="8">
        <f>SUMIF('c'!$B:$B,$B107,'c'!$F:$F)</f>
        <v>248</v>
      </c>
    </row>
    <row r="108" spans="1:6" ht="15.75" customHeight="1" x14ac:dyDescent="0.25">
      <c r="A108" s="4" t="s">
        <v>69</v>
      </c>
      <c r="B108" s="5">
        <v>1000648</v>
      </c>
      <c r="C108" s="6" t="s">
        <v>122</v>
      </c>
      <c r="D108" s="7" t="s">
        <v>14</v>
      </c>
      <c r="E108" s="7" t="s">
        <v>11</v>
      </c>
      <c r="F108" s="8">
        <f>SUMIF(a!$B:$B,$B108,a!$F:$F)</f>
        <v>58</v>
      </c>
    </row>
    <row r="109" spans="1:6" ht="15.75" customHeight="1" x14ac:dyDescent="0.25">
      <c r="A109" s="4" t="s">
        <v>69</v>
      </c>
      <c r="B109" s="5">
        <v>1000995</v>
      </c>
      <c r="C109" s="6" t="s">
        <v>123</v>
      </c>
      <c r="D109" s="7" t="s">
        <v>14</v>
      </c>
      <c r="E109" s="7" t="s">
        <v>11</v>
      </c>
      <c r="F109" s="8">
        <f>SUMIF(a!$B:$B,$B109,a!$F:$F)</f>
        <v>24</v>
      </c>
    </row>
    <row r="110" spans="1:6" ht="15.75" customHeight="1" x14ac:dyDescent="0.25">
      <c r="A110" s="4" t="s">
        <v>69</v>
      </c>
      <c r="B110" s="5">
        <v>1000367</v>
      </c>
      <c r="C110" s="6" t="s">
        <v>124</v>
      </c>
      <c r="D110" s="7" t="s">
        <v>14</v>
      </c>
      <c r="E110" s="7" t="s">
        <v>57</v>
      </c>
      <c r="F110" s="8">
        <f>SUMIF('c'!$B:$B,$B110,'c'!$F:$F)</f>
        <v>145</v>
      </c>
    </row>
    <row r="111" spans="1:6" ht="15.75" customHeight="1" x14ac:dyDescent="0.25">
      <c r="A111" s="11" t="s">
        <v>125</v>
      </c>
      <c r="B111" s="11"/>
      <c r="C111" s="11"/>
      <c r="D111" s="11"/>
      <c r="E111" s="11"/>
      <c r="F111" s="12">
        <f>SUM(F5:F110)</f>
        <v>6039</v>
      </c>
    </row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4BD-8FC4-4466-88E5-EB223A16DFBD}">
  <dimension ref="A1:F303"/>
  <sheetViews>
    <sheetView zoomScale="55" workbookViewId="0">
      <pane ySplit="4" topLeftCell="A258" activePane="bottomLeft" state="frozen"/>
      <selection pane="bottomLeft" activeCell="C132" sqref="C132"/>
    </sheetView>
  </sheetViews>
  <sheetFormatPr defaultRowHeight="15" x14ac:dyDescent="0.25"/>
  <cols>
    <col min="1" max="1" width="15.28515625" customWidth="1"/>
    <col min="2" max="2" width="12.42578125" customWidth="1"/>
    <col min="3" max="3" width="60.28515625" customWidth="1"/>
    <col min="4" max="4" width="13.28515625" customWidth="1"/>
    <col min="5" max="5" width="21.85546875" customWidth="1"/>
    <col min="6" max="6" width="16.85546875" customWidth="1"/>
  </cols>
  <sheetData>
    <row r="1" spans="1:6" ht="18.75" x14ac:dyDescent="0.3">
      <c r="A1" s="63" t="s">
        <v>3756</v>
      </c>
      <c r="B1" s="62"/>
      <c r="C1" s="62"/>
      <c r="D1" s="62"/>
      <c r="E1" s="62"/>
      <c r="F1" s="62"/>
    </row>
    <row r="2" spans="1:6" x14ac:dyDescent="0.25">
      <c r="A2" s="64" t="s">
        <v>3757</v>
      </c>
      <c r="B2" s="62"/>
      <c r="C2" s="62"/>
      <c r="D2" s="62"/>
      <c r="E2" s="62"/>
      <c r="F2" s="62"/>
    </row>
    <row r="3" spans="1:6" x14ac:dyDescent="0.25">
      <c r="A3" s="62"/>
      <c r="B3" s="62"/>
      <c r="C3" s="62"/>
      <c r="D3" s="62"/>
      <c r="E3" s="62"/>
      <c r="F3" s="62"/>
    </row>
    <row r="4" spans="1:6" x14ac:dyDescent="0.25">
      <c r="A4" s="65" t="s">
        <v>2</v>
      </c>
      <c r="B4" s="66" t="s">
        <v>3</v>
      </c>
      <c r="C4" s="66" t="s">
        <v>4</v>
      </c>
      <c r="D4" s="66" t="s">
        <v>5</v>
      </c>
      <c r="E4" s="66" t="s">
        <v>128</v>
      </c>
      <c r="F4" s="67" t="s">
        <v>7</v>
      </c>
    </row>
    <row r="5" spans="1:6" x14ac:dyDescent="0.25">
      <c r="A5" s="68" t="s">
        <v>301</v>
      </c>
      <c r="B5" s="69" t="s">
        <v>3593</v>
      </c>
      <c r="C5" s="70" t="s">
        <v>376</v>
      </c>
      <c r="D5" s="69" t="s">
        <v>10</v>
      </c>
      <c r="E5" s="69" t="s">
        <v>11</v>
      </c>
      <c r="F5" s="71">
        <v>66</v>
      </c>
    </row>
    <row r="6" spans="1:6" x14ac:dyDescent="0.25">
      <c r="A6" s="68" t="s">
        <v>301</v>
      </c>
      <c r="B6" s="69" t="s">
        <v>3712</v>
      </c>
      <c r="C6" s="70" t="s">
        <v>1788</v>
      </c>
      <c r="D6" s="69" t="s">
        <v>3449</v>
      </c>
      <c r="E6" s="69" t="s">
        <v>11</v>
      </c>
      <c r="F6" s="71">
        <v>40</v>
      </c>
    </row>
    <row r="7" spans="1:6" x14ac:dyDescent="0.25">
      <c r="A7" s="68" t="s">
        <v>301</v>
      </c>
      <c r="B7" s="69" t="s">
        <v>538</v>
      </c>
      <c r="C7" s="70" t="s">
        <v>539</v>
      </c>
      <c r="D7" s="69" t="s">
        <v>10</v>
      </c>
      <c r="E7" s="69" t="s">
        <v>11</v>
      </c>
      <c r="F7" s="71">
        <v>42</v>
      </c>
    </row>
    <row r="8" spans="1:6" x14ac:dyDescent="0.25">
      <c r="A8" s="68" t="s">
        <v>301</v>
      </c>
      <c r="B8" s="69" t="s">
        <v>540</v>
      </c>
      <c r="C8" s="70" t="s">
        <v>541</v>
      </c>
      <c r="D8" s="69" t="s">
        <v>59</v>
      </c>
      <c r="E8" s="69" t="s">
        <v>47</v>
      </c>
      <c r="F8" s="71">
        <v>12</v>
      </c>
    </row>
    <row r="9" spans="1:6" x14ac:dyDescent="0.25">
      <c r="A9" s="68" t="s">
        <v>301</v>
      </c>
      <c r="B9" s="69" t="s">
        <v>542</v>
      </c>
      <c r="C9" s="70" t="s">
        <v>9</v>
      </c>
      <c r="D9" s="69" t="s">
        <v>10</v>
      </c>
      <c r="E9" s="69" t="s">
        <v>11</v>
      </c>
      <c r="F9" s="71">
        <v>53</v>
      </c>
    </row>
    <row r="10" spans="1:6" x14ac:dyDescent="0.25">
      <c r="A10" s="68" t="s">
        <v>301</v>
      </c>
      <c r="B10" s="69" t="s">
        <v>543</v>
      </c>
      <c r="C10" s="70" t="s">
        <v>12</v>
      </c>
      <c r="D10" s="69" t="s">
        <v>10</v>
      </c>
      <c r="E10" s="69" t="s">
        <v>11</v>
      </c>
      <c r="F10" s="71">
        <v>28</v>
      </c>
    </row>
    <row r="11" spans="1:6" x14ac:dyDescent="0.25">
      <c r="A11" s="68" t="s">
        <v>301</v>
      </c>
      <c r="B11" s="69" t="s">
        <v>544</v>
      </c>
      <c r="C11" s="70" t="s">
        <v>13</v>
      </c>
      <c r="D11" s="69" t="s">
        <v>14</v>
      </c>
      <c r="E11" s="69" t="s">
        <v>11</v>
      </c>
      <c r="F11" s="71">
        <v>30</v>
      </c>
    </row>
    <row r="12" spans="1:6" x14ac:dyDescent="0.25">
      <c r="A12" s="68" t="s">
        <v>301</v>
      </c>
      <c r="B12" s="69" t="s">
        <v>547</v>
      </c>
      <c r="C12" s="70" t="s">
        <v>548</v>
      </c>
      <c r="D12" s="69" t="s">
        <v>18</v>
      </c>
      <c r="E12" s="69" t="s">
        <v>47</v>
      </c>
      <c r="F12" s="71">
        <v>23</v>
      </c>
    </row>
    <row r="13" spans="1:6" x14ac:dyDescent="0.25">
      <c r="A13" s="68" t="s">
        <v>301</v>
      </c>
      <c r="B13" s="69" t="s">
        <v>549</v>
      </c>
      <c r="C13" s="70" t="s">
        <v>46</v>
      </c>
      <c r="D13" s="69" t="s">
        <v>10</v>
      </c>
      <c r="E13" s="69" t="s">
        <v>11</v>
      </c>
      <c r="F13" s="71">
        <v>56</v>
      </c>
    </row>
    <row r="14" spans="1:6" x14ac:dyDescent="0.25">
      <c r="A14" s="68" t="s">
        <v>301</v>
      </c>
      <c r="B14" s="69" t="s">
        <v>551</v>
      </c>
      <c r="C14" s="70" t="s">
        <v>552</v>
      </c>
      <c r="D14" s="69" t="s">
        <v>14</v>
      </c>
      <c r="E14" s="69" t="s">
        <v>57</v>
      </c>
      <c r="F14" s="71">
        <v>10</v>
      </c>
    </row>
    <row r="15" spans="1:6" x14ac:dyDescent="0.25">
      <c r="A15" s="68" t="s">
        <v>301</v>
      </c>
      <c r="B15" s="69" t="s">
        <v>555</v>
      </c>
      <c r="C15" s="70" t="s">
        <v>382</v>
      </c>
      <c r="D15" s="69" t="s">
        <v>14</v>
      </c>
      <c r="E15" s="69" t="s">
        <v>57</v>
      </c>
      <c r="F15" s="71">
        <v>2</v>
      </c>
    </row>
    <row r="16" spans="1:6" x14ac:dyDescent="0.25">
      <c r="A16" s="68" t="s">
        <v>301</v>
      </c>
      <c r="B16" s="69" t="s">
        <v>558</v>
      </c>
      <c r="C16" s="70" t="s">
        <v>16</v>
      </c>
      <c r="D16" s="69" t="s">
        <v>10</v>
      </c>
      <c r="E16" s="69" t="s">
        <v>11</v>
      </c>
      <c r="F16" s="71">
        <v>45</v>
      </c>
    </row>
    <row r="17" spans="1:6" x14ac:dyDescent="0.25">
      <c r="A17" s="68" t="s">
        <v>301</v>
      </c>
      <c r="B17" s="69" t="s">
        <v>3465</v>
      </c>
      <c r="C17" s="70" t="s">
        <v>17</v>
      </c>
      <c r="D17" s="69" t="s">
        <v>18</v>
      </c>
      <c r="E17" s="69" t="s">
        <v>47</v>
      </c>
      <c r="F17" s="71">
        <v>25</v>
      </c>
    </row>
    <row r="18" spans="1:6" x14ac:dyDescent="0.25">
      <c r="A18" s="68" t="s">
        <v>301</v>
      </c>
      <c r="B18" s="69" t="s">
        <v>561</v>
      </c>
      <c r="C18" s="70" t="s">
        <v>384</v>
      </c>
      <c r="D18" s="69" t="s">
        <v>14</v>
      </c>
      <c r="E18" s="69" t="s">
        <v>47</v>
      </c>
      <c r="F18" s="71">
        <v>25</v>
      </c>
    </row>
    <row r="19" spans="1:6" x14ac:dyDescent="0.25">
      <c r="A19" s="68" t="s">
        <v>301</v>
      </c>
      <c r="B19" s="69" t="s">
        <v>562</v>
      </c>
      <c r="C19" s="70" t="s">
        <v>385</v>
      </c>
      <c r="D19" s="69" t="s">
        <v>14</v>
      </c>
      <c r="E19" s="69" t="s">
        <v>57</v>
      </c>
      <c r="F19" s="71">
        <v>4</v>
      </c>
    </row>
    <row r="20" spans="1:6" x14ac:dyDescent="0.25">
      <c r="A20" s="68" t="s">
        <v>301</v>
      </c>
      <c r="B20" s="69" t="s">
        <v>3466</v>
      </c>
      <c r="C20" s="70" t="s">
        <v>19</v>
      </c>
      <c r="D20" s="69" t="s">
        <v>10</v>
      </c>
      <c r="E20" s="69" t="s">
        <v>11</v>
      </c>
      <c r="F20" s="71">
        <v>33</v>
      </c>
    </row>
    <row r="21" spans="1:6" x14ac:dyDescent="0.25">
      <c r="A21" s="68" t="s">
        <v>301</v>
      </c>
      <c r="B21" s="69" t="s">
        <v>3478</v>
      </c>
      <c r="C21" s="70" t="s">
        <v>48</v>
      </c>
      <c r="D21" s="69" t="s">
        <v>10</v>
      </c>
      <c r="E21" s="69" t="s">
        <v>11</v>
      </c>
      <c r="F21" s="71">
        <v>41</v>
      </c>
    </row>
    <row r="22" spans="1:6" x14ac:dyDescent="0.25">
      <c r="A22" s="68" t="s">
        <v>301</v>
      </c>
      <c r="B22" s="69" t="s">
        <v>3599</v>
      </c>
      <c r="C22" s="70" t="s">
        <v>386</v>
      </c>
      <c r="D22" s="69" t="s">
        <v>10</v>
      </c>
      <c r="E22" s="69" t="s">
        <v>11</v>
      </c>
      <c r="F22" s="71">
        <v>42</v>
      </c>
    </row>
    <row r="23" spans="1:6" x14ac:dyDescent="0.25">
      <c r="A23" s="68" t="s">
        <v>301</v>
      </c>
      <c r="B23" s="69" t="s">
        <v>3600</v>
      </c>
      <c r="C23" s="70" t="s">
        <v>387</v>
      </c>
      <c r="D23" s="69" t="s">
        <v>10</v>
      </c>
      <c r="E23" s="69" t="s">
        <v>57</v>
      </c>
      <c r="F23" s="71">
        <v>7</v>
      </c>
    </row>
    <row r="24" spans="1:6" x14ac:dyDescent="0.25">
      <c r="A24" s="68" t="s">
        <v>301</v>
      </c>
      <c r="B24" s="69" t="s">
        <v>3713</v>
      </c>
      <c r="C24" s="70" t="s">
        <v>1919</v>
      </c>
      <c r="D24" s="69" t="s">
        <v>18</v>
      </c>
      <c r="E24" s="69" t="s">
        <v>57</v>
      </c>
      <c r="F24" s="71">
        <v>1</v>
      </c>
    </row>
    <row r="25" spans="1:6" x14ac:dyDescent="0.25">
      <c r="A25" s="68" t="s">
        <v>301</v>
      </c>
      <c r="B25" s="69" t="s">
        <v>3511</v>
      </c>
      <c r="C25" s="70" t="s">
        <v>130</v>
      </c>
      <c r="D25" s="69" t="s">
        <v>10</v>
      </c>
      <c r="E25" s="69" t="s">
        <v>57</v>
      </c>
      <c r="F25" s="71">
        <v>8</v>
      </c>
    </row>
    <row r="26" spans="1:6" x14ac:dyDescent="0.25">
      <c r="A26" s="68" t="s">
        <v>301</v>
      </c>
      <c r="B26" s="69" t="s">
        <v>563</v>
      </c>
      <c r="C26" s="70" t="s">
        <v>388</v>
      </c>
      <c r="D26" s="69" t="s">
        <v>14</v>
      </c>
      <c r="E26" s="69" t="s">
        <v>57</v>
      </c>
      <c r="F26" s="71">
        <v>7</v>
      </c>
    </row>
    <row r="27" spans="1:6" x14ac:dyDescent="0.25">
      <c r="A27" s="68" t="s">
        <v>301</v>
      </c>
      <c r="B27" s="69" t="s">
        <v>3714</v>
      </c>
      <c r="C27" s="70" t="s">
        <v>1924</v>
      </c>
      <c r="D27" s="69" t="s">
        <v>18</v>
      </c>
      <c r="E27" s="69" t="s">
        <v>57</v>
      </c>
      <c r="F27" s="71">
        <v>6</v>
      </c>
    </row>
    <row r="28" spans="1:6" x14ac:dyDescent="0.25">
      <c r="A28" s="68" t="s">
        <v>301</v>
      </c>
      <c r="B28" s="69" t="s">
        <v>3512</v>
      </c>
      <c r="C28" s="70" t="s">
        <v>131</v>
      </c>
      <c r="D28" s="69" t="s">
        <v>10</v>
      </c>
      <c r="E28" s="69" t="s">
        <v>11</v>
      </c>
      <c r="F28" s="71">
        <v>76</v>
      </c>
    </row>
    <row r="29" spans="1:6" x14ac:dyDescent="0.25">
      <c r="A29" s="68" t="s">
        <v>301</v>
      </c>
      <c r="B29" s="69" t="s">
        <v>3589</v>
      </c>
      <c r="C29" s="70" t="s">
        <v>389</v>
      </c>
      <c r="D29" s="69" t="s">
        <v>14</v>
      </c>
      <c r="E29" s="69" t="s">
        <v>11</v>
      </c>
      <c r="F29" s="71">
        <v>38</v>
      </c>
    </row>
    <row r="30" spans="1:6" x14ac:dyDescent="0.25">
      <c r="A30" s="68" t="s">
        <v>301</v>
      </c>
      <c r="B30" s="69" t="s">
        <v>3601</v>
      </c>
      <c r="C30" s="70" t="s">
        <v>390</v>
      </c>
      <c r="D30" s="69" t="s">
        <v>14</v>
      </c>
      <c r="E30" s="69" t="s">
        <v>57</v>
      </c>
      <c r="F30" s="71">
        <v>1</v>
      </c>
    </row>
    <row r="31" spans="1:6" x14ac:dyDescent="0.25">
      <c r="A31" s="68" t="s">
        <v>301</v>
      </c>
      <c r="B31" s="69" t="s">
        <v>3602</v>
      </c>
      <c r="C31" s="70" t="s">
        <v>391</v>
      </c>
      <c r="D31" s="69" t="s">
        <v>14</v>
      </c>
      <c r="E31" s="69" t="s">
        <v>57</v>
      </c>
      <c r="F31" s="71">
        <v>1</v>
      </c>
    </row>
    <row r="32" spans="1:6" x14ac:dyDescent="0.25">
      <c r="A32" s="68" t="s">
        <v>301</v>
      </c>
      <c r="B32" s="69" t="s">
        <v>606</v>
      </c>
      <c r="C32" s="70" t="s">
        <v>607</v>
      </c>
      <c r="D32" s="69" t="s">
        <v>10</v>
      </c>
      <c r="E32" s="69" t="s">
        <v>47</v>
      </c>
      <c r="F32" s="71">
        <v>16</v>
      </c>
    </row>
    <row r="33" spans="1:6" x14ac:dyDescent="0.25">
      <c r="A33" s="68" t="s">
        <v>301</v>
      </c>
      <c r="B33" s="69" t="s">
        <v>608</v>
      </c>
      <c r="C33" s="70" t="s">
        <v>609</v>
      </c>
      <c r="D33" s="69" t="s">
        <v>18</v>
      </c>
      <c r="E33" s="69" t="s">
        <v>57</v>
      </c>
      <c r="F33" s="71">
        <v>11</v>
      </c>
    </row>
    <row r="34" spans="1:6" x14ac:dyDescent="0.25">
      <c r="A34" s="68" t="s">
        <v>301</v>
      </c>
      <c r="B34" s="69" t="s">
        <v>610</v>
      </c>
      <c r="C34" s="70" t="s">
        <v>611</v>
      </c>
      <c r="D34" s="69" t="s">
        <v>18</v>
      </c>
      <c r="E34" s="69" t="s">
        <v>11</v>
      </c>
      <c r="F34" s="71">
        <v>56</v>
      </c>
    </row>
    <row r="35" spans="1:6" x14ac:dyDescent="0.25">
      <c r="A35" s="68" t="s">
        <v>301</v>
      </c>
      <c r="B35" s="69" t="s">
        <v>615</v>
      </c>
      <c r="C35" s="70" t="s">
        <v>616</v>
      </c>
      <c r="D35" s="69" t="s">
        <v>18</v>
      </c>
      <c r="E35" s="69" t="s">
        <v>57</v>
      </c>
      <c r="F35" s="71">
        <v>10</v>
      </c>
    </row>
    <row r="36" spans="1:6" x14ac:dyDescent="0.25">
      <c r="A36" s="68" t="s">
        <v>301</v>
      </c>
      <c r="B36" s="69" t="s">
        <v>617</v>
      </c>
      <c r="C36" s="70" t="s">
        <v>618</v>
      </c>
      <c r="D36" s="69" t="s">
        <v>18</v>
      </c>
      <c r="E36" s="69" t="s">
        <v>57</v>
      </c>
      <c r="F36" s="71">
        <v>1</v>
      </c>
    </row>
    <row r="37" spans="1:6" x14ac:dyDescent="0.25">
      <c r="A37" s="68" t="s">
        <v>301</v>
      </c>
      <c r="B37" s="69" t="s">
        <v>619</v>
      </c>
      <c r="C37" s="70" t="s">
        <v>620</v>
      </c>
      <c r="D37" s="69" t="s">
        <v>18</v>
      </c>
      <c r="E37" s="69" t="s">
        <v>57</v>
      </c>
      <c r="F37" s="71">
        <v>10</v>
      </c>
    </row>
    <row r="38" spans="1:6" x14ac:dyDescent="0.25">
      <c r="A38" s="68" t="s">
        <v>301</v>
      </c>
      <c r="B38" s="69" t="s">
        <v>621</v>
      </c>
      <c r="C38" s="70" t="s">
        <v>133</v>
      </c>
      <c r="D38" s="69" t="s">
        <v>18</v>
      </c>
      <c r="E38" s="69" t="s">
        <v>47</v>
      </c>
      <c r="F38" s="71">
        <v>20</v>
      </c>
    </row>
    <row r="39" spans="1:6" x14ac:dyDescent="0.25">
      <c r="A39" s="68" t="s">
        <v>301</v>
      </c>
      <c r="B39" s="69" t="s">
        <v>622</v>
      </c>
      <c r="C39" s="70" t="s">
        <v>20</v>
      </c>
      <c r="D39" s="69" t="s">
        <v>18</v>
      </c>
      <c r="E39" s="69" t="s">
        <v>11</v>
      </c>
      <c r="F39" s="71">
        <v>29</v>
      </c>
    </row>
    <row r="40" spans="1:6" x14ac:dyDescent="0.25">
      <c r="A40" s="68" t="s">
        <v>301</v>
      </c>
      <c r="B40" s="69" t="s">
        <v>623</v>
      </c>
      <c r="C40" s="70" t="s">
        <v>21</v>
      </c>
      <c r="D40" s="69" t="s">
        <v>18</v>
      </c>
      <c r="E40" s="69" t="s">
        <v>47</v>
      </c>
      <c r="F40" s="71">
        <v>22</v>
      </c>
    </row>
    <row r="41" spans="1:6" x14ac:dyDescent="0.25">
      <c r="A41" s="68" t="s">
        <v>301</v>
      </c>
      <c r="B41" s="69" t="s">
        <v>626</v>
      </c>
      <c r="C41" s="70" t="s">
        <v>135</v>
      </c>
      <c r="D41" s="69" t="s">
        <v>10</v>
      </c>
      <c r="E41" s="69" t="s">
        <v>11</v>
      </c>
      <c r="F41" s="71">
        <v>32</v>
      </c>
    </row>
    <row r="42" spans="1:6" x14ac:dyDescent="0.25">
      <c r="A42" s="68" t="s">
        <v>301</v>
      </c>
      <c r="B42" s="69" t="s">
        <v>627</v>
      </c>
      <c r="C42" s="70" t="s">
        <v>58</v>
      </c>
      <c r="D42" s="69" t="s">
        <v>59</v>
      </c>
      <c r="E42" s="69" t="s">
        <v>47</v>
      </c>
      <c r="F42" s="71">
        <v>11</v>
      </c>
    </row>
    <row r="43" spans="1:6" x14ac:dyDescent="0.25">
      <c r="A43" s="68" t="s">
        <v>301</v>
      </c>
      <c r="B43" s="69" t="s">
        <v>628</v>
      </c>
      <c r="C43" s="70" t="s">
        <v>629</v>
      </c>
      <c r="D43" s="69" t="s">
        <v>18</v>
      </c>
      <c r="E43" s="69" t="s">
        <v>47</v>
      </c>
      <c r="F43" s="71">
        <v>24</v>
      </c>
    </row>
    <row r="44" spans="1:6" x14ac:dyDescent="0.25">
      <c r="A44" s="68" t="s">
        <v>301</v>
      </c>
      <c r="B44" s="69" t="s">
        <v>630</v>
      </c>
      <c r="C44" s="70" t="s">
        <v>631</v>
      </c>
      <c r="D44" s="69" t="s">
        <v>18</v>
      </c>
      <c r="E44" s="69" t="s">
        <v>47</v>
      </c>
      <c r="F44" s="71">
        <v>12</v>
      </c>
    </row>
    <row r="45" spans="1:6" x14ac:dyDescent="0.25">
      <c r="A45" s="68" t="s">
        <v>301</v>
      </c>
      <c r="B45" s="69" t="s">
        <v>634</v>
      </c>
      <c r="C45" s="70" t="s">
        <v>136</v>
      </c>
      <c r="D45" s="69" t="s">
        <v>18</v>
      </c>
      <c r="E45" s="69" t="s">
        <v>11</v>
      </c>
      <c r="F45" s="71">
        <v>35</v>
      </c>
    </row>
    <row r="46" spans="1:6" x14ac:dyDescent="0.25">
      <c r="A46" s="68" t="s">
        <v>301</v>
      </c>
      <c r="B46" s="69" t="s">
        <v>635</v>
      </c>
      <c r="C46" s="70" t="s">
        <v>636</v>
      </c>
      <c r="D46" s="69" t="s">
        <v>10</v>
      </c>
      <c r="E46" s="69" t="s">
        <v>47</v>
      </c>
      <c r="F46" s="71">
        <v>16</v>
      </c>
    </row>
    <row r="47" spans="1:6" x14ac:dyDescent="0.25">
      <c r="A47" s="68" t="s">
        <v>301</v>
      </c>
      <c r="B47" s="69" t="s">
        <v>638</v>
      </c>
      <c r="C47" s="70" t="s">
        <v>60</v>
      </c>
      <c r="D47" s="69" t="s">
        <v>10</v>
      </c>
      <c r="E47" s="69" t="s">
        <v>47</v>
      </c>
      <c r="F47" s="71">
        <v>16</v>
      </c>
    </row>
    <row r="48" spans="1:6" x14ac:dyDescent="0.25">
      <c r="A48" s="68" t="s">
        <v>301</v>
      </c>
      <c r="B48" s="69" t="s">
        <v>639</v>
      </c>
      <c r="C48" s="70" t="s">
        <v>137</v>
      </c>
      <c r="D48" s="69" t="s">
        <v>18</v>
      </c>
      <c r="E48" s="69" t="s">
        <v>57</v>
      </c>
      <c r="F48" s="71">
        <v>4</v>
      </c>
    </row>
    <row r="49" spans="1:6" x14ac:dyDescent="0.25">
      <c r="A49" s="68" t="s">
        <v>301</v>
      </c>
      <c r="B49" s="69" t="s">
        <v>642</v>
      </c>
      <c r="C49" s="70" t="s">
        <v>643</v>
      </c>
      <c r="D49" s="69" t="s">
        <v>14</v>
      </c>
      <c r="E49" s="69" t="s">
        <v>11</v>
      </c>
      <c r="F49" s="71">
        <v>46</v>
      </c>
    </row>
    <row r="50" spans="1:6" x14ac:dyDescent="0.25">
      <c r="A50" s="68" t="s">
        <v>301</v>
      </c>
      <c r="B50" s="69" t="s">
        <v>3715</v>
      </c>
      <c r="C50" s="70" t="s">
        <v>2006</v>
      </c>
      <c r="D50" s="69" t="s">
        <v>10</v>
      </c>
      <c r="E50" s="69" t="s">
        <v>47</v>
      </c>
      <c r="F50" s="71">
        <v>23</v>
      </c>
    </row>
    <row r="51" spans="1:6" x14ac:dyDescent="0.25">
      <c r="A51" s="68" t="s">
        <v>301</v>
      </c>
      <c r="B51" s="69" t="s">
        <v>3470</v>
      </c>
      <c r="C51" s="70" t="s">
        <v>139</v>
      </c>
      <c r="D51" s="69" t="s">
        <v>18</v>
      </c>
      <c r="E51" s="69" t="s">
        <v>47</v>
      </c>
      <c r="F51" s="71">
        <v>19</v>
      </c>
    </row>
    <row r="52" spans="1:6" x14ac:dyDescent="0.25">
      <c r="A52" s="68" t="s">
        <v>301</v>
      </c>
      <c r="B52" s="69" t="s">
        <v>3469</v>
      </c>
      <c r="C52" s="70" t="s">
        <v>140</v>
      </c>
      <c r="D52" s="69" t="s">
        <v>10</v>
      </c>
      <c r="E52" s="69" t="s">
        <v>11</v>
      </c>
      <c r="F52" s="71">
        <v>35</v>
      </c>
    </row>
    <row r="53" spans="1:6" x14ac:dyDescent="0.25">
      <c r="A53" s="68" t="s">
        <v>301</v>
      </c>
      <c r="B53" s="69" t="s">
        <v>3604</v>
      </c>
      <c r="C53" s="70" t="s">
        <v>395</v>
      </c>
      <c r="D53" s="69" t="s">
        <v>14</v>
      </c>
      <c r="E53" s="69" t="s">
        <v>57</v>
      </c>
      <c r="F53" s="71">
        <v>7</v>
      </c>
    </row>
    <row r="54" spans="1:6" x14ac:dyDescent="0.25">
      <c r="A54" s="68" t="s">
        <v>301</v>
      </c>
      <c r="B54" s="69" t="s">
        <v>3606</v>
      </c>
      <c r="C54" s="70" t="s">
        <v>397</v>
      </c>
      <c r="D54" s="69" t="s">
        <v>14</v>
      </c>
      <c r="E54" s="69" t="s">
        <v>57</v>
      </c>
      <c r="F54" s="71">
        <v>8</v>
      </c>
    </row>
    <row r="55" spans="1:6" x14ac:dyDescent="0.25">
      <c r="A55" s="68" t="s">
        <v>301</v>
      </c>
      <c r="B55" s="69" t="s">
        <v>3607</v>
      </c>
      <c r="C55" s="70" t="s">
        <v>398</v>
      </c>
      <c r="D55" s="69" t="s">
        <v>10</v>
      </c>
      <c r="E55" s="69" t="s">
        <v>57</v>
      </c>
      <c r="F55" s="71">
        <v>9</v>
      </c>
    </row>
    <row r="56" spans="1:6" x14ac:dyDescent="0.25">
      <c r="A56" s="68" t="s">
        <v>301</v>
      </c>
      <c r="B56" s="69" t="s">
        <v>3716</v>
      </c>
      <c r="C56" s="70" t="s">
        <v>1792</v>
      </c>
      <c r="D56" s="69" t="s">
        <v>14</v>
      </c>
      <c r="E56" s="69" t="s">
        <v>57</v>
      </c>
      <c r="F56" s="71">
        <v>6</v>
      </c>
    </row>
    <row r="57" spans="1:6" x14ac:dyDescent="0.25">
      <c r="A57" s="68" t="s">
        <v>301</v>
      </c>
      <c r="B57" s="69" t="s">
        <v>3717</v>
      </c>
      <c r="C57" s="70" t="s">
        <v>2047</v>
      </c>
      <c r="D57" s="69" t="s">
        <v>10</v>
      </c>
      <c r="E57" s="69" t="s">
        <v>47</v>
      </c>
      <c r="F57" s="71">
        <v>14</v>
      </c>
    </row>
    <row r="58" spans="1:6" x14ac:dyDescent="0.25">
      <c r="A58" s="68" t="s">
        <v>301</v>
      </c>
      <c r="B58" s="69" t="s">
        <v>3702</v>
      </c>
      <c r="C58" s="70" t="s">
        <v>2048</v>
      </c>
      <c r="D58" s="69" t="s">
        <v>14</v>
      </c>
      <c r="E58" s="69" t="s">
        <v>57</v>
      </c>
      <c r="F58" s="71">
        <v>0</v>
      </c>
    </row>
    <row r="59" spans="1:6" x14ac:dyDescent="0.25">
      <c r="A59" s="68" t="s">
        <v>301</v>
      </c>
      <c r="B59" s="69" t="s">
        <v>3609</v>
      </c>
      <c r="C59" s="70" t="s">
        <v>400</v>
      </c>
      <c r="D59" s="69" t="s">
        <v>10</v>
      </c>
      <c r="E59" s="69" t="s">
        <v>47</v>
      </c>
      <c r="F59" s="71">
        <v>25</v>
      </c>
    </row>
    <row r="60" spans="1:6" x14ac:dyDescent="0.25">
      <c r="A60" s="68" t="s">
        <v>301</v>
      </c>
      <c r="B60" s="69" t="s">
        <v>3610</v>
      </c>
      <c r="C60" s="70" t="s">
        <v>401</v>
      </c>
      <c r="D60" s="69" t="s">
        <v>10</v>
      </c>
      <c r="E60" s="69" t="s">
        <v>47</v>
      </c>
      <c r="F60" s="71">
        <v>21</v>
      </c>
    </row>
    <row r="61" spans="1:6" x14ac:dyDescent="0.25">
      <c r="A61" s="68" t="s">
        <v>301</v>
      </c>
      <c r="B61" s="69" t="s">
        <v>3611</v>
      </c>
      <c r="C61" s="70" t="s">
        <v>402</v>
      </c>
      <c r="D61" s="69" t="s">
        <v>10</v>
      </c>
      <c r="E61" s="69" t="s">
        <v>11</v>
      </c>
      <c r="F61" s="71">
        <v>32</v>
      </c>
    </row>
    <row r="62" spans="1:6" x14ac:dyDescent="0.25">
      <c r="A62" s="68" t="s">
        <v>301</v>
      </c>
      <c r="B62" s="69" t="s">
        <v>3613</v>
      </c>
      <c r="C62" s="70" t="s">
        <v>404</v>
      </c>
      <c r="D62" s="69" t="s">
        <v>10</v>
      </c>
      <c r="E62" s="69" t="s">
        <v>11</v>
      </c>
      <c r="F62" s="71">
        <v>36</v>
      </c>
    </row>
    <row r="63" spans="1:6" x14ac:dyDescent="0.25">
      <c r="A63" s="68" t="s">
        <v>301</v>
      </c>
      <c r="B63" s="69" t="s">
        <v>3614</v>
      </c>
      <c r="C63" s="70" t="s">
        <v>405</v>
      </c>
      <c r="D63" s="69" t="s">
        <v>10</v>
      </c>
      <c r="E63" s="69" t="s">
        <v>11</v>
      </c>
      <c r="F63" s="71">
        <v>32</v>
      </c>
    </row>
    <row r="64" spans="1:6" x14ac:dyDescent="0.25">
      <c r="A64" s="68" t="s">
        <v>301</v>
      </c>
      <c r="B64" s="69" t="s">
        <v>3615</v>
      </c>
      <c r="C64" s="70" t="s">
        <v>406</v>
      </c>
      <c r="D64" s="69" t="s">
        <v>10</v>
      </c>
      <c r="E64" s="69" t="s">
        <v>11</v>
      </c>
      <c r="F64" s="71">
        <v>34</v>
      </c>
    </row>
    <row r="65" spans="1:6" x14ac:dyDescent="0.25">
      <c r="A65" s="68" t="s">
        <v>301</v>
      </c>
      <c r="B65" s="69" t="s">
        <v>3616</v>
      </c>
      <c r="C65" s="70" t="s">
        <v>407</v>
      </c>
      <c r="D65" s="69" t="s">
        <v>10</v>
      </c>
      <c r="E65" s="69" t="s">
        <v>11</v>
      </c>
      <c r="F65" s="71">
        <v>38</v>
      </c>
    </row>
    <row r="66" spans="1:6" x14ac:dyDescent="0.25">
      <c r="A66" s="68" t="s">
        <v>301</v>
      </c>
      <c r="B66" s="69" t="s">
        <v>3617</v>
      </c>
      <c r="C66" s="70" t="s">
        <v>408</v>
      </c>
      <c r="D66" s="69" t="s">
        <v>10</v>
      </c>
      <c r="E66" s="69" t="s">
        <v>11</v>
      </c>
      <c r="F66" s="71">
        <v>31</v>
      </c>
    </row>
    <row r="67" spans="1:6" x14ac:dyDescent="0.25">
      <c r="A67" s="68" t="s">
        <v>301</v>
      </c>
      <c r="B67" s="69" t="s">
        <v>3618</v>
      </c>
      <c r="C67" s="70" t="s">
        <v>409</v>
      </c>
      <c r="D67" s="69" t="s">
        <v>10</v>
      </c>
      <c r="E67" s="69" t="s">
        <v>11</v>
      </c>
      <c r="F67" s="71">
        <v>32</v>
      </c>
    </row>
    <row r="68" spans="1:6" x14ac:dyDescent="0.25">
      <c r="A68" s="68" t="s">
        <v>301</v>
      </c>
      <c r="B68" s="69" t="s">
        <v>3619</v>
      </c>
      <c r="C68" s="70" t="s">
        <v>410</v>
      </c>
      <c r="D68" s="69" t="s">
        <v>10</v>
      </c>
      <c r="E68" s="69" t="s">
        <v>11</v>
      </c>
      <c r="F68" s="71">
        <v>32</v>
      </c>
    </row>
    <row r="69" spans="1:6" x14ac:dyDescent="0.25">
      <c r="A69" s="68" t="s">
        <v>301</v>
      </c>
      <c r="B69" s="69" t="s">
        <v>3621</v>
      </c>
      <c r="C69" s="70" t="s">
        <v>416</v>
      </c>
      <c r="D69" s="69" t="s">
        <v>10</v>
      </c>
      <c r="E69" s="69" t="s">
        <v>11</v>
      </c>
      <c r="F69" s="71">
        <v>28</v>
      </c>
    </row>
    <row r="70" spans="1:6" x14ac:dyDescent="0.25">
      <c r="A70" s="68" t="s">
        <v>301</v>
      </c>
      <c r="B70" s="69" t="s">
        <v>3622</v>
      </c>
      <c r="C70" s="70" t="s">
        <v>417</v>
      </c>
      <c r="D70" s="69" t="s">
        <v>10</v>
      </c>
      <c r="E70" s="69" t="s">
        <v>47</v>
      </c>
      <c r="F70" s="71">
        <v>23</v>
      </c>
    </row>
    <row r="71" spans="1:6" x14ac:dyDescent="0.25">
      <c r="A71" s="68" t="s">
        <v>301</v>
      </c>
      <c r="B71" s="69" t="s">
        <v>3623</v>
      </c>
      <c r="C71" s="70" t="s">
        <v>418</v>
      </c>
      <c r="D71" s="69" t="s">
        <v>18</v>
      </c>
      <c r="E71" s="69" t="s">
        <v>47</v>
      </c>
      <c r="F71" s="71">
        <v>17</v>
      </c>
    </row>
    <row r="72" spans="1:6" x14ac:dyDescent="0.25">
      <c r="A72" s="68" t="s">
        <v>301</v>
      </c>
      <c r="B72" s="69" t="s">
        <v>3627</v>
      </c>
      <c r="C72" s="70" t="s">
        <v>421</v>
      </c>
      <c r="D72" s="69" t="s">
        <v>18</v>
      </c>
      <c r="E72" s="69" t="s">
        <v>11</v>
      </c>
      <c r="F72" s="71">
        <v>26</v>
      </c>
    </row>
    <row r="73" spans="1:6" x14ac:dyDescent="0.25">
      <c r="A73" s="68" t="s">
        <v>301</v>
      </c>
      <c r="B73" s="69" t="s">
        <v>3628</v>
      </c>
      <c r="C73" s="70" t="s">
        <v>422</v>
      </c>
      <c r="D73" s="69" t="s">
        <v>10</v>
      </c>
      <c r="E73" s="69" t="s">
        <v>11</v>
      </c>
      <c r="F73" s="71">
        <v>29</v>
      </c>
    </row>
    <row r="74" spans="1:6" x14ac:dyDescent="0.25">
      <c r="A74" s="68" t="s">
        <v>301</v>
      </c>
      <c r="B74" s="69" t="s">
        <v>689</v>
      </c>
      <c r="C74" s="70" t="s">
        <v>412</v>
      </c>
      <c r="D74" s="69" t="s">
        <v>10</v>
      </c>
      <c r="E74" s="69" t="s">
        <v>11</v>
      </c>
      <c r="F74" s="71">
        <v>48</v>
      </c>
    </row>
    <row r="75" spans="1:6" x14ac:dyDescent="0.25">
      <c r="A75" s="68" t="s">
        <v>301</v>
      </c>
      <c r="B75" s="69" t="s">
        <v>690</v>
      </c>
      <c r="C75" s="70" t="s">
        <v>413</v>
      </c>
      <c r="D75" s="69" t="s">
        <v>14</v>
      </c>
      <c r="E75" s="69" t="s">
        <v>47</v>
      </c>
      <c r="F75" s="71">
        <v>22</v>
      </c>
    </row>
    <row r="76" spans="1:6" x14ac:dyDescent="0.25">
      <c r="A76" s="68" t="s">
        <v>301</v>
      </c>
      <c r="B76" s="69" t="s">
        <v>695</v>
      </c>
      <c r="C76" s="70" t="s">
        <v>62</v>
      </c>
      <c r="D76" s="69" t="s">
        <v>10</v>
      </c>
      <c r="E76" s="69" t="s">
        <v>47</v>
      </c>
      <c r="F76" s="71">
        <v>21</v>
      </c>
    </row>
    <row r="77" spans="1:6" x14ac:dyDescent="0.25">
      <c r="A77" s="68" t="s">
        <v>301</v>
      </c>
      <c r="B77" s="69" t="s">
        <v>3704</v>
      </c>
      <c r="C77" s="70" t="s">
        <v>2060</v>
      </c>
      <c r="D77" s="69" t="s">
        <v>10</v>
      </c>
      <c r="E77" s="69" t="s">
        <v>11</v>
      </c>
      <c r="F77" s="71">
        <v>36</v>
      </c>
    </row>
    <row r="78" spans="1:6" x14ac:dyDescent="0.25">
      <c r="A78" s="68" t="s">
        <v>301</v>
      </c>
      <c r="B78" s="69" t="s">
        <v>697</v>
      </c>
      <c r="C78" s="70" t="s">
        <v>27</v>
      </c>
      <c r="D78" s="69" t="s">
        <v>10</v>
      </c>
      <c r="E78" s="69" t="s">
        <v>11</v>
      </c>
      <c r="F78" s="71">
        <v>68</v>
      </c>
    </row>
    <row r="79" spans="1:6" x14ac:dyDescent="0.25">
      <c r="A79" s="68" t="s">
        <v>301</v>
      </c>
      <c r="B79" s="69" t="s">
        <v>698</v>
      </c>
      <c r="C79" s="70" t="s">
        <v>426</v>
      </c>
      <c r="D79" s="69" t="s">
        <v>10</v>
      </c>
      <c r="E79" s="69" t="s">
        <v>47</v>
      </c>
      <c r="F79" s="71">
        <v>22</v>
      </c>
    </row>
    <row r="80" spans="1:6" x14ac:dyDescent="0.25">
      <c r="A80" s="68" t="s">
        <v>301</v>
      </c>
      <c r="B80" s="69" t="s">
        <v>699</v>
      </c>
      <c r="C80" s="70" t="s">
        <v>700</v>
      </c>
      <c r="D80" s="69" t="s">
        <v>10</v>
      </c>
      <c r="E80" s="69" t="s">
        <v>47</v>
      </c>
      <c r="F80" s="71">
        <v>22</v>
      </c>
    </row>
    <row r="81" spans="1:6" x14ac:dyDescent="0.25">
      <c r="A81" s="68" t="s">
        <v>301</v>
      </c>
      <c r="B81" s="69" t="s">
        <v>705</v>
      </c>
      <c r="C81" s="70" t="s">
        <v>427</v>
      </c>
      <c r="D81" s="69" t="s">
        <v>10</v>
      </c>
      <c r="E81" s="69" t="s">
        <v>11</v>
      </c>
      <c r="F81" s="71">
        <v>84</v>
      </c>
    </row>
    <row r="82" spans="1:6" x14ac:dyDescent="0.25">
      <c r="A82" s="68" t="s">
        <v>301</v>
      </c>
      <c r="B82" s="69" t="s">
        <v>706</v>
      </c>
      <c r="C82" s="70" t="s">
        <v>428</v>
      </c>
      <c r="D82" s="69" t="s">
        <v>10</v>
      </c>
      <c r="E82" s="69" t="s">
        <v>11</v>
      </c>
      <c r="F82" s="71">
        <v>87</v>
      </c>
    </row>
    <row r="83" spans="1:6" x14ac:dyDescent="0.25">
      <c r="A83" s="68" t="s">
        <v>301</v>
      </c>
      <c r="B83" s="69" t="s">
        <v>707</v>
      </c>
      <c r="C83" s="70" t="s">
        <v>429</v>
      </c>
      <c r="D83" s="69" t="s">
        <v>10</v>
      </c>
      <c r="E83" s="69" t="s">
        <v>11</v>
      </c>
      <c r="F83" s="71">
        <v>86</v>
      </c>
    </row>
    <row r="84" spans="1:6" x14ac:dyDescent="0.25">
      <c r="A84" s="68" t="s">
        <v>301</v>
      </c>
      <c r="B84" s="69" t="s">
        <v>708</v>
      </c>
      <c r="C84" s="70" t="s">
        <v>709</v>
      </c>
      <c r="D84" s="69" t="s">
        <v>14</v>
      </c>
      <c r="E84" s="69" t="s">
        <v>11</v>
      </c>
      <c r="F84" s="71">
        <v>29</v>
      </c>
    </row>
    <row r="85" spans="1:6" x14ac:dyDescent="0.25">
      <c r="A85" s="68" t="s">
        <v>301</v>
      </c>
      <c r="B85" s="69" t="s">
        <v>710</v>
      </c>
      <c r="C85" s="70" t="s">
        <v>430</v>
      </c>
      <c r="D85" s="69" t="s">
        <v>10</v>
      </c>
      <c r="E85" s="69" t="s">
        <v>11</v>
      </c>
      <c r="F85" s="71">
        <v>105</v>
      </c>
    </row>
    <row r="86" spans="1:6" x14ac:dyDescent="0.25">
      <c r="A86" s="68" t="s">
        <v>301</v>
      </c>
      <c r="B86" s="69" t="s">
        <v>712</v>
      </c>
      <c r="C86" s="70" t="s">
        <v>51</v>
      </c>
      <c r="D86" s="69" t="s">
        <v>14</v>
      </c>
      <c r="E86" s="69" t="s">
        <v>57</v>
      </c>
      <c r="F86" s="71">
        <v>1</v>
      </c>
    </row>
    <row r="87" spans="1:6" x14ac:dyDescent="0.25">
      <c r="A87" s="68" t="s">
        <v>301</v>
      </c>
      <c r="B87" s="69" t="s">
        <v>713</v>
      </c>
      <c r="C87" s="70" t="s">
        <v>28</v>
      </c>
      <c r="D87" s="69" t="s">
        <v>14</v>
      </c>
      <c r="E87" s="69" t="s">
        <v>57</v>
      </c>
      <c r="F87" s="71">
        <v>2</v>
      </c>
    </row>
    <row r="88" spans="1:6" x14ac:dyDescent="0.25">
      <c r="A88" s="68" t="s">
        <v>301</v>
      </c>
      <c r="B88" s="69" t="s">
        <v>718</v>
      </c>
      <c r="C88" s="70" t="s">
        <v>719</v>
      </c>
      <c r="D88" s="69" t="s">
        <v>14</v>
      </c>
      <c r="E88" s="69" t="s">
        <v>47</v>
      </c>
      <c r="F88" s="71">
        <v>23</v>
      </c>
    </row>
    <row r="89" spans="1:6" x14ac:dyDescent="0.25">
      <c r="A89" s="68" t="s">
        <v>301</v>
      </c>
      <c r="B89" s="69" t="s">
        <v>720</v>
      </c>
      <c r="C89" s="70" t="s">
        <v>432</v>
      </c>
      <c r="D89" s="69" t="s">
        <v>18</v>
      </c>
      <c r="E89" s="69" t="s">
        <v>47</v>
      </c>
      <c r="F89" s="71">
        <v>17</v>
      </c>
    </row>
    <row r="90" spans="1:6" x14ac:dyDescent="0.25">
      <c r="A90" s="68" t="s">
        <v>301</v>
      </c>
      <c r="B90" s="69" t="s">
        <v>3471</v>
      </c>
      <c r="C90" s="70" t="s">
        <v>30</v>
      </c>
      <c r="D90" s="69" t="s">
        <v>10</v>
      </c>
      <c r="E90" s="69" t="s">
        <v>11</v>
      </c>
      <c r="F90" s="71">
        <v>32</v>
      </c>
    </row>
    <row r="91" spans="1:6" x14ac:dyDescent="0.25">
      <c r="A91" s="68" t="s">
        <v>301</v>
      </c>
      <c r="B91" s="69" t="s">
        <v>3482</v>
      </c>
      <c r="C91" s="70" t="s">
        <v>63</v>
      </c>
      <c r="D91" s="69" t="s">
        <v>14</v>
      </c>
      <c r="E91" s="69" t="s">
        <v>47</v>
      </c>
      <c r="F91" s="71">
        <v>17</v>
      </c>
    </row>
    <row r="92" spans="1:6" x14ac:dyDescent="0.25">
      <c r="A92" s="68" t="s">
        <v>301</v>
      </c>
      <c r="B92" s="69" t="s">
        <v>3631</v>
      </c>
      <c r="C92" s="70" t="s">
        <v>433</v>
      </c>
      <c r="D92" s="69" t="s">
        <v>14</v>
      </c>
      <c r="E92" s="69" t="s">
        <v>57</v>
      </c>
      <c r="F92" s="71">
        <v>7</v>
      </c>
    </row>
    <row r="93" spans="1:6" x14ac:dyDescent="0.25">
      <c r="A93" s="68" t="s">
        <v>301</v>
      </c>
      <c r="B93" s="69" t="s">
        <v>721</v>
      </c>
      <c r="C93" s="70" t="s">
        <v>143</v>
      </c>
      <c r="D93" s="69" t="s">
        <v>18</v>
      </c>
      <c r="E93" s="69" t="s">
        <v>11</v>
      </c>
      <c r="F93" s="71">
        <v>45</v>
      </c>
    </row>
    <row r="94" spans="1:6" x14ac:dyDescent="0.25">
      <c r="A94" s="68" t="s">
        <v>301</v>
      </c>
      <c r="B94" s="69" t="s">
        <v>3472</v>
      </c>
      <c r="C94" s="70" t="s">
        <v>32</v>
      </c>
      <c r="D94" s="69" t="s">
        <v>10</v>
      </c>
      <c r="E94" s="69" t="s">
        <v>57</v>
      </c>
      <c r="F94" s="71">
        <v>6</v>
      </c>
    </row>
    <row r="95" spans="1:6" x14ac:dyDescent="0.25">
      <c r="A95" s="68" t="s">
        <v>301</v>
      </c>
      <c r="B95" s="69" t="s">
        <v>3632</v>
      </c>
      <c r="C95" s="70" t="s">
        <v>434</v>
      </c>
      <c r="D95" s="69" t="s">
        <v>10</v>
      </c>
      <c r="E95" s="69" t="s">
        <v>11</v>
      </c>
      <c r="F95" s="71">
        <v>63</v>
      </c>
    </row>
    <row r="96" spans="1:6" x14ac:dyDescent="0.25">
      <c r="A96" s="68" t="s">
        <v>301</v>
      </c>
      <c r="B96" s="69" t="s">
        <v>3633</v>
      </c>
      <c r="C96" s="70" t="s">
        <v>435</v>
      </c>
      <c r="D96" s="69" t="s">
        <v>10</v>
      </c>
      <c r="E96" s="69" t="s">
        <v>11</v>
      </c>
      <c r="F96" s="71">
        <v>75</v>
      </c>
    </row>
    <row r="97" spans="1:6" x14ac:dyDescent="0.25">
      <c r="A97" s="68" t="s">
        <v>301</v>
      </c>
      <c r="B97" s="69" t="s">
        <v>3634</v>
      </c>
      <c r="C97" s="70" t="s">
        <v>436</v>
      </c>
      <c r="D97" s="69" t="s">
        <v>10</v>
      </c>
      <c r="E97" s="69" t="s">
        <v>11</v>
      </c>
      <c r="F97" s="71">
        <v>81</v>
      </c>
    </row>
    <row r="98" spans="1:6" x14ac:dyDescent="0.25">
      <c r="A98" s="68" t="s">
        <v>301</v>
      </c>
      <c r="B98" s="69" t="s">
        <v>3636</v>
      </c>
      <c r="C98" s="70" t="s">
        <v>438</v>
      </c>
      <c r="D98" s="69" t="s">
        <v>18</v>
      </c>
      <c r="E98" s="69" t="s">
        <v>11</v>
      </c>
      <c r="F98" s="71">
        <v>43</v>
      </c>
    </row>
    <row r="99" spans="1:6" x14ac:dyDescent="0.25">
      <c r="A99" s="68" t="s">
        <v>301</v>
      </c>
      <c r="B99" s="69" t="s">
        <v>3483</v>
      </c>
      <c r="C99" s="70" t="s">
        <v>64</v>
      </c>
      <c r="D99" s="69" t="s">
        <v>14</v>
      </c>
      <c r="E99" s="69" t="s">
        <v>57</v>
      </c>
      <c r="F99" s="71">
        <v>1</v>
      </c>
    </row>
    <row r="100" spans="1:6" x14ac:dyDescent="0.25">
      <c r="A100" s="68" t="s">
        <v>301</v>
      </c>
      <c r="B100" s="69" t="s">
        <v>3480</v>
      </c>
      <c r="C100" s="70" t="s">
        <v>53</v>
      </c>
      <c r="D100" s="69" t="s">
        <v>14</v>
      </c>
      <c r="E100" s="69" t="s">
        <v>57</v>
      </c>
      <c r="F100" s="71">
        <v>3</v>
      </c>
    </row>
    <row r="101" spans="1:6" x14ac:dyDescent="0.25">
      <c r="A101" s="68" t="s">
        <v>301</v>
      </c>
      <c r="B101" s="69" t="s">
        <v>722</v>
      </c>
      <c r="C101" s="70" t="s">
        <v>33</v>
      </c>
      <c r="D101" s="69" t="s">
        <v>14</v>
      </c>
      <c r="E101" s="69" t="s">
        <v>11</v>
      </c>
      <c r="F101" s="71">
        <v>30</v>
      </c>
    </row>
    <row r="102" spans="1:6" x14ac:dyDescent="0.25">
      <c r="A102" s="68" t="s">
        <v>301</v>
      </c>
      <c r="B102" s="69" t="s">
        <v>3718</v>
      </c>
      <c r="C102" s="70" t="s">
        <v>2063</v>
      </c>
      <c r="D102" s="69" t="s">
        <v>101</v>
      </c>
      <c r="E102" s="69" t="s">
        <v>57</v>
      </c>
      <c r="F102" s="71">
        <v>1</v>
      </c>
    </row>
    <row r="103" spans="1:6" x14ac:dyDescent="0.25">
      <c r="A103" s="68" t="s">
        <v>301</v>
      </c>
      <c r="B103" s="69" t="s">
        <v>3719</v>
      </c>
      <c r="C103" s="70" t="s">
        <v>2064</v>
      </c>
      <c r="D103" s="69" t="s">
        <v>14</v>
      </c>
      <c r="E103" s="69" t="s">
        <v>57</v>
      </c>
      <c r="F103" s="71">
        <v>2</v>
      </c>
    </row>
    <row r="104" spans="1:6" x14ac:dyDescent="0.25">
      <c r="A104" s="68" t="s">
        <v>301</v>
      </c>
      <c r="B104" s="69" t="s">
        <v>3720</v>
      </c>
      <c r="C104" s="70" t="s">
        <v>2094</v>
      </c>
      <c r="D104" s="69" t="s">
        <v>3721</v>
      </c>
      <c r="E104" s="69" t="s">
        <v>57</v>
      </c>
      <c r="F104" s="71">
        <v>1</v>
      </c>
    </row>
    <row r="105" spans="1:6" x14ac:dyDescent="0.25">
      <c r="A105" s="68" t="s">
        <v>301</v>
      </c>
      <c r="B105" s="69" t="s">
        <v>3579</v>
      </c>
      <c r="C105" s="70" t="s">
        <v>272</v>
      </c>
      <c r="D105" s="69" t="s">
        <v>273</v>
      </c>
      <c r="E105" s="69" t="s">
        <v>11</v>
      </c>
      <c r="F105" s="71">
        <v>250</v>
      </c>
    </row>
    <row r="106" spans="1:6" x14ac:dyDescent="0.25">
      <c r="A106" s="68" t="s">
        <v>301</v>
      </c>
      <c r="B106" s="69" t="s">
        <v>3722</v>
      </c>
      <c r="C106" s="70" t="s">
        <v>1799</v>
      </c>
      <c r="D106" s="69" t="s">
        <v>10</v>
      </c>
      <c r="E106" s="69" t="s">
        <v>57</v>
      </c>
      <c r="F106" s="71">
        <v>2</v>
      </c>
    </row>
    <row r="107" spans="1:6" x14ac:dyDescent="0.25">
      <c r="A107" s="68" t="s">
        <v>301</v>
      </c>
      <c r="B107" s="69" t="s">
        <v>3723</v>
      </c>
      <c r="C107" s="70" t="s">
        <v>1800</v>
      </c>
      <c r="D107" s="69" t="s">
        <v>10</v>
      </c>
      <c r="E107" s="69" t="s">
        <v>57</v>
      </c>
      <c r="F107" s="71">
        <v>2</v>
      </c>
    </row>
    <row r="108" spans="1:6" x14ac:dyDescent="0.25">
      <c r="A108" s="68" t="s">
        <v>301</v>
      </c>
      <c r="B108" s="69" t="s">
        <v>3724</v>
      </c>
      <c r="C108" s="70" t="s">
        <v>2102</v>
      </c>
      <c r="D108" s="69" t="s">
        <v>10</v>
      </c>
      <c r="E108" s="69" t="s">
        <v>57</v>
      </c>
      <c r="F108" s="71">
        <v>2</v>
      </c>
    </row>
    <row r="109" spans="1:6" x14ac:dyDescent="0.25">
      <c r="A109" s="68" t="s">
        <v>301</v>
      </c>
      <c r="B109" s="69" t="s">
        <v>3725</v>
      </c>
      <c r="C109" s="70" t="s">
        <v>327</v>
      </c>
      <c r="D109" s="69" t="s">
        <v>10</v>
      </c>
      <c r="E109" s="69" t="s">
        <v>47</v>
      </c>
      <c r="F109" s="71">
        <v>22</v>
      </c>
    </row>
    <row r="110" spans="1:6" x14ac:dyDescent="0.25">
      <c r="A110" s="68" t="s">
        <v>301</v>
      </c>
      <c r="B110" s="69" t="s">
        <v>3515</v>
      </c>
      <c r="C110" s="70" t="s">
        <v>146</v>
      </c>
      <c r="D110" s="69" t="s">
        <v>14</v>
      </c>
      <c r="E110" s="69" t="s">
        <v>11</v>
      </c>
      <c r="F110" s="71">
        <v>28</v>
      </c>
    </row>
    <row r="111" spans="1:6" x14ac:dyDescent="0.25">
      <c r="A111" s="68" t="s">
        <v>301</v>
      </c>
      <c r="B111" s="69" t="s">
        <v>3638</v>
      </c>
      <c r="C111" s="70" t="s">
        <v>442</v>
      </c>
      <c r="D111" s="69" t="s">
        <v>14</v>
      </c>
      <c r="E111" s="69" t="s">
        <v>47</v>
      </c>
      <c r="F111" s="71">
        <v>16</v>
      </c>
    </row>
    <row r="112" spans="1:6" x14ac:dyDescent="0.25">
      <c r="A112" s="68" t="s">
        <v>301</v>
      </c>
      <c r="B112" s="69" t="s">
        <v>750</v>
      </c>
      <c r="C112" s="70" t="s">
        <v>148</v>
      </c>
      <c r="D112" s="69" t="s">
        <v>14</v>
      </c>
      <c r="E112" s="69" t="s">
        <v>47</v>
      </c>
      <c r="F112" s="71">
        <v>22</v>
      </c>
    </row>
    <row r="113" spans="1:6" x14ac:dyDescent="0.25">
      <c r="A113" s="68" t="s">
        <v>301</v>
      </c>
      <c r="B113" s="69" t="s">
        <v>751</v>
      </c>
      <c r="C113" s="70" t="s">
        <v>149</v>
      </c>
      <c r="D113" s="69" t="s">
        <v>14</v>
      </c>
      <c r="E113" s="69" t="s">
        <v>11</v>
      </c>
      <c r="F113" s="71">
        <v>55</v>
      </c>
    </row>
    <row r="114" spans="1:6" x14ac:dyDescent="0.25">
      <c r="A114" s="68" t="s">
        <v>301</v>
      </c>
      <c r="B114" s="69" t="s">
        <v>3726</v>
      </c>
      <c r="C114" s="70" t="s">
        <v>2129</v>
      </c>
      <c r="D114" s="69" t="s">
        <v>14</v>
      </c>
      <c r="E114" s="69" t="s">
        <v>57</v>
      </c>
      <c r="F114" s="71">
        <v>4</v>
      </c>
    </row>
    <row r="115" spans="1:6" x14ac:dyDescent="0.25">
      <c r="A115" s="68" t="s">
        <v>301</v>
      </c>
      <c r="B115" s="69" t="s">
        <v>3640</v>
      </c>
      <c r="C115" s="70" t="s">
        <v>445</v>
      </c>
      <c r="D115" s="69" t="s">
        <v>10</v>
      </c>
      <c r="E115" s="69" t="s">
        <v>47</v>
      </c>
      <c r="F115" s="71">
        <v>16</v>
      </c>
    </row>
    <row r="116" spans="1:6" x14ac:dyDescent="0.25">
      <c r="A116" s="68" t="s">
        <v>301</v>
      </c>
      <c r="B116" s="69" t="s">
        <v>3727</v>
      </c>
      <c r="C116" s="70" t="s">
        <v>2409</v>
      </c>
      <c r="D116" s="69" t="s">
        <v>10</v>
      </c>
      <c r="E116" s="69" t="s">
        <v>57</v>
      </c>
      <c r="F116" s="71">
        <v>6</v>
      </c>
    </row>
    <row r="117" spans="1:6" x14ac:dyDescent="0.25">
      <c r="A117" s="68" t="s">
        <v>301</v>
      </c>
      <c r="B117" s="69" t="s">
        <v>1077</v>
      </c>
      <c r="C117" s="70" t="s">
        <v>34</v>
      </c>
      <c r="D117" s="69" t="s">
        <v>18</v>
      </c>
      <c r="E117" s="69" t="s">
        <v>11</v>
      </c>
      <c r="F117" s="71">
        <v>28</v>
      </c>
    </row>
    <row r="118" spans="1:6" x14ac:dyDescent="0.25">
      <c r="A118" s="68" t="s">
        <v>301</v>
      </c>
      <c r="B118" s="69" t="s">
        <v>1078</v>
      </c>
      <c r="C118" s="70" t="s">
        <v>449</v>
      </c>
      <c r="D118" s="69" t="s">
        <v>14</v>
      </c>
      <c r="E118" s="69" t="s">
        <v>57</v>
      </c>
      <c r="F118" s="71">
        <v>1</v>
      </c>
    </row>
    <row r="119" spans="1:6" x14ac:dyDescent="0.25">
      <c r="A119" s="68" t="s">
        <v>301</v>
      </c>
      <c r="B119" s="69" t="s">
        <v>1079</v>
      </c>
      <c r="C119" s="70" t="s">
        <v>1080</v>
      </c>
      <c r="D119" s="69" t="s">
        <v>18</v>
      </c>
      <c r="E119" s="69" t="s">
        <v>57</v>
      </c>
      <c r="F119" s="71">
        <v>2</v>
      </c>
    </row>
    <row r="120" spans="1:6" x14ac:dyDescent="0.25">
      <c r="A120" s="68" t="s">
        <v>301</v>
      </c>
      <c r="B120" s="69" t="s">
        <v>1082</v>
      </c>
      <c r="C120" s="70" t="s">
        <v>150</v>
      </c>
      <c r="D120" s="69" t="s">
        <v>14</v>
      </c>
      <c r="E120" s="69" t="s">
        <v>11</v>
      </c>
      <c r="F120" s="71">
        <v>31</v>
      </c>
    </row>
    <row r="121" spans="1:6" x14ac:dyDescent="0.25">
      <c r="A121" s="68" t="s">
        <v>301</v>
      </c>
      <c r="B121" s="69" t="s">
        <v>3728</v>
      </c>
      <c r="C121" s="70" t="s">
        <v>1801</v>
      </c>
      <c r="D121" s="69" t="s">
        <v>18</v>
      </c>
      <c r="E121" s="69" t="s">
        <v>57</v>
      </c>
      <c r="F121" s="71">
        <v>11</v>
      </c>
    </row>
    <row r="122" spans="1:6" x14ac:dyDescent="0.25">
      <c r="A122" s="68" t="s">
        <v>301</v>
      </c>
      <c r="B122" s="69" t="s">
        <v>3729</v>
      </c>
      <c r="C122" s="70" t="s">
        <v>2423</v>
      </c>
      <c r="D122" s="69" t="s">
        <v>10</v>
      </c>
      <c r="E122" s="69" t="s">
        <v>57</v>
      </c>
      <c r="F122" s="71">
        <v>0</v>
      </c>
    </row>
    <row r="123" spans="1:6" x14ac:dyDescent="0.25">
      <c r="A123" s="68" t="s">
        <v>301</v>
      </c>
      <c r="B123" s="69" t="s">
        <v>3730</v>
      </c>
      <c r="C123" s="70" t="s">
        <v>2425</v>
      </c>
      <c r="D123" s="69" t="s">
        <v>18</v>
      </c>
      <c r="E123" s="69" t="s">
        <v>57</v>
      </c>
      <c r="F123" s="71">
        <v>6</v>
      </c>
    </row>
    <row r="124" spans="1:6" x14ac:dyDescent="0.25">
      <c r="A124" s="68" t="s">
        <v>301</v>
      </c>
      <c r="B124" s="69" t="s">
        <v>3516</v>
      </c>
      <c r="C124" s="70" t="s">
        <v>151</v>
      </c>
      <c r="D124" s="69" t="s">
        <v>10</v>
      </c>
      <c r="E124" s="69" t="s">
        <v>11</v>
      </c>
      <c r="F124" s="71">
        <v>60</v>
      </c>
    </row>
    <row r="125" spans="1:6" x14ac:dyDescent="0.25">
      <c r="A125" s="68" t="s">
        <v>301</v>
      </c>
      <c r="B125" s="69" t="s">
        <v>3731</v>
      </c>
      <c r="C125" s="70" t="s">
        <v>1802</v>
      </c>
      <c r="D125" s="69" t="s">
        <v>10</v>
      </c>
      <c r="E125" s="69" t="s">
        <v>47</v>
      </c>
      <c r="F125" s="71">
        <v>20</v>
      </c>
    </row>
    <row r="126" spans="1:6" x14ac:dyDescent="0.25">
      <c r="A126" s="68" t="s">
        <v>301</v>
      </c>
      <c r="B126" s="69" t="s">
        <v>3473</v>
      </c>
      <c r="C126" s="70" t="s">
        <v>35</v>
      </c>
      <c r="D126" s="69" t="s">
        <v>10</v>
      </c>
      <c r="E126" s="69" t="s">
        <v>47</v>
      </c>
      <c r="F126" s="71">
        <v>24</v>
      </c>
    </row>
    <row r="127" spans="1:6" x14ac:dyDescent="0.25">
      <c r="A127" s="68" t="s">
        <v>301</v>
      </c>
      <c r="B127" s="69" t="s">
        <v>3474</v>
      </c>
      <c r="C127" s="70" t="s">
        <v>36</v>
      </c>
      <c r="D127" s="69" t="s">
        <v>14</v>
      </c>
      <c r="E127" s="69" t="s">
        <v>47</v>
      </c>
      <c r="F127" s="71">
        <v>20</v>
      </c>
    </row>
    <row r="128" spans="1:6" x14ac:dyDescent="0.25">
      <c r="A128" s="68" t="s">
        <v>301</v>
      </c>
      <c r="B128" s="69" t="s">
        <v>3646</v>
      </c>
      <c r="C128" s="70" t="s">
        <v>453</v>
      </c>
      <c r="D128" s="69" t="s">
        <v>14</v>
      </c>
      <c r="E128" s="69" t="s">
        <v>57</v>
      </c>
      <c r="F128" s="71">
        <v>8</v>
      </c>
    </row>
    <row r="129" spans="1:6" x14ac:dyDescent="0.25">
      <c r="A129" s="68" t="s">
        <v>301</v>
      </c>
      <c r="B129" s="69" t="s">
        <v>3475</v>
      </c>
      <c r="C129" s="70" t="s">
        <v>37</v>
      </c>
      <c r="D129" s="69" t="s">
        <v>14</v>
      </c>
      <c r="E129" s="69" t="s">
        <v>11</v>
      </c>
      <c r="F129" s="71">
        <v>35</v>
      </c>
    </row>
    <row r="130" spans="1:6" x14ac:dyDescent="0.25">
      <c r="A130" s="68" t="s">
        <v>301</v>
      </c>
      <c r="B130" s="69" t="s">
        <v>3733</v>
      </c>
      <c r="C130" s="70" t="s">
        <v>2446</v>
      </c>
      <c r="D130" s="69" t="s">
        <v>10</v>
      </c>
      <c r="E130" s="69" t="s">
        <v>57</v>
      </c>
      <c r="F130" s="71">
        <v>2</v>
      </c>
    </row>
    <row r="131" spans="1:6" x14ac:dyDescent="0.25">
      <c r="A131" s="68" t="s">
        <v>301</v>
      </c>
      <c r="B131" s="69" t="s">
        <v>3732</v>
      </c>
      <c r="C131" s="70" t="s">
        <v>2446</v>
      </c>
      <c r="D131" s="69" t="s">
        <v>14</v>
      </c>
      <c r="E131" s="69" t="s">
        <v>47</v>
      </c>
      <c r="F131" s="71">
        <v>24</v>
      </c>
    </row>
    <row r="132" spans="1:6" x14ac:dyDescent="0.25">
      <c r="A132" s="68" t="s">
        <v>301</v>
      </c>
      <c r="B132" s="69" t="s">
        <v>3734</v>
      </c>
      <c r="C132" s="70" t="s">
        <v>2447</v>
      </c>
      <c r="D132" s="69" t="s">
        <v>183</v>
      </c>
      <c r="E132" s="69" t="s">
        <v>57</v>
      </c>
      <c r="F132" s="71">
        <v>3</v>
      </c>
    </row>
    <row r="133" spans="1:6" x14ac:dyDescent="0.25">
      <c r="A133" s="68" t="s">
        <v>301</v>
      </c>
      <c r="B133" s="69" t="s">
        <v>3647</v>
      </c>
      <c r="C133" s="70" t="s">
        <v>454</v>
      </c>
      <c r="D133" s="69" t="s">
        <v>14</v>
      </c>
      <c r="E133" s="69" t="s">
        <v>57</v>
      </c>
      <c r="F133" s="71">
        <v>1</v>
      </c>
    </row>
    <row r="134" spans="1:6" x14ac:dyDescent="0.25">
      <c r="A134" s="68" t="s">
        <v>301</v>
      </c>
      <c r="B134" s="69" t="s">
        <v>1114</v>
      </c>
      <c r="C134" s="70" t="s">
        <v>38</v>
      </c>
      <c r="D134" s="69" t="s">
        <v>14</v>
      </c>
      <c r="E134" s="69" t="s">
        <v>11</v>
      </c>
      <c r="F134" s="71">
        <v>39</v>
      </c>
    </row>
    <row r="135" spans="1:6" x14ac:dyDescent="0.25">
      <c r="A135" s="68" t="s">
        <v>301</v>
      </c>
      <c r="B135" s="69" t="s">
        <v>3648</v>
      </c>
      <c r="C135" s="70" t="s">
        <v>456</v>
      </c>
      <c r="D135" s="69" t="s">
        <v>14</v>
      </c>
      <c r="E135" s="69" t="s">
        <v>11</v>
      </c>
      <c r="F135" s="71">
        <v>35</v>
      </c>
    </row>
    <row r="136" spans="1:6" x14ac:dyDescent="0.25">
      <c r="A136" s="68" t="s">
        <v>301</v>
      </c>
      <c r="B136" s="69" t="s">
        <v>3692</v>
      </c>
      <c r="C136" s="70" t="s">
        <v>523</v>
      </c>
      <c r="D136" s="69" t="s">
        <v>14</v>
      </c>
      <c r="E136" s="69" t="s">
        <v>11</v>
      </c>
      <c r="F136" s="71">
        <v>26</v>
      </c>
    </row>
    <row r="137" spans="1:6" x14ac:dyDescent="0.25">
      <c r="A137" s="68" t="s">
        <v>301</v>
      </c>
      <c r="B137" s="69" t="s">
        <v>1124</v>
      </c>
      <c r="C137" s="70" t="s">
        <v>1125</v>
      </c>
      <c r="D137" s="69" t="s">
        <v>18</v>
      </c>
      <c r="E137" s="69" t="s">
        <v>57</v>
      </c>
      <c r="F137" s="71">
        <v>1</v>
      </c>
    </row>
    <row r="138" spans="1:6" x14ac:dyDescent="0.25">
      <c r="A138" s="68" t="s">
        <v>301</v>
      </c>
      <c r="B138" s="69" t="s">
        <v>1127</v>
      </c>
      <c r="C138" s="70" t="s">
        <v>457</v>
      </c>
      <c r="D138" s="69" t="s">
        <v>14</v>
      </c>
      <c r="E138" s="69" t="s">
        <v>57</v>
      </c>
      <c r="F138" s="71">
        <v>2</v>
      </c>
    </row>
    <row r="139" spans="1:6" x14ac:dyDescent="0.25">
      <c r="A139" s="68" t="s">
        <v>301</v>
      </c>
      <c r="B139" s="69" t="s">
        <v>3649</v>
      </c>
      <c r="C139" s="70" t="s">
        <v>458</v>
      </c>
      <c r="D139" s="69" t="s">
        <v>14</v>
      </c>
      <c r="E139" s="69" t="s">
        <v>57</v>
      </c>
      <c r="F139" s="71">
        <v>1</v>
      </c>
    </row>
    <row r="140" spans="1:6" x14ac:dyDescent="0.25">
      <c r="A140" s="68" t="s">
        <v>301</v>
      </c>
      <c r="B140" s="69" t="s">
        <v>3650</v>
      </c>
      <c r="C140" s="70" t="s">
        <v>459</v>
      </c>
      <c r="D140" s="69" t="s">
        <v>14</v>
      </c>
      <c r="E140" s="69" t="s">
        <v>57</v>
      </c>
      <c r="F140" s="71">
        <v>2</v>
      </c>
    </row>
    <row r="141" spans="1:6" x14ac:dyDescent="0.25">
      <c r="A141" s="68" t="s">
        <v>301</v>
      </c>
      <c r="B141" s="69" t="s">
        <v>3652</v>
      </c>
      <c r="C141" s="70" t="s">
        <v>1785</v>
      </c>
      <c r="D141" s="69" t="s">
        <v>10</v>
      </c>
      <c r="E141" s="69" t="s">
        <v>57</v>
      </c>
      <c r="F141" s="71">
        <v>3</v>
      </c>
    </row>
    <row r="142" spans="1:6" x14ac:dyDescent="0.25">
      <c r="A142" s="68" t="s">
        <v>301</v>
      </c>
      <c r="B142" s="69" t="s">
        <v>3530</v>
      </c>
      <c r="C142" s="70" t="s">
        <v>205</v>
      </c>
      <c r="D142" s="69" t="s">
        <v>14</v>
      </c>
      <c r="E142" s="69" t="s">
        <v>57</v>
      </c>
      <c r="F142" s="71">
        <v>3</v>
      </c>
    </row>
    <row r="143" spans="1:6" x14ac:dyDescent="0.25">
      <c r="A143" s="68" t="s">
        <v>301</v>
      </c>
      <c r="B143" s="69" t="s">
        <v>3735</v>
      </c>
      <c r="C143" s="70" t="s">
        <v>2457</v>
      </c>
      <c r="D143" s="69" t="s">
        <v>14</v>
      </c>
      <c r="E143" s="69" t="s">
        <v>57</v>
      </c>
      <c r="F143" s="71">
        <v>8</v>
      </c>
    </row>
    <row r="144" spans="1:6" x14ac:dyDescent="0.25">
      <c r="A144" s="68" t="s">
        <v>301</v>
      </c>
      <c r="B144" s="69" t="s">
        <v>1128</v>
      </c>
      <c r="C144" s="70" t="s">
        <v>40</v>
      </c>
      <c r="D144" s="69" t="s">
        <v>18</v>
      </c>
      <c r="E144" s="69" t="s">
        <v>11</v>
      </c>
      <c r="F144" s="71">
        <v>29</v>
      </c>
    </row>
    <row r="145" spans="1:6" x14ac:dyDescent="0.25">
      <c r="A145" s="68" t="s">
        <v>301</v>
      </c>
      <c r="B145" s="69" t="s">
        <v>3736</v>
      </c>
      <c r="C145" s="70" t="s">
        <v>2464</v>
      </c>
      <c r="D145" s="69" t="s">
        <v>14</v>
      </c>
      <c r="E145" s="69" t="s">
        <v>47</v>
      </c>
      <c r="F145" s="71">
        <v>15</v>
      </c>
    </row>
    <row r="146" spans="1:6" x14ac:dyDescent="0.25">
      <c r="A146" s="68" t="s">
        <v>301</v>
      </c>
      <c r="B146" s="69" t="s">
        <v>1129</v>
      </c>
      <c r="C146" s="70" t="s">
        <v>154</v>
      </c>
      <c r="D146" s="69" t="s">
        <v>14</v>
      </c>
      <c r="E146" s="69" t="s">
        <v>57</v>
      </c>
      <c r="F146" s="71">
        <v>1</v>
      </c>
    </row>
    <row r="147" spans="1:6" x14ac:dyDescent="0.25">
      <c r="A147" s="68" t="s">
        <v>301</v>
      </c>
      <c r="B147" s="69" t="s">
        <v>1130</v>
      </c>
      <c r="C147" s="70" t="s">
        <v>1131</v>
      </c>
      <c r="D147" s="69" t="s">
        <v>157</v>
      </c>
      <c r="E147" s="69" t="s">
        <v>47</v>
      </c>
      <c r="F147" s="71">
        <v>12</v>
      </c>
    </row>
    <row r="148" spans="1:6" x14ac:dyDescent="0.25">
      <c r="A148" s="68" t="s">
        <v>301</v>
      </c>
      <c r="B148" s="69" t="s">
        <v>1132</v>
      </c>
      <c r="C148" s="70" t="s">
        <v>462</v>
      </c>
      <c r="D148" s="69" t="s">
        <v>463</v>
      </c>
      <c r="E148" s="69" t="s">
        <v>11</v>
      </c>
      <c r="F148" s="71">
        <v>36</v>
      </c>
    </row>
    <row r="149" spans="1:6" x14ac:dyDescent="0.25">
      <c r="A149" s="68" t="s">
        <v>301</v>
      </c>
      <c r="B149" s="69" t="s">
        <v>1133</v>
      </c>
      <c r="C149" s="70" t="s">
        <v>155</v>
      </c>
      <c r="D149" s="69" t="s">
        <v>14</v>
      </c>
      <c r="E149" s="69" t="s">
        <v>57</v>
      </c>
      <c r="F149" s="71">
        <v>6</v>
      </c>
    </row>
    <row r="150" spans="1:6" x14ac:dyDescent="0.25">
      <c r="A150" s="68" t="s">
        <v>301</v>
      </c>
      <c r="B150" s="69" t="s">
        <v>3737</v>
      </c>
      <c r="C150" s="70" t="s">
        <v>1809</v>
      </c>
      <c r="D150" s="69" t="s">
        <v>10</v>
      </c>
      <c r="E150" s="69" t="s">
        <v>57</v>
      </c>
      <c r="F150" s="71">
        <v>2</v>
      </c>
    </row>
    <row r="151" spans="1:6" x14ac:dyDescent="0.25">
      <c r="A151" s="68" t="s">
        <v>301</v>
      </c>
      <c r="B151" s="69" t="s">
        <v>3738</v>
      </c>
      <c r="C151" s="70" t="s">
        <v>2467</v>
      </c>
      <c r="D151" s="69" t="s">
        <v>10</v>
      </c>
      <c r="E151" s="69" t="s">
        <v>57</v>
      </c>
      <c r="F151" s="71">
        <v>2</v>
      </c>
    </row>
    <row r="152" spans="1:6" x14ac:dyDescent="0.25">
      <c r="A152" s="68" t="s">
        <v>301</v>
      </c>
      <c r="B152" s="69" t="s">
        <v>3739</v>
      </c>
      <c r="C152" s="70" t="s">
        <v>1810</v>
      </c>
      <c r="D152" s="69" t="s">
        <v>10</v>
      </c>
      <c r="E152" s="69" t="s">
        <v>57</v>
      </c>
      <c r="F152" s="71">
        <v>2</v>
      </c>
    </row>
    <row r="153" spans="1:6" x14ac:dyDescent="0.25">
      <c r="A153" s="68" t="s">
        <v>301</v>
      </c>
      <c r="B153" s="69" t="s">
        <v>3740</v>
      </c>
      <c r="C153" s="70" t="s">
        <v>1786</v>
      </c>
      <c r="D153" s="69" t="s">
        <v>10</v>
      </c>
      <c r="E153" s="69" t="s">
        <v>47</v>
      </c>
      <c r="F153" s="71">
        <v>24</v>
      </c>
    </row>
    <row r="154" spans="1:6" x14ac:dyDescent="0.25">
      <c r="A154" s="68" t="s">
        <v>301</v>
      </c>
      <c r="B154" s="69" t="s">
        <v>3741</v>
      </c>
      <c r="C154" s="70" t="s">
        <v>1811</v>
      </c>
      <c r="D154" s="69" t="s">
        <v>18</v>
      </c>
      <c r="E154" s="69" t="s">
        <v>47</v>
      </c>
      <c r="F154" s="71">
        <v>15</v>
      </c>
    </row>
    <row r="155" spans="1:6" x14ac:dyDescent="0.25">
      <c r="A155" s="68" t="s">
        <v>301</v>
      </c>
      <c r="B155" s="69" t="s">
        <v>1139</v>
      </c>
      <c r="C155" s="70" t="s">
        <v>1140</v>
      </c>
      <c r="D155" s="69" t="s">
        <v>10</v>
      </c>
      <c r="E155" s="69" t="s">
        <v>11</v>
      </c>
      <c r="F155" s="71">
        <v>67</v>
      </c>
    </row>
    <row r="156" spans="1:6" x14ac:dyDescent="0.25">
      <c r="A156" s="68" t="s">
        <v>301</v>
      </c>
      <c r="B156" s="69" t="s">
        <v>3742</v>
      </c>
      <c r="C156" s="70" t="s">
        <v>2486</v>
      </c>
      <c r="D156" s="69" t="s">
        <v>10</v>
      </c>
      <c r="E156" s="69" t="s">
        <v>47</v>
      </c>
      <c r="F156" s="71">
        <v>18</v>
      </c>
    </row>
    <row r="157" spans="1:6" x14ac:dyDescent="0.25">
      <c r="A157" s="68" t="s">
        <v>301</v>
      </c>
      <c r="B157" s="69" t="s">
        <v>1143</v>
      </c>
      <c r="C157" s="70" t="s">
        <v>54</v>
      </c>
      <c r="D157" s="69" t="s">
        <v>14</v>
      </c>
      <c r="E157" s="69" t="s">
        <v>11</v>
      </c>
      <c r="F157" s="71">
        <v>31</v>
      </c>
    </row>
    <row r="158" spans="1:6" x14ac:dyDescent="0.25">
      <c r="A158" s="68" t="s">
        <v>301</v>
      </c>
      <c r="B158" s="69" t="s">
        <v>1145</v>
      </c>
      <c r="C158" s="70" t="s">
        <v>1146</v>
      </c>
      <c r="D158" s="69" t="s">
        <v>18</v>
      </c>
      <c r="E158" s="69" t="s">
        <v>11</v>
      </c>
      <c r="F158" s="71">
        <v>29</v>
      </c>
    </row>
    <row r="159" spans="1:6" x14ac:dyDescent="0.25">
      <c r="A159" s="68" t="s">
        <v>301</v>
      </c>
      <c r="B159" s="69" t="s">
        <v>1149</v>
      </c>
      <c r="C159" s="70" t="s">
        <v>41</v>
      </c>
      <c r="D159" s="69" t="s">
        <v>10</v>
      </c>
      <c r="E159" s="69" t="s">
        <v>11</v>
      </c>
      <c r="F159" s="71">
        <v>26</v>
      </c>
    </row>
    <row r="160" spans="1:6" x14ac:dyDescent="0.25">
      <c r="A160" s="68" t="s">
        <v>301</v>
      </c>
      <c r="B160" s="69" t="s">
        <v>3654</v>
      </c>
      <c r="C160" s="70" t="s">
        <v>466</v>
      </c>
      <c r="D160" s="69" t="s">
        <v>467</v>
      </c>
      <c r="E160" s="69" t="s">
        <v>11</v>
      </c>
      <c r="F160" s="71">
        <v>105</v>
      </c>
    </row>
    <row r="161" spans="1:6" x14ac:dyDescent="0.25">
      <c r="A161" s="68" t="s">
        <v>301</v>
      </c>
      <c r="B161" s="69" t="s">
        <v>3743</v>
      </c>
      <c r="C161" s="70" t="s">
        <v>1812</v>
      </c>
      <c r="D161" s="69" t="s">
        <v>183</v>
      </c>
      <c r="E161" s="69" t="s">
        <v>57</v>
      </c>
      <c r="F161" s="71">
        <v>4</v>
      </c>
    </row>
    <row r="162" spans="1:6" x14ac:dyDescent="0.25">
      <c r="A162" s="68" t="s">
        <v>301</v>
      </c>
      <c r="B162" s="69" t="s">
        <v>3744</v>
      </c>
      <c r="C162" s="70" t="s">
        <v>2497</v>
      </c>
      <c r="D162" s="69" t="s">
        <v>18</v>
      </c>
      <c r="E162" s="69" t="s">
        <v>57</v>
      </c>
      <c r="F162" s="71">
        <v>1</v>
      </c>
    </row>
    <row r="163" spans="1:6" x14ac:dyDescent="0.25">
      <c r="A163" s="68" t="s">
        <v>301</v>
      </c>
      <c r="B163" s="69" t="s">
        <v>1175</v>
      </c>
      <c r="C163" s="70" t="s">
        <v>159</v>
      </c>
      <c r="D163" s="69" t="s">
        <v>10</v>
      </c>
      <c r="E163" s="69" t="s">
        <v>11</v>
      </c>
      <c r="F163" s="71">
        <v>50</v>
      </c>
    </row>
    <row r="164" spans="1:6" x14ac:dyDescent="0.25">
      <c r="A164" s="68" t="s">
        <v>301</v>
      </c>
      <c r="B164" s="69" t="s">
        <v>3745</v>
      </c>
      <c r="C164" s="70" t="s">
        <v>1814</v>
      </c>
      <c r="D164" s="69" t="s">
        <v>14</v>
      </c>
      <c r="E164" s="69" t="s">
        <v>57</v>
      </c>
      <c r="F164" s="71">
        <v>2</v>
      </c>
    </row>
    <row r="165" spans="1:6" x14ac:dyDescent="0.25">
      <c r="A165" s="68" t="s">
        <v>301</v>
      </c>
      <c r="B165" s="69" t="s">
        <v>3746</v>
      </c>
      <c r="C165" s="70" t="s">
        <v>2518</v>
      </c>
      <c r="D165" s="69" t="s">
        <v>14</v>
      </c>
      <c r="E165" s="69" t="s">
        <v>57</v>
      </c>
      <c r="F165" s="71">
        <v>2</v>
      </c>
    </row>
    <row r="166" spans="1:6" x14ac:dyDescent="0.25">
      <c r="A166" s="68" t="s">
        <v>301</v>
      </c>
      <c r="B166" s="69" t="s">
        <v>1178</v>
      </c>
      <c r="C166" s="70" t="s">
        <v>43</v>
      </c>
      <c r="D166" s="69" t="s">
        <v>10</v>
      </c>
      <c r="E166" s="69" t="s">
        <v>47</v>
      </c>
      <c r="F166" s="71">
        <v>22</v>
      </c>
    </row>
    <row r="167" spans="1:6" x14ac:dyDescent="0.25">
      <c r="A167" s="68" t="s">
        <v>301</v>
      </c>
      <c r="B167" s="69" t="s">
        <v>3659</v>
      </c>
      <c r="C167" s="70" t="s">
        <v>472</v>
      </c>
      <c r="D167" s="69" t="s">
        <v>10</v>
      </c>
      <c r="E167" s="69" t="s">
        <v>57</v>
      </c>
      <c r="F167" s="71">
        <v>3</v>
      </c>
    </row>
    <row r="168" spans="1:6" x14ac:dyDescent="0.25">
      <c r="A168" s="68" t="s">
        <v>301</v>
      </c>
      <c r="B168" s="69" t="s">
        <v>1186</v>
      </c>
      <c r="C168" s="70" t="s">
        <v>160</v>
      </c>
      <c r="D168" s="69" t="s">
        <v>10</v>
      </c>
      <c r="E168" s="69" t="s">
        <v>11</v>
      </c>
      <c r="F168" s="71">
        <v>49</v>
      </c>
    </row>
    <row r="169" spans="1:6" x14ac:dyDescent="0.25">
      <c r="A169" s="68" t="s">
        <v>301</v>
      </c>
      <c r="B169" s="69" t="s">
        <v>3518</v>
      </c>
      <c r="C169" s="70" t="s">
        <v>161</v>
      </c>
      <c r="D169" s="69" t="s">
        <v>18</v>
      </c>
      <c r="E169" s="69" t="s">
        <v>11</v>
      </c>
      <c r="F169" s="71">
        <v>40</v>
      </c>
    </row>
    <row r="170" spans="1:6" x14ac:dyDescent="0.25">
      <c r="A170" s="68" t="s">
        <v>301</v>
      </c>
      <c r="B170" s="69" t="s">
        <v>3747</v>
      </c>
      <c r="C170" s="70" t="s">
        <v>1820</v>
      </c>
      <c r="D170" s="69" t="s">
        <v>14</v>
      </c>
      <c r="E170" s="69" t="s">
        <v>57</v>
      </c>
      <c r="F170" s="71">
        <v>4</v>
      </c>
    </row>
    <row r="171" spans="1:6" x14ac:dyDescent="0.25">
      <c r="A171" s="68" t="s">
        <v>301</v>
      </c>
      <c r="B171" s="69" t="s">
        <v>3748</v>
      </c>
      <c r="C171" s="70" t="s">
        <v>2528</v>
      </c>
      <c r="D171" s="69" t="s">
        <v>18</v>
      </c>
      <c r="E171" s="69" t="s">
        <v>57</v>
      </c>
      <c r="F171" s="71">
        <v>1</v>
      </c>
    </row>
    <row r="172" spans="1:6" x14ac:dyDescent="0.25">
      <c r="A172" s="68" t="s">
        <v>301</v>
      </c>
      <c r="B172" s="69" t="s">
        <v>3519</v>
      </c>
      <c r="C172" s="70" t="s">
        <v>162</v>
      </c>
      <c r="D172" s="69" t="s">
        <v>14</v>
      </c>
      <c r="E172" s="69" t="s">
        <v>11</v>
      </c>
      <c r="F172" s="71">
        <v>33</v>
      </c>
    </row>
    <row r="173" spans="1:6" x14ac:dyDescent="0.25">
      <c r="A173" s="68" t="s">
        <v>301</v>
      </c>
      <c r="B173" s="69" t="s">
        <v>3749</v>
      </c>
      <c r="C173" s="70" t="s">
        <v>2532</v>
      </c>
      <c r="D173" s="69" t="s">
        <v>14</v>
      </c>
      <c r="E173" s="69" t="s">
        <v>57</v>
      </c>
      <c r="F173" s="71">
        <v>6</v>
      </c>
    </row>
    <row r="174" spans="1:6" x14ac:dyDescent="0.25">
      <c r="A174" s="68" t="s">
        <v>301</v>
      </c>
      <c r="B174" s="69" t="s">
        <v>3666</v>
      </c>
      <c r="C174" s="70" t="s">
        <v>481</v>
      </c>
      <c r="D174" s="69" t="s">
        <v>10</v>
      </c>
      <c r="E174" s="69" t="s">
        <v>57</v>
      </c>
      <c r="F174" s="71">
        <v>4</v>
      </c>
    </row>
    <row r="175" spans="1:6" x14ac:dyDescent="0.25">
      <c r="A175" s="68" t="s">
        <v>301</v>
      </c>
      <c r="B175" s="69" t="s">
        <v>3694</v>
      </c>
      <c r="C175" s="70" t="s">
        <v>1783</v>
      </c>
      <c r="D175" s="69" t="s">
        <v>14</v>
      </c>
      <c r="E175" s="69" t="s">
        <v>11</v>
      </c>
      <c r="F175" s="71">
        <v>312</v>
      </c>
    </row>
    <row r="176" spans="1:6" x14ac:dyDescent="0.25">
      <c r="A176" s="68" t="s">
        <v>301</v>
      </c>
      <c r="B176" s="69" t="s">
        <v>3695</v>
      </c>
      <c r="C176" s="70" t="s">
        <v>1787</v>
      </c>
      <c r="D176" s="69" t="s">
        <v>14</v>
      </c>
      <c r="E176" s="69" t="s">
        <v>11</v>
      </c>
      <c r="F176" s="71">
        <v>210</v>
      </c>
    </row>
    <row r="177" spans="1:6" x14ac:dyDescent="0.25">
      <c r="A177" s="68" t="s">
        <v>301</v>
      </c>
      <c r="B177" s="69" t="s">
        <v>3750</v>
      </c>
      <c r="C177" s="70" t="s">
        <v>1822</v>
      </c>
      <c r="D177" s="69" t="s">
        <v>10</v>
      </c>
      <c r="E177" s="69" t="s">
        <v>57</v>
      </c>
      <c r="F177" s="71">
        <v>2</v>
      </c>
    </row>
    <row r="178" spans="1:6" x14ac:dyDescent="0.25">
      <c r="A178" s="68" t="s">
        <v>301</v>
      </c>
      <c r="B178" s="69" t="s">
        <v>3751</v>
      </c>
      <c r="C178" s="70" t="s">
        <v>1823</v>
      </c>
      <c r="D178" s="69" t="s">
        <v>71</v>
      </c>
      <c r="E178" s="69" t="s">
        <v>11</v>
      </c>
      <c r="F178" s="71">
        <v>987</v>
      </c>
    </row>
    <row r="179" spans="1:6" x14ac:dyDescent="0.25">
      <c r="A179" s="68" t="s">
        <v>301</v>
      </c>
      <c r="B179" s="69" t="s">
        <v>1239</v>
      </c>
      <c r="C179" s="70" t="s">
        <v>121</v>
      </c>
      <c r="D179" s="69" t="s">
        <v>14</v>
      </c>
      <c r="E179" s="69" t="s">
        <v>57</v>
      </c>
      <c r="F179" s="71">
        <v>0</v>
      </c>
    </row>
    <row r="180" spans="1:6" x14ac:dyDescent="0.25">
      <c r="A180" s="68" t="s">
        <v>301</v>
      </c>
      <c r="B180" s="69" t="s">
        <v>3705</v>
      </c>
      <c r="C180" s="70" t="s">
        <v>2560</v>
      </c>
      <c r="D180" s="69" t="s">
        <v>14</v>
      </c>
      <c r="E180" s="69" t="s">
        <v>57</v>
      </c>
      <c r="F180" s="71">
        <v>8</v>
      </c>
    </row>
    <row r="181" spans="1:6" x14ac:dyDescent="0.25">
      <c r="A181" s="68" t="s">
        <v>301</v>
      </c>
      <c r="B181" s="69" t="s">
        <v>3520</v>
      </c>
      <c r="C181" s="70" t="s">
        <v>164</v>
      </c>
      <c r="D181" s="69" t="s">
        <v>18</v>
      </c>
      <c r="E181" s="69" t="s">
        <v>11</v>
      </c>
      <c r="F181" s="71">
        <v>45</v>
      </c>
    </row>
    <row r="182" spans="1:6" x14ac:dyDescent="0.25">
      <c r="A182" s="68" t="s">
        <v>301</v>
      </c>
      <c r="B182" s="69" t="s">
        <v>3706</v>
      </c>
      <c r="C182" s="70" t="s">
        <v>1846</v>
      </c>
      <c r="D182" s="69" t="s">
        <v>14</v>
      </c>
      <c r="E182" s="69" t="s">
        <v>47</v>
      </c>
      <c r="F182" s="71">
        <v>19</v>
      </c>
    </row>
    <row r="183" spans="1:6" x14ac:dyDescent="0.25">
      <c r="A183" s="68" t="s">
        <v>301</v>
      </c>
      <c r="B183" s="69" t="s">
        <v>3668</v>
      </c>
      <c r="C183" s="70" t="s">
        <v>484</v>
      </c>
      <c r="D183" s="69" t="s">
        <v>14</v>
      </c>
      <c r="E183" s="69" t="s">
        <v>47</v>
      </c>
      <c r="F183" s="71">
        <v>15</v>
      </c>
    </row>
    <row r="184" spans="1:6" x14ac:dyDescent="0.25">
      <c r="A184" s="68" t="s">
        <v>301</v>
      </c>
      <c r="B184" s="69" t="s">
        <v>1455</v>
      </c>
      <c r="C184" s="70" t="s">
        <v>485</v>
      </c>
      <c r="D184" s="69" t="s">
        <v>14</v>
      </c>
      <c r="E184" s="69" t="s">
        <v>47</v>
      </c>
      <c r="F184" s="71">
        <v>11</v>
      </c>
    </row>
    <row r="185" spans="1:6" x14ac:dyDescent="0.25">
      <c r="A185" s="68" t="s">
        <v>301</v>
      </c>
      <c r="B185" s="69" t="s">
        <v>3669</v>
      </c>
      <c r="C185" s="70" t="s">
        <v>486</v>
      </c>
      <c r="D185" s="69" t="s">
        <v>18</v>
      </c>
      <c r="E185" s="69" t="s">
        <v>47</v>
      </c>
      <c r="F185" s="71">
        <v>13</v>
      </c>
    </row>
    <row r="186" spans="1:6" x14ac:dyDescent="0.25">
      <c r="A186" s="68" t="s">
        <v>301</v>
      </c>
      <c r="B186" s="69" t="s">
        <v>3697</v>
      </c>
      <c r="C186" s="70" t="s">
        <v>2645</v>
      </c>
      <c r="D186" s="69" t="s">
        <v>18</v>
      </c>
      <c r="E186" s="69" t="s">
        <v>57</v>
      </c>
      <c r="F186" s="71">
        <v>0</v>
      </c>
    </row>
    <row r="187" spans="1:6" x14ac:dyDescent="0.25">
      <c r="A187" s="68" t="s">
        <v>301</v>
      </c>
      <c r="B187" s="69" t="s">
        <v>3671</v>
      </c>
      <c r="C187" s="70" t="s">
        <v>488</v>
      </c>
      <c r="D187" s="69" t="s">
        <v>3446</v>
      </c>
      <c r="E187" s="69" t="s">
        <v>11</v>
      </c>
      <c r="F187" s="71">
        <v>30</v>
      </c>
    </row>
    <row r="188" spans="1:6" x14ac:dyDescent="0.25">
      <c r="A188" s="68" t="s">
        <v>301</v>
      </c>
      <c r="B188" s="69" t="s">
        <v>3672</v>
      </c>
      <c r="C188" s="70" t="s">
        <v>489</v>
      </c>
      <c r="D188" s="69" t="s">
        <v>14</v>
      </c>
      <c r="E188" s="69" t="s">
        <v>47</v>
      </c>
      <c r="F188" s="71">
        <v>22</v>
      </c>
    </row>
    <row r="189" spans="1:6" x14ac:dyDescent="0.25">
      <c r="A189" s="68" t="s">
        <v>301</v>
      </c>
      <c r="B189" s="69" t="s">
        <v>3674</v>
      </c>
      <c r="C189" s="70" t="s">
        <v>491</v>
      </c>
      <c r="D189" s="69" t="s">
        <v>10</v>
      </c>
      <c r="E189" s="69" t="s">
        <v>57</v>
      </c>
      <c r="F189" s="71">
        <v>5</v>
      </c>
    </row>
    <row r="190" spans="1:6" x14ac:dyDescent="0.25">
      <c r="A190" s="68" t="s">
        <v>301</v>
      </c>
      <c r="B190" s="69" t="s">
        <v>3752</v>
      </c>
      <c r="C190" s="70" t="s">
        <v>2655</v>
      </c>
      <c r="D190" s="69" t="s">
        <v>14</v>
      </c>
      <c r="E190" s="69" t="s">
        <v>57</v>
      </c>
      <c r="F190" s="71">
        <v>6</v>
      </c>
    </row>
    <row r="191" spans="1:6" x14ac:dyDescent="0.25">
      <c r="A191" s="68" t="s">
        <v>301</v>
      </c>
      <c r="B191" s="69" t="s">
        <v>3707</v>
      </c>
      <c r="C191" s="70" t="s">
        <v>2658</v>
      </c>
      <c r="D191" s="69" t="s">
        <v>3449</v>
      </c>
      <c r="E191" s="69" t="s">
        <v>57</v>
      </c>
      <c r="F191" s="71">
        <v>7</v>
      </c>
    </row>
    <row r="192" spans="1:6" x14ac:dyDescent="0.25">
      <c r="A192" s="68" t="s">
        <v>301</v>
      </c>
      <c r="B192" s="69" t="s">
        <v>1761</v>
      </c>
      <c r="C192" s="70" t="s">
        <v>1762</v>
      </c>
      <c r="D192" s="69" t="s">
        <v>14</v>
      </c>
      <c r="E192" s="69" t="s">
        <v>57</v>
      </c>
      <c r="F192" s="71">
        <v>4</v>
      </c>
    </row>
    <row r="193" spans="1:6" x14ac:dyDescent="0.25">
      <c r="A193" s="68" t="s">
        <v>301</v>
      </c>
      <c r="B193" s="69" t="s">
        <v>1767</v>
      </c>
      <c r="C193" s="70" t="s">
        <v>493</v>
      </c>
      <c r="D193" s="69" t="s">
        <v>14</v>
      </c>
      <c r="E193" s="69" t="s">
        <v>57</v>
      </c>
      <c r="F193" s="71">
        <v>10</v>
      </c>
    </row>
    <row r="194" spans="1:6" x14ac:dyDescent="0.25">
      <c r="A194" s="68" t="s">
        <v>301</v>
      </c>
      <c r="B194" s="69" t="s">
        <v>3753</v>
      </c>
      <c r="C194" s="70" t="s">
        <v>1850</v>
      </c>
      <c r="D194" s="69" t="s">
        <v>14</v>
      </c>
      <c r="E194" s="69" t="s">
        <v>57</v>
      </c>
      <c r="F194" s="71">
        <v>5</v>
      </c>
    </row>
    <row r="195" spans="1:6" x14ac:dyDescent="0.25">
      <c r="A195" s="68" t="s">
        <v>301</v>
      </c>
      <c r="B195" s="69" t="s">
        <v>3481</v>
      </c>
      <c r="C195" s="70" t="s">
        <v>55</v>
      </c>
      <c r="D195" s="69" t="s">
        <v>18</v>
      </c>
      <c r="E195" s="69" t="s">
        <v>47</v>
      </c>
      <c r="F195" s="71">
        <v>24</v>
      </c>
    </row>
    <row r="196" spans="1:6" x14ac:dyDescent="0.25">
      <c r="A196" s="68" t="s">
        <v>301</v>
      </c>
      <c r="B196" s="69" t="s">
        <v>3477</v>
      </c>
      <c r="C196" s="70" t="s">
        <v>165</v>
      </c>
      <c r="D196" s="69" t="s">
        <v>18</v>
      </c>
      <c r="E196" s="69" t="s">
        <v>11</v>
      </c>
      <c r="F196" s="71">
        <v>34</v>
      </c>
    </row>
    <row r="197" spans="1:6" x14ac:dyDescent="0.25">
      <c r="A197" s="68" t="s">
        <v>301</v>
      </c>
      <c r="B197" s="69" t="s">
        <v>3708</v>
      </c>
      <c r="C197" s="70" t="s">
        <v>2983</v>
      </c>
      <c r="D197" s="69" t="s">
        <v>10</v>
      </c>
      <c r="E197" s="69" t="s">
        <v>57</v>
      </c>
      <c r="F197" s="71">
        <v>7</v>
      </c>
    </row>
    <row r="198" spans="1:6" x14ac:dyDescent="0.25">
      <c r="A198" s="68" t="s">
        <v>301</v>
      </c>
      <c r="B198" s="69" t="s">
        <v>1776</v>
      </c>
      <c r="C198" s="70" t="s">
        <v>67</v>
      </c>
      <c r="D198" s="69" t="s">
        <v>10</v>
      </c>
      <c r="E198" s="69" t="s">
        <v>11</v>
      </c>
      <c r="F198" s="71">
        <v>28</v>
      </c>
    </row>
    <row r="199" spans="1:6" x14ac:dyDescent="0.25">
      <c r="A199" s="68" t="s">
        <v>301</v>
      </c>
      <c r="B199" s="69" t="s">
        <v>1777</v>
      </c>
      <c r="C199" s="70" t="s">
        <v>497</v>
      </c>
      <c r="D199" s="69" t="s">
        <v>10</v>
      </c>
      <c r="E199" s="69" t="s">
        <v>57</v>
      </c>
      <c r="F199" s="71">
        <v>4</v>
      </c>
    </row>
    <row r="200" spans="1:6" x14ac:dyDescent="0.25">
      <c r="A200" s="68" t="s">
        <v>301</v>
      </c>
      <c r="B200" s="69" t="s">
        <v>3521</v>
      </c>
      <c r="C200" s="70" t="s">
        <v>166</v>
      </c>
      <c r="D200" s="69" t="s">
        <v>18</v>
      </c>
      <c r="E200" s="69" t="s">
        <v>47</v>
      </c>
      <c r="F200" s="71">
        <v>21</v>
      </c>
    </row>
    <row r="201" spans="1:6" x14ac:dyDescent="0.25">
      <c r="A201" s="68" t="s">
        <v>301</v>
      </c>
      <c r="B201" s="69" t="s">
        <v>3754</v>
      </c>
      <c r="C201" s="70" t="s">
        <v>2988</v>
      </c>
      <c r="D201" s="69" t="s">
        <v>10</v>
      </c>
      <c r="E201" s="69" t="s">
        <v>57</v>
      </c>
      <c r="F201" s="71">
        <v>9</v>
      </c>
    </row>
    <row r="202" spans="1:6" x14ac:dyDescent="0.25">
      <c r="A202" s="68" t="s">
        <v>301</v>
      </c>
      <c r="B202" s="69" t="s">
        <v>3755</v>
      </c>
      <c r="C202" s="70" t="s">
        <v>2989</v>
      </c>
      <c r="D202" s="69" t="s">
        <v>14</v>
      </c>
      <c r="E202" s="69" t="s">
        <v>11</v>
      </c>
      <c r="F202" s="71">
        <v>28</v>
      </c>
    </row>
    <row r="203" spans="1:6" x14ac:dyDescent="0.25">
      <c r="A203" s="68" t="s">
        <v>301</v>
      </c>
      <c r="B203" s="69" t="s">
        <v>3486</v>
      </c>
      <c r="C203" s="70" t="s">
        <v>68</v>
      </c>
      <c r="D203" s="69" t="s">
        <v>10</v>
      </c>
      <c r="E203" s="69" t="s">
        <v>47</v>
      </c>
      <c r="F203" s="71">
        <v>24</v>
      </c>
    </row>
    <row r="204" spans="1:6" x14ac:dyDescent="0.25">
      <c r="A204" s="68" t="s">
        <v>69</v>
      </c>
      <c r="B204" s="69" t="s">
        <v>533</v>
      </c>
      <c r="C204" s="70" t="s">
        <v>534</v>
      </c>
      <c r="D204" s="69" t="s">
        <v>18</v>
      </c>
      <c r="E204" s="69"/>
      <c r="F204" s="69">
        <v>2</v>
      </c>
    </row>
    <row r="205" spans="1:6" x14ac:dyDescent="0.25">
      <c r="A205" s="68" t="s">
        <v>69</v>
      </c>
      <c r="B205" s="69" t="s">
        <v>3522</v>
      </c>
      <c r="C205" s="70" t="s">
        <v>167</v>
      </c>
      <c r="D205" s="69" t="s">
        <v>10</v>
      </c>
      <c r="E205" s="69"/>
      <c r="F205" s="69">
        <v>49</v>
      </c>
    </row>
    <row r="206" spans="1:6" x14ac:dyDescent="0.25">
      <c r="A206" s="68" t="s">
        <v>69</v>
      </c>
      <c r="B206" s="69" t="s">
        <v>3523</v>
      </c>
      <c r="C206" s="70" t="s">
        <v>168</v>
      </c>
      <c r="D206" s="69" t="s">
        <v>18</v>
      </c>
      <c r="E206" s="69"/>
      <c r="F206" s="69">
        <v>43</v>
      </c>
    </row>
    <row r="207" spans="1:6" x14ac:dyDescent="0.25">
      <c r="A207" s="68" t="s">
        <v>69</v>
      </c>
      <c r="B207" s="69" t="s">
        <v>3524</v>
      </c>
      <c r="C207" s="70" t="s">
        <v>169</v>
      </c>
      <c r="D207" s="69" t="s">
        <v>14</v>
      </c>
      <c r="E207" s="69"/>
      <c r="F207" s="69">
        <v>68</v>
      </c>
    </row>
    <row r="208" spans="1:6" x14ac:dyDescent="0.25">
      <c r="A208" s="68" t="s">
        <v>69</v>
      </c>
      <c r="B208" s="69" t="s">
        <v>3801</v>
      </c>
      <c r="C208" s="70" t="s">
        <v>2995</v>
      </c>
      <c r="D208" s="69" t="s">
        <v>18</v>
      </c>
      <c r="E208" s="69"/>
      <c r="F208" s="69">
        <v>1</v>
      </c>
    </row>
    <row r="209" spans="1:6" x14ac:dyDescent="0.25">
      <c r="A209" s="68" t="s">
        <v>69</v>
      </c>
      <c r="B209" s="69" t="s">
        <v>566</v>
      </c>
      <c r="C209" s="70" t="s">
        <v>567</v>
      </c>
      <c r="D209" s="69" t="s">
        <v>14</v>
      </c>
      <c r="E209" s="69"/>
      <c r="F209" s="69">
        <v>32</v>
      </c>
    </row>
    <row r="210" spans="1:6" x14ac:dyDescent="0.25">
      <c r="A210" s="68" t="s">
        <v>69</v>
      </c>
      <c r="B210" s="69" t="s">
        <v>589</v>
      </c>
      <c r="C210" s="70" t="s">
        <v>72</v>
      </c>
      <c r="D210" s="69" t="s">
        <v>71</v>
      </c>
      <c r="E210" s="69"/>
      <c r="F210" s="69">
        <v>0</v>
      </c>
    </row>
    <row r="211" spans="1:6" x14ac:dyDescent="0.25">
      <c r="A211" s="68" t="s">
        <v>69</v>
      </c>
      <c r="B211" s="69" t="s">
        <v>590</v>
      </c>
      <c r="C211" s="70" t="s">
        <v>73</v>
      </c>
      <c r="D211" s="69" t="s">
        <v>71</v>
      </c>
      <c r="E211" s="69"/>
      <c r="F211" s="69">
        <v>5</v>
      </c>
    </row>
    <row r="212" spans="1:6" x14ac:dyDescent="0.25">
      <c r="A212" s="68" t="s">
        <v>69</v>
      </c>
      <c r="B212" s="69" t="s">
        <v>591</v>
      </c>
      <c r="C212" s="70" t="s">
        <v>74</v>
      </c>
      <c r="D212" s="69" t="s">
        <v>71</v>
      </c>
      <c r="E212" s="69"/>
      <c r="F212" s="69">
        <v>4</v>
      </c>
    </row>
    <row r="213" spans="1:6" x14ac:dyDescent="0.25">
      <c r="A213" s="68" t="s">
        <v>69</v>
      </c>
      <c r="B213" s="69" t="s">
        <v>592</v>
      </c>
      <c r="C213" s="70" t="s">
        <v>75</v>
      </c>
      <c r="D213" s="69" t="s">
        <v>71</v>
      </c>
      <c r="E213" s="69"/>
      <c r="F213" s="69">
        <v>7</v>
      </c>
    </row>
    <row r="214" spans="1:6" x14ac:dyDescent="0.25">
      <c r="A214" s="68" t="s">
        <v>69</v>
      </c>
      <c r="B214" s="69" t="s">
        <v>593</v>
      </c>
      <c r="C214" s="70" t="s">
        <v>76</v>
      </c>
      <c r="D214" s="69" t="s">
        <v>71</v>
      </c>
      <c r="E214" s="69"/>
      <c r="F214" s="69">
        <v>7</v>
      </c>
    </row>
    <row r="215" spans="1:6" x14ac:dyDescent="0.25">
      <c r="A215" s="68" t="s">
        <v>69</v>
      </c>
      <c r="B215" s="69" t="s">
        <v>594</v>
      </c>
      <c r="C215" s="70" t="s">
        <v>171</v>
      </c>
      <c r="D215" s="69" t="s">
        <v>71</v>
      </c>
      <c r="E215" s="69"/>
      <c r="F215" s="69">
        <v>11</v>
      </c>
    </row>
    <row r="216" spans="1:6" x14ac:dyDescent="0.25">
      <c r="A216" s="68" t="s">
        <v>69</v>
      </c>
      <c r="B216" s="69" t="s">
        <v>596</v>
      </c>
      <c r="C216" s="70" t="s">
        <v>173</v>
      </c>
      <c r="D216" s="69" t="s">
        <v>71</v>
      </c>
      <c r="E216" s="69"/>
      <c r="F216" s="69">
        <v>48</v>
      </c>
    </row>
    <row r="217" spans="1:6" x14ac:dyDescent="0.25">
      <c r="A217" s="68" t="s">
        <v>69</v>
      </c>
      <c r="B217" s="69" t="s">
        <v>597</v>
      </c>
      <c r="C217" s="70" t="s">
        <v>174</v>
      </c>
      <c r="D217" s="69" t="s">
        <v>71</v>
      </c>
      <c r="E217" s="69"/>
      <c r="F217" s="69">
        <v>17</v>
      </c>
    </row>
    <row r="218" spans="1:6" x14ac:dyDescent="0.25">
      <c r="A218" s="68" t="s">
        <v>69</v>
      </c>
      <c r="B218" s="69" t="s">
        <v>598</v>
      </c>
      <c r="C218" s="70" t="s">
        <v>77</v>
      </c>
      <c r="D218" s="69" t="s">
        <v>71</v>
      </c>
      <c r="E218" s="69"/>
      <c r="F218" s="69">
        <v>55</v>
      </c>
    </row>
    <row r="219" spans="1:6" x14ac:dyDescent="0.25">
      <c r="A219" s="68" t="s">
        <v>69</v>
      </c>
      <c r="B219" s="69" t="s">
        <v>600</v>
      </c>
      <c r="C219" s="70" t="s">
        <v>227</v>
      </c>
      <c r="D219" s="69" t="s">
        <v>228</v>
      </c>
      <c r="E219" s="69"/>
      <c r="F219" s="69">
        <v>5</v>
      </c>
    </row>
    <row r="220" spans="1:6" x14ac:dyDescent="0.25">
      <c r="A220" s="68" t="s">
        <v>69</v>
      </c>
      <c r="B220" s="69" t="s">
        <v>644</v>
      </c>
      <c r="C220" s="70" t="s">
        <v>645</v>
      </c>
      <c r="D220" s="69" t="s">
        <v>18</v>
      </c>
      <c r="E220" s="69"/>
      <c r="F220" s="69">
        <v>26</v>
      </c>
    </row>
    <row r="221" spans="1:6" x14ac:dyDescent="0.25">
      <c r="A221" s="68" t="s">
        <v>69</v>
      </c>
      <c r="B221" s="69" t="s">
        <v>646</v>
      </c>
      <c r="C221" s="70" t="s">
        <v>647</v>
      </c>
      <c r="D221" s="69" t="s">
        <v>18</v>
      </c>
      <c r="E221" s="69"/>
      <c r="F221" s="69">
        <v>33</v>
      </c>
    </row>
    <row r="222" spans="1:6" x14ac:dyDescent="0.25">
      <c r="A222" s="68" t="s">
        <v>69</v>
      </c>
      <c r="B222" s="69" t="s">
        <v>648</v>
      </c>
      <c r="C222" s="70" t="s">
        <v>649</v>
      </c>
      <c r="D222" s="69" t="s">
        <v>18</v>
      </c>
      <c r="E222" s="69"/>
      <c r="F222" s="69">
        <v>13</v>
      </c>
    </row>
    <row r="223" spans="1:6" x14ac:dyDescent="0.25">
      <c r="A223" s="68" t="s">
        <v>69</v>
      </c>
      <c r="B223" s="69" t="s">
        <v>650</v>
      </c>
      <c r="C223" s="70" t="s">
        <v>651</v>
      </c>
      <c r="D223" s="69" t="s">
        <v>18</v>
      </c>
      <c r="E223" s="69"/>
      <c r="F223" s="69">
        <v>6</v>
      </c>
    </row>
    <row r="224" spans="1:6" x14ac:dyDescent="0.25">
      <c r="A224" s="68" t="s">
        <v>69</v>
      </c>
      <c r="B224" s="69" t="s">
        <v>3488</v>
      </c>
      <c r="C224" s="70" t="s">
        <v>79</v>
      </c>
      <c r="D224" s="69" t="s">
        <v>10</v>
      </c>
      <c r="E224" s="69"/>
      <c r="F224" s="69">
        <v>25</v>
      </c>
    </row>
    <row r="225" spans="1:6" x14ac:dyDescent="0.25">
      <c r="A225" s="68" t="s">
        <v>69</v>
      </c>
      <c r="B225" s="69" t="s">
        <v>3489</v>
      </c>
      <c r="C225" s="70" t="s">
        <v>80</v>
      </c>
      <c r="D225" s="69" t="s">
        <v>10</v>
      </c>
      <c r="E225" s="69"/>
      <c r="F225" s="69">
        <v>0</v>
      </c>
    </row>
    <row r="226" spans="1:6" x14ac:dyDescent="0.25">
      <c r="A226" s="68" t="s">
        <v>69</v>
      </c>
      <c r="B226" s="69" t="s">
        <v>3547</v>
      </c>
      <c r="C226" s="70" t="s">
        <v>240</v>
      </c>
      <c r="D226" s="69" t="s">
        <v>18</v>
      </c>
      <c r="E226" s="69"/>
      <c r="F226" s="69">
        <v>3</v>
      </c>
    </row>
    <row r="227" spans="1:6" x14ac:dyDescent="0.25">
      <c r="A227" s="68" t="s">
        <v>69</v>
      </c>
      <c r="B227" s="69" t="s">
        <v>3544</v>
      </c>
      <c r="C227" s="70" t="s">
        <v>3006</v>
      </c>
      <c r="D227" s="69" t="s">
        <v>14</v>
      </c>
      <c r="E227" s="69"/>
      <c r="F227" s="69">
        <v>0</v>
      </c>
    </row>
    <row r="228" spans="1:6" x14ac:dyDescent="0.25">
      <c r="A228" s="68" t="s">
        <v>69</v>
      </c>
      <c r="B228" s="69" t="s">
        <v>3545</v>
      </c>
      <c r="C228" s="70" t="s">
        <v>3007</v>
      </c>
      <c r="D228" s="69" t="s">
        <v>14</v>
      </c>
      <c r="E228" s="69"/>
      <c r="F228" s="69">
        <v>57</v>
      </c>
    </row>
    <row r="229" spans="1:6" x14ac:dyDescent="0.25">
      <c r="A229" s="68" t="s">
        <v>69</v>
      </c>
      <c r="B229" s="69" t="s">
        <v>3546</v>
      </c>
      <c r="C229" s="70" t="s">
        <v>2991</v>
      </c>
      <c r="D229" s="69" t="s">
        <v>14</v>
      </c>
      <c r="E229" s="69"/>
      <c r="F229" s="69">
        <v>73</v>
      </c>
    </row>
    <row r="230" spans="1:6" x14ac:dyDescent="0.25">
      <c r="A230" s="68" t="s">
        <v>69</v>
      </c>
      <c r="B230" s="69" t="s">
        <v>3548</v>
      </c>
      <c r="C230" s="70" t="s">
        <v>3008</v>
      </c>
      <c r="D230" s="69" t="s">
        <v>14</v>
      </c>
      <c r="E230" s="69"/>
      <c r="F230" s="69">
        <v>90</v>
      </c>
    </row>
    <row r="231" spans="1:6" x14ac:dyDescent="0.25">
      <c r="A231" s="68" t="s">
        <v>69</v>
      </c>
      <c r="B231" s="69" t="s">
        <v>3681</v>
      </c>
      <c r="C231" s="70" t="s">
        <v>507</v>
      </c>
      <c r="D231" s="69" t="s">
        <v>18</v>
      </c>
      <c r="E231" s="69"/>
      <c r="F231" s="69">
        <v>3</v>
      </c>
    </row>
    <row r="232" spans="1:6" x14ac:dyDescent="0.25">
      <c r="A232" s="68" t="s">
        <v>69</v>
      </c>
      <c r="B232" s="69" t="s">
        <v>3682</v>
      </c>
      <c r="C232" s="70" t="s">
        <v>508</v>
      </c>
      <c r="D232" s="69" t="s">
        <v>10</v>
      </c>
      <c r="E232" s="69"/>
      <c r="F232" s="69">
        <v>67</v>
      </c>
    </row>
    <row r="233" spans="1:6" x14ac:dyDescent="0.25">
      <c r="A233" s="68" t="s">
        <v>69</v>
      </c>
      <c r="B233" s="69" t="s">
        <v>3683</v>
      </c>
      <c r="C233" s="70" t="s">
        <v>509</v>
      </c>
      <c r="D233" s="69" t="s">
        <v>59</v>
      </c>
      <c r="E233" s="69"/>
      <c r="F233" s="69">
        <v>48</v>
      </c>
    </row>
    <row r="234" spans="1:6" x14ac:dyDescent="0.25">
      <c r="A234" s="68" t="s">
        <v>69</v>
      </c>
      <c r="B234" s="69" t="s">
        <v>3684</v>
      </c>
      <c r="C234" s="70" t="s">
        <v>510</v>
      </c>
      <c r="D234" s="69" t="s">
        <v>10</v>
      </c>
      <c r="E234" s="69"/>
      <c r="F234" s="69">
        <v>89</v>
      </c>
    </row>
    <row r="235" spans="1:6" x14ac:dyDescent="0.25">
      <c r="A235" s="68" t="s">
        <v>69</v>
      </c>
      <c r="B235" s="69" t="s">
        <v>3685</v>
      </c>
      <c r="C235" s="70" t="s">
        <v>511</v>
      </c>
      <c r="D235" s="69" t="s">
        <v>10</v>
      </c>
      <c r="E235" s="69"/>
      <c r="F235" s="69">
        <v>77</v>
      </c>
    </row>
    <row r="236" spans="1:6" x14ac:dyDescent="0.25">
      <c r="A236" s="68" t="s">
        <v>69</v>
      </c>
      <c r="B236" s="69" t="s">
        <v>3686</v>
      </c>
      <c r="C236" s="70" t="s">
        <v>512</v>
      </c>
      <c r="D236" s="69" t="s">
        <v>10</v>
      </c>
      <c r="E236" s="69"/>
      <c r="F236" s="69">
        <v>1</v>
      </c>
    </row>
    <row r="237" spans="1:6" x14ac:dyDescent="0.25">
      <c r="A237" s="68" t="s">
        <v>69</v>
      </c>
      <c r="B237" s="69" t="s">
        <v>3687</v>
      </c>
      <c r="C237" s="70" t="s">
        <v>513</v>
      </c>
      <c r="D237" s="69" t="s">
        <v>10</v>
      </c>
      <c r="E237" s="69"/>
      <c r="F237" s="69">
        <v>60</v>
      </c>
    </row>
    <row r="238" spans="1:6" x14ac:dyDescent="0.25">
      <c r="A238" s="68" t="s">
        <v>69</v>
      </c>
      <c r="B238" s="69" t="s">
        <v>3688</v>
      </c>
      <c r="C238" s="70" t="s">
        <v>514</v>
      </c>
      <c r="D238" s="69" t="s">
        <v>10</v>
      </c>
      <c r="E238" s="69"/>
      <c r="F238" s="69">
        <v>22</v>
      </c>
    </row>
    <row r="239" spans="1:6" x14ac:dyDescent="0.25">
      <c r="A239" s="68" t="s">
        <v>69</v>
      </c>
      <c r="B239" s="69" t="s">
        <v>3493</v>
      </c>
      <c r="C239" s="70" t="s">
        <v>87</v>
      </c>
      <c r="D239" s="69" t="s">
        <v>233</v>
      </c>
      <c r="E239" s="69"/>
      <c r="F239" s="69">
        <v>0</v>
      </c>
    </row>
    <row r="240" spans="1:6" x14ac:dyDescent="0.25">
      <c r="A240" s="68" t="s">
        <v>69</v>
      </c>
      <c r="B240" s="69" t="s">
        <v>3780</v>
      </c>
      <c r="C240" s="70" t="s">
        <v>2992</v>
      </c>
      <c r="D240" s="69" t="s">
        <v>18</v>
      </c>
      <c r="E240" s="69"/>
      <c r="F240" s="69">
        <v>6</v>
      </c>
    </row>
    <row r="241" spans="1:6" x14ac:dyDescent="0.25">
      <c r="A241" s="68" t="s">
        <v>69</v>
      </c>
      <c r="B241" s="69" t="s">
        <v>3782</v>
      </c>
      <c r="C241" s="70" t="s">
        <v>3031</v>
      </c>
      <c r="D241" s="69" t="s">
        <v>18</v>
      </c>
      <c r="E241" s="69"/>
      <c r="F241" s="69">
        <v>13</v>
      </c>
    </row>
    <row r="242" spans="1:6" x14ac:dyDescent="0.25">
      <c r="A242" s="68" t="s">
        <v>69</v>
      </c>
      <c r="B242" s="69" t="s">
        <v>3784</v>
      </c>
      <c r="C242" s="70" t="s">
        <v>3032</v>
      </c>
      <c r="D242" s="69" t="s">
        <v>18</v>
      </c>
      <c r="E242" s="69"/>
      <c r="F242" s="69">
        <v>19</v>
      </c>
    </row>
    <row r="243" spans="1:6" x14ac:dyDescent="0.25">
      <c r="A243" s="68" t="s">
        <v>69</v>
      </c>
      <c r="B243" s="69" t="s">
        <v>3499</v>
      </c>
      <c r="C243" s="70" t="s">
        <v>516</v>
      </c>
      <c r="D243" s="69" t="s">
        <v>18</v>
      </c>
      <c r="E243" s="69"/>
      <c r="F243" s="69">
        <v>2</v>
      </c>
    </row>
    <row r="244" spans="1:6" x14ac:dyDescent="0.25">
      <c r="A244" s="68" t="s">
        <v>69</v>
      </c>
      <c r="B244" s="69" t="s">
        <v>3468</v>
      </c>
      <c r="C244" s="70" t="s">
        <v>517</v>
      </c>
      <c r="D244" s="69" t="s">
        <v>14</v>
      </c>
      <c r="E244" s="69"/>
      <c r="F244" s="69">
        <v>45</v>
      </c>
    </row>
    <row r="245" spans="1:6" x14ac:dyDescent="0.25">
      <c r="A245" s="68" t="s">
        <v>69</v>
      </c>
      <c r="B245" s="69" t="s">
        <v>3502</v>
      </c>
      <c r="C245" s="70" t="s">
        <v>96</v>
      </c>
      <c r="D245" s="69" t="s">
        <v>10</v>
      </c>
      <c r="E245" s="69"/>
      <c r="F245" s="69">
        <v>59</v>
      </c>
    </row>
    <row r="246" spans="1:6" x14ac:dyDescent="0.25">
      <c r="A246" s="68" t="s">
        <v>69</v>
      </c>
      <c r="B246" s="69" t="s">
        <v>3502</v>
      </c>
      <c r="C246" s="70" t="s">
        <v>96</v>
      </c>
      <c r="D246" s="69" t="s">
        <v>10</v>
      </c>
      <c r="E246" s="69"/>
      <c r="F246" s="69">
        <v>0</v>
      </c>
    </row>
    <row r="247" spans="1:6" x14ac:dyDescent="0.25">
      <c r="A247" s="68" t="s">
        <v>69</v>
      </c>
      <c r="B247" s="69" t="s">
        <v>678</v>
      </c>
      <c r="C247" s="70" t="s">
        <v>97</v>
      </c>
      <c r="D247" s="69" t="s">
        <v>10</v>
      </c>
      <c r="E247" s="69"/>
      <c r="F247" s="69">
        <v>30</v>
      </c>
    </row>
    <row r="248" spans="1:6" x14ac:dyDescent="0.25">
      <c r="A248" s="68" t="s">
        <v>69</v>
      </c>
      <c r="B248" s="69" t="s">
        <v>679</v>
      </c>
      <c r="C248" s="70" t="s">
        <v>268</v>
      </c>
      <c r="D248" s="69" t="s">
        <v>14</v>
      </c>
      <c r="E248" s="69"/>
      <c r="F248" s="69">
        <v>8</v>
      </c>
    </row>
    <row r="249" spans="1:6" x14ac:dyDescent="0.25">
      <c r="A249" s="68" t="s">
        <v>69</v>
      </c>
      <c r="B249" s="69" t="s">
        <v>686</v>
      </c>
      <c r="C249" s="70" t="s">
        <v>270</v>
      </c>
      <c r="D249" s="69" t="s">
        <v>10</v>
      </c>
      <c r="E249" s="69"/>
      <c r="F249" s="69">
        <v>81</v>
      </c>
    </row>
    <row r="250" spans="1:6" x14ac:dyDescent="0.25">
      <c r="A250" s="68" t="s">
        <v>69</v>
      </c>
      <c r="B250" s="69" t="s">
        <v>687</v>
      </c>
      <c r="C250" s="70" t="s">
        <v>99</v>
      </c>
      <c r="D250" s="69" t="s">
        <v>10</v>
      </c>
      <c r="E250" s="69"/>
      <c r="F250" s="69">
        <v>18</v>
      </c>
    </row>
    <row r="251" spans="1:6" x14ac:dyDescent="0.25">
      <c r="A251" s="68" t="s">
        <v>69</v>
      </c>
      <c r="B251" s="69" t="s">
        <v>3802</v>
      </c>
      <c r="C251" s="70" t="s">
        <v>3043</v>
      </c>
      <c r="D251" s="69" t="s">
        <v>14</v>
      </c>
      <c r="E251" s="69"/>
      <c r="F251" s="69">
        <v>1</v>
      </c>
    </row>
    <row r="252" spans="1:6" x14ac:dyDescent="0.25">
      <c r="A252" s="68" t="s">
        <v>69</v>
      </c>
      <c r="B252" s="69" t="s">
        <v>3802</v>
      </c>
      <c r="C252" s="70" t="s">
        <v>3043</v>
      </c>
      <c r="D252" s="69" t="s">
        <v>14</v>
      </c>
      <c r="E252" s="69"/>
      <c r="F252" s="69">
        <v>1</v>
      </c>
    </row>
    <row r="253" spans="1:6" x14ac:dyDescent="0.25">
      <c r="A253" s="68" t="s">
        <v>69</v>
      </c>
      <c r="B253" s="69" t="s">
        <v>725</v>
      </c>
      <c r="C253" s="70" t="s">
        <v>519</v>
      </c>
      <c r="D253" s="69" t="s">
        <v>10</v>
      </c>
      <c r="E253" s="69"/>
      <c r="F253" s="69">
        <v>22</v>
      </c>
    </row>
    <row r="254" spans="1:6" x14ac:dyDescent="0.25">
      <c r="A254" s="68" t="s">
        <v>69</v>
      </c>
      <c r="B254" s="69" t="s">
        <v>738</v>
      </c>
      <c r="C254" s="70" t="s">
        <v>102</v>
      </c>
      <c r="D254" s="69" t="s">
        <v>10</v>
      </c>
      <c r="E254" s="69"/>
      <c r="F254" s="69">
        <v>88</v>
      </c>
    </row>
    <row r="255" spans="1:6" x14ac:dyDescent="0.25">
      <c r="A255" s="68" t="s">
        <v>69</v>
      </c>
      <c r="B255" s="69" t="s">
        <v>740</v>
      </c>
      <c r="C255" s="70" t="s">
        <v>103</v>
      </c>
      <c r="D255" s="69" t="s">
        <v>14</v>
      </c>
      <c r="E255" s="69"/>
      <c r="F255" s="69">
        <v>211</v>
      </c>
    </row>
    <row r="256" spans="1:6" x14ac:dyDescent="0.25">
      <c r="A256" s="68" t="s">
        <v>69</v>
      </c>
      <c r="B256" s="69" t="s">
        <v>3503</v>
      </c>
      <c r="C256" s="70" t="s">
        <v>105</v>
      </c>
      <c r="D256" s="69" t="s">
        <v>10</v>
      </c>
      <c r="E256" s="69"/>
      <c r="F256" s="69">
        <v>57</v>
      </c>
    </row>
    <row r="257" spans="1:6" x14ac:dyDescent="0.25">
      <c r="A257" s="68" t="s">
        <v>69</v>
      </c>
      <c r="B257" s="69" t="s">
        <v>782</v>
      </c>
      <c r="C257" s="70" t="s">
        <v>783</v>
      </c>
      <c r="D257" s="69" t="s">
        <v>14</v>
      </c>
      <c r="E257" s="69"/>
      <c r="F257" s="69">
        <v>0</v>
      </c>
    </row>
    <row r="258" spans="1:6" x14ac:dyDescent="0.25">
      <c r="A258" s="68" t="s">
        <v>69</v>
      </c>
      <c r="B258" s="69" t="s">
        <v>3143</v>
      </c>
      <c r="C258" s="70" t="s">
        <v>3144</v>
      </c>
      <c r="D258" s="69" t="s">
        <v>10</v>
      </c>
      <c r="E258" s="69"/>
      <c r="F258" s="69">
        <v>0</v>
      </c>
    </row>
    <row r="259" spans="1:6" x14ac:dyDescent="0.25">
      <c r="A259" s="68" t="s">
        <v>69</v>
      </c>
      <c r="B259" s="69" t="s">
        <v>931</v>
      </c>
      <c r="C259" s="70" t="s">
        <v>932</v>
      </c>
      <c r="D259" s="69" t="s">
        <v>10</v>
      </c>
      <c r="E259" s="69"/>
      <c r="F259" s="69">
        <v>0</v>
      </c>
    </row>
    <row r="260" spans="1:6" x14ac:dyDescent="0.25">
      <c r="A260" s="68" t="s">
        <v>69</v>
      </c>
      <c r="B260" s="69" t="s">
        <v>1009</v>
      </c>
      <c r="C260" s="70" t="s">
        <v>1010</v>
      </c>
      <c r="D260" s="69" t="s">
        <v>18</v>
      </c>
      <c r="E260" s="69"/>
      <c r="F260" s="69">
        <v>0</v>
      </c>
    </row>
    <row r="261" spans="1:6" x14ac:dyDescent="0.25">
      <c r="A261" s="68" t="s">
        <v>69</v>
      </c>
      <c r="B261" s="69" t="s">
        <v>1055</v>
      </c>
      <c r="C261" s="70" t="s">
        <v>1056</v>
      </c>
      <c r="D261" s="69" t="s">
        <v>14</v>
      </c>
      <c r="E261" s="69"/>
      <c r="F261" s="69">
        <v>0</v>
      </c>
    </row>
    <row r="262" spans="1:6" x14ac:dyDescent="0.25">
      <c r="A262" s="68" t="s">
        <v>69</v>
      </c>
      <c r="B262" s="69" t="s">
        <v>1089</v>
      </c>
      <c r="C262" s="70" t="s">
        <v>1090</v>
      </c>
      <c r="D262" s="69" t="s">
        <v>3771</v>
      </c>
      <c r="E262" s="69"/>
      <c r="F262" s="69">
        <v>12</v>
      </c>
    </row>
    <row r="263" spans="1:6" x14ac:dyDescent="0.25">
      <c r="A263" s="68" t="s">
        <v>69</v>
      </c>
      <c r="B263" s="69" t="s">
        <v>1091</v>
      </c>
      <c r="C263" s="70" t="s">
        <v>1092</v>
      </c>
      <c r="D263" s="69" t="s">
        <v>18</v>
      </c>
      <c r="E263" s="69"/>
      <c r="F263" s="69">
        <v>43</v>
      </c>
    </row>
    <row r="264" spans="1:6" x14ac:dyDescent="0.25">
      <c r="A264" s="68" t="s">
        <v>69</v>
      </c>
      <c r="B264" s="69" t="s">
        <v>1093</v>
      </c>
      <c r="C264" s="70" t="s">
        <v>1094</v>
      </c>
      <c r="D264" s="69" t="s">
        <v>18</v>
      </c>
      <c r="E264" s="69"/>
      <c r="F264" s="69">
        <v>45</v>
      </c>
    </row>
    <row r="265" spans="1:6" x14ac:dyDescent="0.25">
      <c r="A265" s="68" t="s">
        <v>69</v>
      </c>
      <c r="B265" s="69" t="s">
        <v>1099</v>
      </c>
      <c r="C265" s="70" t="s">
        <v>180</v>
      </c>
      <c r="D265" s="69" t="s">
        <v>10</v>
      </c>
      <c r="E265" s="69"/>
      <c r="F265" s="69">
        <v>36</v>
      </c>
    </row>
    <row r="266" spans="1:6" x14ac:dyDescent="0.25">
      <c r="A266" s="68" t="s">
        <v>69</v>
      </c>
      <c r="B266" s="69" t="s">
        <v>1100</v>
      </c>
      <c r="C266" s="70" t="s">
        <v>521</v>
      </c>
      <c r="D266" s="69" t="s">
        <v>10</v>
      </c>
      <c r="E266" s="69"/>
      <c r="F266" s="69">
        <v>34</v>
      </c>
    </row>
    <row r="267" spans="1:6" x14ac:dyDescent="0.25">
      <c r="A267" s="68" t="s">
        <v>69</v>
      </c>
      <c r="B267" s="69" t="s">
        <v>1109</v>
      </c>
      <c r="C267" s="70" t="s">
        <v>182</v>
      </c>
      <c r="D267" s="69" t="s">
        <v>183</v>
      </c>
      <c r="E267" s="69"/>
      <c r="F267" s="69">
        <v>1</v>
      </c>
    </row>
    <row r="268" spans="1:6" x14ac:dyDescent="0.25">
      <c r="A268" s="68" t="s">
        <v>69</v>
      </c>
      <c r="B268" s="69" t="s">
        <v>1110</v>
      </c>
      <c r="C268" s="70" t="s">
        <v>1111</v>
      </c>
      <c r="D268" s="69" t="s">
        <v>183</v>
      </c>
      <c r="E268" s="69"/>
      <c r="F268" s="69">
        <v>42</v>
      </c>
    </row>
    <row r="269" spans="1:6" x14ac:dyDescent="0.25">
      <c r="A269" s="68" t="s">
        <v>69</v>
      </c>
      <c r="B269" s="69" t="s">
        <v>1113</v>
      </c>
      <c r="C269" s="70" t="s">
        <v>106</v>
      </c>
      <c r="D269" s="69" t="s">
        <v>18</v>
      </c>
      <c r="E269" s="69"/>
      <c r="F269" s="69">
        <v>66</v>
      </c>
    </row>
    <row r="270" spans="1:6" x14ac:dyDescent="0.25">
      <c r="A270" s="68" t="s">
        <v>69</v>
      </c>
      <c r="B270" s="69" t="s">
        <v>3504</v>
      </c>
      <c r="C270" s="70" t="s">
        <v>107</v>
      </c>
      <c r="D270" s="69" t="s">
        <v>18</v>
      </c>
      <c r="E270" s="69"/>
      <c r="F270" s="69">
        <v>4</v>
      </c>
    </row>
    <row r="271" spans="1:6" x14ac:dyDescent="0.25">
      <c r="A271" s="68" t="s">
        <v>69</v>
      </c>
      <c r="B271" s="69" t="s">
        <v>3583</v>
      </c>
      <c r="C271" s="70" t="s">
        <v>283</v>
      </c>
      <c r="D271" s="69" t="s">
        <v>18</v>
      </c>
      <c r="E271" s="69"/>
      <c r="F271" s="69">
        <v>1</v>
      </c>
    </row>
    <row r="272" spans="1:6" x14ac:dyDescent="0.25">
      <c r="A272" s="68" t="s">
        <v>69</v>
      </c>
      <c r="B272" s="69" t="s">
        <v>1134</v>
      </c>
      <c r="C272" s="70" t="s">
        <v>111</v>
      </c>
      <c r="D272" s="69" t="s">
        <v>10</v>
      </c>
      <c r="E272" s="69"/>
      <c r="F272" s="69">
        <v>40</v>
      </c>
    </row>
    <row r="273" spans="1:6" x14ac:dyDescent="0.25">
      <c r="A273" s="68" t="s">
        <v>69</v>
      </c>
      <c r="B273" s="69" t="s">
        <v>1154</v>
      </c>
      <c r="C273" s="70" t="s">
        <v>113</v>
      </c>
      <c r="D273" s="69" t="s">
        <v>71</v>
      </c>
      <c r="E273" s="69"/>
      <c r="F273" s="69">
        <v>68</v>
      </c>
    </row>
    <row r="274" spans="1:6" x14ac:dyDescent="0.25">
      <c r="A274" s="68" t="s">
        <v>69</v>
      </c>
      <c r="B274" s="69" t="s">
        <v>1156</v>
      </c>
      <c r="C274" s="70" t="s">
        <v>115</v>
      </c>
      <c r="D274" s="69" t="s">
        <v>71</v>
      </c>
      <c r="E274" s="69"/>
      <c r="F274" s="69">
        <v>45</v>
      </c>
    </row>
    <row r="275" spans="1:6" x14ac:dyDescent="0.25">
      <c r="A275" s="68" t="s">
        <v>69</v>
      </c>
      <c r="B275" s="69" t="s">
        <v>1160</v>
      </c>
      <c r="C275" s="70" t="s">
        <v>288</v>
      </c>
      <c r="D275" s="69" t="s">
        <v>71</v>
      </c>
      <c r="E275" s="69"/>
      <c r="F275" s="69">
        <v>7</v>
      </c>
    </row>
    <row r="276" spans="1:6" x14ac:dyDescent="0.25">
      <c r="A276" s="68" t="s">
        <v>69</v>
      </c>
      <c r="B276" s="69" t="s">
        <v>1161</v>
      </c>
      <c r="C276" s="70" t="s">
        <v>184</v>
      </c>
      <c r="D276" s="69" t="s">
        <v>71</v>
      </c>
      <c r="E276" s="69"/>
      <c r="F276" s="69">
        <v>51</v>
      </c>
    </row>
    <row r="277" spans="1:6" x14ac:dyDescent="0.25">
      <c r="A277" s="68" t="s">
        <v>69</v>
      </c>
      <c r="B277" s="69" t="s">
        <v>3527</v>
      </c>
      <c r="C277" s="70" t="s">
        <v>185</v>
      </c>
      <c r="D277" s="69" t="s">
        <v>10</v>
      </c>
      <c r="E277" s="69"/>
      <c r="F277" s="69">
        <v>186</v>
      </c>
    </row>
    <row r="278" spans="1:6" x14ac:dyDescent="0.25">
      <c r="A278" s="68" t="s">
        <v>69</v>
      </c>
      <c r="B278" s="69" t="s">
        <v>1189</v>
      </c>
      <c r="C278" s="70" t="s">
        <v>1190</v>
      </c>
      <c r="D278" s="69" t="s">
        <v>18</v>
      </c>
      <c r="E278" s="69"/>
      <c r="F278" s="69">
        <v>65</v>
      </c>
    </row>
    <row r="279" spans="1:6" x14ac:dyDescent="0.25">
      <c r="A279" s="68" t="s">
        <v>69</v>
      </c>
      <c r="B279" s="69" t="s">
        <v>1191</v>
      </c>
      <c r="C279" s="70" t="s">
        <v>117</v>
      </c>
      <c r="D279" s="69" t="s">
        <v>14</v>
      </c>
      <c r="E279" s="69"/>
      <c r="F279" s="69">
        <v>52</v>
      </c>
    </row>
    <row r="280" spans="1:6" x14ac:dyDescent="0.25">
      <c r="A280" s="68" t="s">
        <v>69</v>
      </c>
      <c r="B280" s="69" t="s">
        <v>1192</v>
      </c>
      <c r="C280" s="70" t="s">
        <v>124</v>
      </c>
      <c r="D280" s="69" t="s">
        <v>14</v>
      </c>
      <c r="E280" s="69"/>
      <c r="F280" s="69">
        <v>74</v>
      </c>
    </row>
    <row r="281" spans="1:6" x14ac:dyDescent="0.25">
      <c r="A281" s="68" t="s">
        <v>69</v>
      </c>
      <c r="B281" s="69" t="s">
        <v>1200</v>
      </c>
      <c r="C281" s="70" t="s">
        <v>528</v>
      </c>
      <c r="D281" s="69" t="s">
        <v>71</v>
      </c>
      <c r="E281" s="69"/>
      <c r="F281" s="69">
        <v>4</v>
      </c>
    </row>
    <row r="282" spans="1:6" x14ac:dyDescent="0.25">
      <c r="A282" s="68" t="s">
        <v>69</v>
      </c>
      <c r="B282" s="69" t="s">
        <v>1239</v>
      </c>
      <c r="C282" s="70" t="s">
        <v>121</v>
      </c>
      <c r="D282" s="69" t="s">
        <v>14</v>
      </c>
      <c r="E282" s="69"/>
      <c r="F282" s="69">
        <v>30</v>
      </c>
    </row>
    <row r="283" spans="1:6" x14ac:dyDescent="0.25">
      <c r="A283" s="68" t="s">
        <v>69</v>
      </c>
      <c r="B283" s="69" t="s">
        <v>3204</v>
      </c>
      <c r="C283" s="70" t="s">
        <v>3205</v>
      </c>
      <c r="D283" s="69" t="s">
        <v>10</v>
      </c>
      <c r="E283" s="69"/>
      <c r="F283" s="69">
        <v>5</v>
      </c>
    </row>
    <row r="284" spans="1:6" x14ac:dyDescent="0.25">
      <c r="A284" s="68" t="s">
        <v>69</v>
      </c>
      <c r="B284" s="69" t="s">
        <v>3198</v>
      </c>
      <c r="C284" s="70" t="s">
        <v>3199</v>
      </c>
      <c r="D284" s="69"/>
      <c r="E284" s="69"/>
      <c r="F284" s="69">
        <v>12</v>
      </c>
    </row>
    <row r="285" spans="1:6" x14ac:dyDescent="0.25">
      <c r="A285" s="68" t="s">
        <v>69</v>
      </c>
      <c r="B285" s="69" t="s">
        <v>3200</v>
      </c>
      <c r="C285" s="70" t="s">
        <v>3201</v>
      </c>
      <c r="D285" s="69" t="s">
        <v>14</v>
      </c>
      <c r="E285" s="69"/>
      <c r="F285" s="69">
        <v>10</v>
      </c>
    </row>
    <row r="286" spans="1:6" x14ac:dyDescent="0.25">
      <c r="A286" s="68" t="s">
        <v>69</v>
      </c>
      <c r="B286" s="69" t="s">
        <v>3202</v>
      </c>
      <c r="C286" s="70" t="s">
        <v>3203</v>
      </c>
      <c r="D286" s="69" t="s">
        <v>14</v>
      </c>
      <c r="E286" s="69"/>
      <c r="F286" s="69">
        <v>4</v>
      </c>
    </row>
    <row r="287" spans="1:6" x14ac:dyDescent="0.25">
      <c r="A287" s="68" t="s">
        <v>69</v>
      </c>
      <c r="B287" s="69" t="s">
        <v>3212</v>
      </c>
      <c r="C287" s="70" t="s">
        <v>3213</v>
      </c>
      <c r="D287" s="69" t="s">
        <v>10</v>
      </c>
      <c r="E287" s="69"/>
      <c r="F287" s="69">
        <v>4</v>
      </c>
    </row>
    <row r="288" spans="1:6" x14ac:dyDescent="0.25">
      <c r="A288" s="68" t="s">
        <v>69</v>
      </c>
      <c r="B288" s="69" t="s">
        <v>3214</v>
      </c>
      <c r="C288" s="70" t="s">
        <v>3215</v>
      </c>
      <c r="D288" s="69" t="s">
        <v>59</v>
      </c>
      <c r="E288" s="69"/>
      <c r="F288" s="69">
        <v>0</v>
      </c>
    </row>
    <row r="289" spans="1:6" x14ac:dyDescent="0.25">
      <c r="A289" s="68" t="s">
        <v>69</v>
      </c>
      <c r="B289" s="69" t="s">
        <v>3216</v>
      </c>
      <c r="C289" s="70" t="s">
        <v>3217</v>
      </c>
      <c r="D289" s="69" t="s">
        <v>10</v>
      </c>
      <c r="E289" s="69"/>
      <c r="F289" s="69">
        <v>18</v>
      </c>
    </row>
    <row r="290" spans="1:6" x14ac:dyDescent="0.25">
      <c r="A290" s="68" t="s">
        <v>69</v>
      </c>
      <c r="B290" s="69" t="s">
        <v>3218</v>
      </c>
      <c r="C290" s="70" t="s">
        <v>3219</v>
      </c>
      <c r="D290" s="69" t="s">
        <v>10</v>
      </c>
      <c r="E290" s="69"/>
      <c r="F290" s="69">
        <v>23</v>
      </c>
    </row>
    <row r="291" spans="1:6" x14ac:dyDescent="0.25">
      <c r="A291" s="68" t="s">
        <v>69</v>
      </c>
      <c r="B291" s="69" t="s">
        <v>3220</v>
      </c>
      <c r="C291" s="70" t="s">
        <v>3221</v>
      </c>
      <c r="D291" s="69" t="s">
        <v>10</v>
      </c>
      <c r="E291" s="69"/>
      <c r="F291" s="69">
        <v>10</v>
      </c>
    </row>
    <row r="292" spans="1:6" x14ac:dyDescent="0.25">
      <c r="A292" s="68" t="s">
        <v>69</v>
      </c>
      <c r="B292" s="69" t="s">
        <v>3232</v>
      </c>
      <c r="C292" s="70" t="s">
        <v>3233</v>
      </c>
      <c r="D292" s="69" t="s">
        <v>18</v>
      </c>
      <c r="E292" s="69"/>
      <c r="F292" s="69">
        <v>2</v>
      </c>
    </row>
    <row r="293" spans="1:6" x14ac:dyDescent="0.25">
      <c r="A293" s="68" t="s">
        <v>69</v>
      </c>
      <c r="B293" s="69" t="s">
        <v>3234</v>
      </c>
      <c r="C293" s="70" t="s">
        <v>3235</v>
      </c>
      <c r="D293" s="69" t="s">
        <v>18</v>
      </c>
      <c r="E293" s="69"/>
      <c r="F293" s="69">
        <v>0</v>
      </c>
    </row>
    <row r="294" spans="1:6" x14ac:dyDescent="0.25">
      <c r="A294" s="68" t="s">
        <v>69</v>
      </c>
      <c r="B294" s="69" t="s">
        <v>1309</v>
      </c>
      <c r="C294" s="70" t="s">
        <v>1310</v>
      </c>
      <c r="D294" s="69" t="s">
        <v>10</v>
      </c>
      <c r="E294" s="69"/>
      <c r="F294" s="69">
        <v>0</v>
      </c>
    </row>
    <row r="295" spans="1:6" x14ac:dyDescent="0.25">
      <c r="A295" s="68" t="s">
        <v>69</v>
      </c>
      <c r="B295" s="69" t="s">
        <v>1343</v>
      </c>
      <c r="C295" s="70" t="s">
        <v>1344</v>
      </c>
      <c r="D295" s="69" t="s">
        <v>10</v>
      </c>
      <c r="E295" s="69"/>
      <c r="F295" s="69">
        <v>0</v>
      </c>
    </row>
    <row r="296" spans="1:6" x14ac:dyDescent="0.25">
      <c r="A296" s="68" t="s">
        <v>69</v>
      </c>
      <c r="B296" s="69" t="s">
        <v>3254</v>
      </c>
      <c r="C296" s="70" t="s">
        <v>3255</v>
      </c>
      <c r="D296" s="69" t="s">
        <v>18</v>
      </c>
      <c r="E296" s="69"/>
      <c r="F296" s="69">
        <v>2</v>
      </c>
    </row>
    <row r="297" spans="1:6" x14ac:dyDescent="0.25">
      <c r="A297" s="68" t="s">
        <v>69</v>
      </c>
      <c r="B297" s="69" t="s">
        <v>3256</v>
      </c>
      <c r="C297" s="70" t="s">
        <v>3257</v>
      </c>
      <c r="D297" s="69" t="s">
        <v>18</v>
      </c>
      <c r="E297" s="69"/>
      <c r="F297" s="69">
        <v>1</v>
      </c>
    </row>
    <row r="298" spans="1:6" x14ac:dyDescent="0.25">
      <c r="A298" s="68" t="s">
        <v>69</v>
      </c>
      <c r="B298" s="69" t="s">
        <v>1419</v>
      </c>
      <c r="C298" s="70" t="s">
        <v>1420</v>
      </c>
      <c r="D298" s="69" t="s">
        <v>14</v>
      </c>
      <c r="E298" s="69"/>
      <c r="F298" s="69">
        <v>0</v>
      </c>
    </row>
    <row r="299" spans="1:6" x14ac:dyDescent="0.25">
      <c r="A299" s="68" t="s">
        <v>69</v>
      </c>
      <c r="B299" s="69" t="s">
        <v>3380</v>
      </c>
      <c r="C299" s="70" t="s">
        <v>3381</v>
      </c>
      <c r="D299" s="69" t="s">
        <v>14</v>
      </c>
      <c r="E299" s="69"/>
      <c r="F299" s="69">
        <v>0</v>
      </c>
    </row>
    <row r="300" spans="1:6" x14ac:dyDescent="0.25">
      <c r="A300" s="68" t="s">
        <v>69</v>
      </c>
      <c r="B300" s="69" t="s">
        <v>1757</v>
      </c>
      <c r="C300" s="70" t="s">
        <v>1758</v>
      </c>
      <c r="D300" s="69" t="s">
        <v>14</v>
      </c>
      <c r="E300" s="69"/>
      <c r="F300" s="69">
        <v>48</v>
      </c>
    </row>
    <row r="301" spans="1:6" x14ac:dyDescent="0.25">
      <c r="A301" s="68" t="s">
        <v>69</v>
      </c>
      <c r="B301" s="69" t="s">
        <v>1759</v>
      </c>
      <c r="C301" s="70" t="s">
        <v>297</v>
      </c>
      <c r="D301" s="69" t="s">
        <v>14</v>
      </c>
      <c r="E301" s="69"/>
      <c r="F301" s="69">
        <v>0</v>
      </c>
    </row>
    <row r="302" spans="1:6" x14ac:dyDescent="0.25">
      <c r="A302" s="68" t="s">
        <v>69</v>
      </c>
      <c r="B302" s="69" t="s">
        <v>1760</v>
      </c>
      <c r="C302" s="70" t="s">
        <v>530</v>
      </c>
      <c r="D302" s="69" t="s">
        <v>14</v>
      </c>
      <c r="E302" s="69"/>
      <c r="F302" s="69">
        <v>44</v>
      </c>
    </row>
    <row r="303" spans="1:6" x14ac:dyDescent="0.25">
      <c r="A303" s="85" t="s">
        <v>69</v>
      </c>
      <c r="B303" s="86" t="s">
        <v>1769</v>
      </c>
      <c r="C303" s="87" t="s">
        <v>531</v>
      </c>
      <c r="D303" s="86" t="s">
        <v>10</v>
      </c>
      <c r="E303" s="86"/>
      <c r="F303" s="86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0DC5-A6C6-4681-97E3-12B498ACF92A}">
  <dimension ref="A1:N2156"/>
  <sheetViews>
    <sheetView tabSelected="1" zoomScale="69" zoomScaleNormal="85" workbookViewId="0">
      <selection activeCell="C1" sqref="C1"/>
    </sheetView>
  </sheetViews>
  <sheetFormatPr defaultRowHeight="15" x14ac:dyDescent="0.25"/>
  <cols>
    <col min="1" max="1" width="15.28515625" customWidth="1"/>
    <col min="2" max="2" width="26.5703125" bestFit="1" customWidth="1"/>
    <col min="3" max="3" width="21.42578125" bestFit="1" customWidth="1"/>
    <col min="4" max="4" width="15.5703125" bestFit="1" customWidth="1"/>
    <col min="5" max="5" width="69.42578125" bestFit="1" customWidth="1"/>
    <col min="6" max="6" width="16.5703125" bestFit="1" customWidth="1"/>
    <col min="7" max="7" width="20.42578125" bestFit="1" customWidth="1"/>
    <col min="8" max="8" width="29" bestFit="1" customWidth="1"/>
    <col min="9" max="9" width="20.140625" bestFit="1" customWidth="1"/>
    <col min="10" max="10" width="18" hidden="1" customWidth="1"/>
    <col min="11" max="11" width="26.28515625" hidden="1" customWidth="1"/>
    <col min="12" max="12" width="24.140625" hidden="1" customWidth="1"/>
    <col min="13" max="13" width="26.5703125" hidden="1" customWidth="1"/>
    <col min="14" max="14" width="24.42578125" hidden="1" customWidth="1"/>
    <col min="15" max="15" width="19.42578125" customWidth="1"/>
  </cols>
  <sheetData>
    <row r="1" spans="1:14" x14ac:dyDescent="0.25">
      <c r="A1" t="s">
        <v>3461</v>
      </c>
      <c r="B1" t="s">
        <v>3462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3711</v>
      </c>
      <c r="I1" t="s">
        <v>3760</v>
      </c>
      <c r="J1" t="s">
        <v>3874</v>
      </c>
      <c r="K1" t="s">
        <v>3875</v>
      </c>
      <c r="L1" t="s">
        <v>3876</v>
      </c>
      <c r="M1" t="s">
        <v>3877</v>
      </c>
      <c r="N1" t="s">
        <v>3878</v>
      </c>
    </row>
    <row r="2" spans="1:14" hidden="1" x14ac:dyDescent="0.25">
      <c r="A2" s="120" t="s">
        <v>3463</v>
      </c>
      <c r="B2" s="120" t="s">
        <v>3464</v>
      </c>
      <c r="C2" s="120" t="s">
        <v>301</v>
      </c>
      <c r="D2" s="120" t="s">
        <v>542</v>
      </c>
      <c r="E2" s="120" t="s">
        <v>9</v>
      </c>
      <c r="F2" s="120" t="s">
        <v>10</v>
      </c>
      <c r="G2" s="120">
        <v>40</v>
      </c>
      <c r="H2">
        <v>102</v>
      </c>
      <c r="I2" s="120" t="s">
        <v>11</v>
      </c>
      <c r="J2">
        <v>-62</v>
      </c>
      <c r="K2">
        <v>0</v>
      </c>
      <c r="L2" t="e">
        <f>_xlfn.XLOOKUP(D2, [1]!SINAPSE[Valor], [1]!SINAPSE[Valor], " ", 0, 1)</f>
        <v>#REF!</v>
      </c>
      <c r="M2">
        <v>1400</v>
      </c>
      <c r="N2">
        <v>3570</v>
      </c>
    </row>
    <row r="3" spans="1:14" hidden="1" x14ac:dyDescent="0.25">
      <c r="A3" s="120" t="s">
        <v>3463</v>
      </c>
      <c r="B3" s="120" t="s">
        <v>3588</v>
      </c>
      <c r="C3" s="120" t="s">
        <v>301</v>
      </c>
      <c r="D3" s="120" t="s">
        <v>542</v>
      </c>
      <c r="E3" s="120" t="s">
        <v>304</v>
      </c>
      <c r="F3" s="120" t="s">
        <v>18</v>
      </c>
      <c r="G3" s="120">
        <v>5</v>
      </c>
      <c r="H3">
        <v>11</v>
      </c>
      <c r="I3" s="120" t="s">
        <v>11</v>
      </c>
      <c r="J3">
        <v>-6</v>
      </c>
      <c r="K3">
        <v>0</v>
      </c>
      <c r="L3">
        <v>35</v>
      </c>
      <c r="M3">
        <v>175</v>
      </c>
      <c r="N3">
        <v>385</v>
      </c>
    </row>
    <row r="4" spans="1:14" hidden="1" x14ac:dyDescent="0.25">
      <c r="A4" s="120" t="s">
        <v>3463</v>
      </c>
      <c r="B4" s="120" t="s">
        <v>3871</v>
      </c>
      <c r="C4" s="120" t="s">
        <v>301</v>
      </c>
      <c r="D4" s="120" t="s">
        <v>542</v>
      </c>
      <c r="E4" s="120" t="s">
        <v>9</v>
      </c>
      <c r="F4" s="120" t="s">
        <v>10</v>
      </c>
      <c r="G4" s="120">
        <v>4</v>
      </c>
      <c r="H4">
        <v>3</v>
      </c>
      <c r="I4" s="120" t="s">
        <v>11</v>
      </c>
      <c r="J4">
        <v>1</v>
      </c>
      <c r="K4">
        <v>0</v>
      </c>
      <c r="L4">
        <v>35</v>
      </c>
      <c r="M4">
        <v>140</v>
      </c>
      <c r="N4">
        <v>105</v>
      </c>
    </row>
    <row r="5" spans="1:14" hidden="1" x14ac:dyDescent="0.25">
      <c r="A5" s="120" t="s">
        <v>3591</v>
      </c>
      <c r="B5" s="120" t="s">
        <v>3592</v>
      </c>
      <c r="C5" s="120" t="s">
        <v>301</v>
      </c>
      <c r="D5" s="120" t="s">
        <v>3604</v>
      </c>
      <c r="E5" s="120" t="s">
        <v>395</v>
      </c>
      <c r="F5" s="120" t="s">
        <v>18</v>
      </c>
      <c r="G5" s="120">
        <v>0</v>
      </c>
      <c r="H5">
        <v>0</v>
      </c>
      <c r="I5" s="120" t="s">
        <v>57</v>
      </c>
      <c r="J5">
        <v>0</v>
      </c>
      <c r="K5">
        <v>1</v>
      </c>
      <c r="L5" s="121">
        <v>0</v>
      </c>
      <c r="M5" s="121">
        <v>0</v>
      </c>
      <c r="N5" s="121">
        <v>0</v>
      </c>
    </row>
    <row r="6" spans="1:14" hidden="1" x14ac:dyDescent="0.25">
      <c r="A6" s="120" t="s">
        <v>3591</v>
      </c>
      <c r="B6" s="120" t="s">
        <v>3592</v>
      </c>
      <c r="C6" s="120" t="s">
        <v>301</v>
      </c>
      <c r="D6" s="120" t="s">
        <v>3508</v>
      </c>
      <c r="E6" s="120" t="s">
        <v>112</v>
      </c>
      <c r="F6" s="120" t="s">
        <v>18</v>
      </c>
      <c r="G6" s="120">
        <v>0</v>
      </c>
      <c r="H6">
        <v>0</v>
      </c>
      <c r="I6" s="120" t="s">
        <v>57</v>
      </c>
      <c r="J6">
        <v>0</v>
      </c>
      <c r="K6">
        <v>1</v>
      </c>
      <c r="L6" s="121">
        <v>0</v>
      </c>
      <c r="M6" s="121">
        <v>0</v>
      </c>
      <c r="N6" s="121">
        <v>0</v>
      </c>
    </row>
    <row r="7" spans="1:14" hidden="1" x14ac:dyDescent="0.25">
      <c r="A7" s="120" t="s">
        <v>3591</v>
      </c>
      <c r="B7" s="120" t="s">
        <v>3592</v>
      </c>
      <c r="C7" s="120" t="s">
        <v>301</v>
      </c>
      <c r="D7" s="120" t="s">
        <v>542</v>
      </c>
      <c r="E7" s="120" t="s">
        <v>9</v>
      </c>
      <c r="F7" s="120" t="s">
        <v>10</v>
      </c>
      <c r="G7" s="120">
        <v>29</v>
      </c>
      <c r="H7">
        <v>48</v>
      </c>
      <c r="I7" s="120" t="s">
        <v>11</v>
      </c>
      <c r="J7">
        <v>-19</v>
      </c>
      <c r="K7">
        <v>0</v>
      </c>
      <c r="L7" s="121">
        <v>35</v>
      </c>
      <c r="M7" s="121">
        <v>1015</v>
      </c>
      <c r="N7" s="121">
        <v>1680</v>
      </c>
    </row>
    <row r="8" spans="1:14" hidden="1" x14ac:dyDescent="0.25">
      <c r="A8" s="120" t="s">
        <v>3591</v>
      </c>
      <c r="B8" s="120" t="s">
        <v>3693</v>
      </c>
      <c r="C8" s="120" t="s">
        <v>301</v>
      </c>
      <c r="D8" s="120" t="s">
        <v>542</v>
      </c>
      <c r="E8" s="120" t="s">
        <v>9</v>
      </c>
      <c r="F8" s="120" t="s">
        <v>10</v>
      </c>
      <c r="G8" s="120">
        <v>2</v>
      </c>
      <c r="H8">
        <v>6</v>
      </c>
      <c r="I8" s="120" t="s">
        <v>11</v>
      </c>
      <c r="J8">
        <v>-4</v>
      </c>
      <c r="K8">
        <v>0</v>
      </c>
      <c r="L8">
        <v>35</v>
      </c>
      <c r="M8">
        <v>70</v>
      </c>
      <c r="N8">
        <v>210</v>
      </c>
    </row>
    <row r="9" spans="1:14" hidden="1" x14ac:dyDescent="0.25">
      <c r="A9" s="120" t="s">
        <v>3591</v>
      </c>
      <c r="B9" s="120" t="s">
        <v>3698</v>
      </c>
      <c r="C9" s="120" t="s">
        <v>301</v>
      </c>
      <c r="D9" s="120" t="s">
        <v>542</v>
      </c>
      <c r="E9" s="120" t="s">
        <v>9</v>
      </c>
      <c r="F9" s="120" t="s">
        <v>10</v>
      </c>
      <c r="G9" s="120">
        <v>0</v>
      </c>
      <c r="H9">
        <v>1</v>
      </c>
      <c r="I9" s="120" t="s">
        <v>11</v>
      </c>
      <c r="J9">
        <v>-1</v>
      </c>
      <c r="K9">
        <v>0</v>
      </c>
      <c r="L9">
        <v>35</v>
      </c>
      <c r="M9">
        <v>0</v>
      </c>
      <c r="N9">
        <v>35</v>
      </c>
    </row>
    <row r="10" spans="1:14" hidden="1" x14ac:dyDescent="0.25">
      <c r="A10" s="120" t="s">
        <v>3591</v>
      </c>
      <c r="B10" s="120" t="s">
        <v>3592</v>
      </c>
      <c r="C10" s="120" t="s">
        <v>301</v>
      </c>
      <c r="D10" s="120" t="s">
        <v>3518</v>
      </c>
      <c r="E10" s="120" t="s">
        <v>161</v>
      </c>
      <c r="F10" s="120" t="s">
        <v>18</v>
      </c>
      <c r="G10" s="120">
        <v>0</v>
      </c>
      <c r="H10">
        <v>0</v>
      </c>
      <c r="I10" s="120" t="s">
        <v>11</v>
      </c>
      <c r="J10">
        <v>0</v>
      </c>
      <c r="K10">
        <v>1</v>
      </c>
      <c r="L10" s="121">
        <v>0</v>
      </c>
      <c r="M10" s="121">
        <v>0</v>
      </c>
      <c r="N10" s="121">
        <v>0</v>
      </c>
    </row>
    <row r="11" spans="1:14" hidden="1" x14ac:dyDescent="0.25">
      <c r="A11" s="120" t="s">
        <v>3463</v>
      </c>
      <c r="B11" s="120" t="s">
        <v>3816</v>
      </c>
      <c r="C11" s="120" t="s">
        <v>301</v>
      </c>
      <c r="D11" s="120" t="s">
        <v>542</v>
      </c>
      <c r="E11" s="120" t="s">
        <v>9</v>
      </c>
      <c r="F11" s="120" t="s">
        <v>10</v>
      </c>
      <c r="G11" s="120">
        <v>0</v>
      </c>
      <c r="H11">
        <v>6</v>
      </c>
      <c r="I11" s="120" t="s">
        <v>11</v>
      </c>
      <c r="J11">
        <v>-6</v>
      </c>
      <c r="K11">
        <v>0</v>
      </c>
      <c r="L11">
        <v>35</v>
      </c>
      <c r="M11">
        <v>0</v>
      </c>
      <c r="N11">
        <v>210</v>
      </c>
    </row>
    <row r="12" spans="1:14" hidden="1" x14ac:dyDescent="0.25">
      <c r="A12" s="120" t="s">
        <v>3463</v>
      </c>
      <c r="B12" s="120" t="s">
        <v>3818</v>
      </c>
      <c r="C12" s="120" t="s">
        <v>301</v>
      </c>
      <c r="D12" s="120" t="s">
        <v>542</v>
      </c>
      <c r="E12" s="120" t="s">
        <v>9</v>
      </c>
      <c r="F12" s="120" t="s">
        <v>10</v>
      </c>
      <c r="G12" s="120">
        <v>0</v>
      </c>
      <c r="H12">
        <v>9</v>
      </c>
      <c r="I12" s="120" t="s">
        <v>11</v>
      </c>
      <c r="J12">
        <v>-9</v>
      </c>
      <c r="K12">
        <v>0</v>
      </c>
      <c r="L12">
        <v>35</v>
      </c>
      <c r="M12">
        <v>0</v>
      </c>
      <c r="N12">
        <v>315</v>
      </c>
    </row>
    <row r="13" spans="1:14" hidden="1" x14ac:dyDescent="0.25">
      <c r="A13" s="120" t="s">
        <v>3591</v>
      </c>
      <c r="B13" s="120" t="s">
        <v>3709</v>
      </c>
      <c r="C13" s="120" t="s">
        <v>301</v>
      </c>
      <c r="D13" s="120" t="s">
        <v>542</v>
      </c>
      <c r="E13" s="120" t="s">
        <v>9</v>
      </c>
      <c r="F13" s="120" t="s">
        <v>10</v>
      </c>
      <c r="G13" s="120">
        <v>2</v>
      </c>
      <c r="H13">
        <v>0</v>
      </c>
      <c r="I13" s="120" t="s">
        <v>11</v>
      </c>
      <c r="J13">
        <v>2</v>
      </c>
      <c r="K13">
        <v>0</v>
      </c>
      <c r="L13">
        <v>35</v>
      </c>
      <c r="M13">
        <v>70</v>
      </c>
      <c r="N13">
        <v>0</v>
      </c>
    </row>
    <row r="14" spans="1:14" x14ac:dyDescent="0.25">
      <c r="A14" s="120" t="s">
        <v>3758</v>
      </c>
      <c r="B14" s="120" t="s">
        <v>3759</v>
      </c>
      <c r="C14" s="120" t="s">
        <v>301</v>
      </c>
      <c r="D14" s="120" t="s">
        <v>542</v>
      </c>
      <c r="E14" s="120" t="s">
        <v>9</v>
      </c>
      <c r="F14" s="120" t="s">
        <v>10</v>
      </c>
      <c r="G14" s="120">
        <v>53</v>
      </c>
      <c r="H14">
        <v>41</v>
      </c>
      <c r="I14" s="120" t="s">
        <v>11</v>
      </c>
      <c r="J14">
        <v>12</v>
      </c>
      <c r="K14">
        <v>0</v>
      </c>
      <c r="L14">
        <v>35</v>
      </c>
      <c r="M14">
        <v>1855</v>
      </c>
      <c r="N14">
        <v>1435</v>
      </c>
    </row>
    <row r="15" spans="1:14" hidden="1" x14ac:dyDescent="0.25">
      <c r="A15" s="120" t="s">
        <v>3463</v>
      </c>
      <c r="B15" s="120" t="s">
        <v>3805</v>
      </c>
      <c r="C15" s="120" t="s">
        <v>301</v>
      </c>
      <c r="D15" s="120" t="s">
        <v>1114</v>
      </c>
      <c r="E15" s="120" t="s">
        <v>38</v>
      </c>
      <c r="F15" s="120" t="s">
        <v>14</v>
      </c>
      <c r="G15" s="120">
        <v>0</v>
      </c>
      <c r="H15">
        <v>10</v>
      </c>
      <c r="I15" s="120" t="s">
        <v>11</v>
      </c>
      <c r="J15">
        <v>-10</v>
      </c>
      <c r="K15">
        <v>0</v>
      </c>
      <c r="L15">
        <v>140</v>
      </c>
      <c r="M15">
        <v>0</v>
      </c>
      <c r="N15">
        <v>1400</v>
      </c>
    </row>
    <row r="16" spans="1:14" hidden="1" x14ac:dyDescent="0.25">
      <c r="A16" s="120" t="s">
        <v>3463</v>
      </c>
      <c r="B16" s="120" t="s">
        <v>3871</v>
      </c>
      <c r="C16" s="120" t="s">
        <v>301</v>
      </c>
      <c r="D16" s="120" t="s">
        <v>1114</v>
      </c>
      <c r="E16" s="120" t="s">
        <v>38</v>
      </c>
      <c r="F16" s="120" t="s">
        <v>14</v>
      </c>
      <c r="G16" s="120">
        <v>3</v>
      </c>
      <c r="H16">
        <v>6</v>
      </c>
      <c r="I16" s="120" t="s">
        <v>11</v>
      </c>
      <c r="J16">
        <v>-3</v>
      </c>
      <c r="K16">
        <v>0</v>
      </c>
      <c r="L16">
        <v>140</v>
      </c>
      <c r="M16">
        <v>420</v>
      </c>
      <c r="N16">
        <v>840</v>
      </c>
    </row>
    <row r="17" spans="1:14" hidden="1" x14ac:dyDescent="0.25">
      <c r="A17" s="120" t="s">
        <v>3463</v>
      </c>
      <c r="B17" s="120" t="s">
        <v>3464</v>
      </c>
      <c r="C17" s="120" t="s">
        <v>301</v>
      </c>
      <c r="D17" s="120" t="s">
        <v>1114</v>
      </c>
      <c r="E17" s="120" t="s">
        <v>38</v>
      </c>
      <c r="F17" s="120" t="s">
        <v>14</v>
      </c>
      <c r="G17" s="120">
        <v>23</v>
      </c>
      <c r="H17">
        <v>35</v>
      </c>
      <c r="I17" s="120" t="s">
        <v>47</v>
      </c>
      <c r="J17">
        <v>-12</v>
      </c>
      <c r="K17">
        <v>0</v>
      </c>
      <c r="L17">
        <v>140</v>
      </c>
      <c r="M17">
        <v>3220</v>
      </c>
      <c r="N17">
        <v>4900</v>
      </c>
    </row>
    <row r="18" spans="1:14" hidden="1" x14ac:dyDescent="0.25">
      <c r="A18" s="120" t="s">
        <v>3463</v>
      </c>
      <c r="B18" s="120" t="s">
        <v>3510</v>
      </c>
      <c r="C18" s="120" t="s">
        <v>301</v>
      </c>
      <c r="D18" s="120" t="s">
        <v>1114</v>
      </c>
      <c r="E18" s="120" t="s">
        <v>38</v>
      </c>
      <c r="F18" s="120" t="s">
        <v>14</v>
      </c>
      <c r="G18" s="120">
        <v>2</v>
      </c>
      <c r="H18">
        <v>1</v>
      </c>
      <c r="I18" s="120" t="s">
        <v>11</v>
      </c>
      <c r="J18">
        <v>1</v>
      </c>
      <c r="K18">
        <v>0</v>
      </c>
      <c r="L18">
        <v>140</v>
      </c>
      <c r="M18">
        <v>280</v>
      </c>
      <c r="N18">
        <v>140</v>
      </c>
    </row>
    <row r="19" spans="1:14" hidden="1" x14ac:dyDescent="0.25">
      <c r="A19" s="120" t="s">
        <v>3591</v>
      </c>
      <c r="B19" s="120" t="s">
        <v>3592</v>
      </c>
      <c r="C19" s="120" t="s">
        <v>301</v>
      </c>
      <c r="D19" s="120" t="s">
        <v>1114</v>
      </c>
      <c r="E19" s="120" t="s">
        <v>38</v>
      </c>
      <c r="F19" s="120" t="s">
        <v>18</v>
      </c>
      <c r="G19" s="120">
        <v>0</v>
      </c>
      <c r="H19">
        <v>1</v>
      </c>
      <c r="I19" s="120" t="s">
        <v>57</v>
      </c>
      <c r="J19">
        <v>-1</v>
      </c>
      <c r="K19">
        <v>0</v>
      </c>
      <c r="L19">
        <v>140</v>
      </c>
      <c r="M19">
        <v>0</v>
      </c>
      <c r="N19">
        <v>140</v>
      </c>
    </row>
    <row r="20" spans="1:14" hidden="1" x14ac:dyDescent="0.25">
      <c r="A20" s="120" t="s">
        <v>3591</v>
      </c>
      <c r="B20" s="120" t="s">
        <v>3592</v>
      </c>
      <c r="C20" s="120" t="s">
        <v>301</v>
      </c>
      <c r="D20" s="120" t="s">
        <v>3520</v>
      </c>
      <c r="E20" s="120" t="s">
        <v>164</v>
      </c>
      <c r="F20" s="120" t="s">
        <v>18</v>
      </c>
      <c r="G20" s="120">
        <v>0</v>
      </c>
      <c r="H20">
        <v>0</v>
      </c>
      <c r="I20" s="120" t="s">
        <v>57</v>
      </c>
      <c r="J20">
        <v>0</v>
      </c>
      <c r="K20">
        <v>1</v>
      </c>
      <c r="L20" s="121">
        <v>0</v>
      </c>
      <c r="M20" s="121">
        <v>0</v>
      </c>
      <c r="N20" s="121">
        <v>0</v>
      </c>
    </row>
    <row r="21" spans="1:14" hidden="1" x14ac:dyDescent="0.25">
      <c r="A21" s="120" t="s">
        <v>3463</v>
      </c>
      <c r="B21" s="120" t="s">
        <v>3464</v>
      </c>
      <c r="C21" s="120" t="s">
        <v>301</v>
      </c>
      <c r="D21" s="120" t="s">
        <v>543</v>
      </c>
      <c r="E21" s="120" t="s">
        <v>12</v>
      </c>
      <c r="F21" s="120" t="s">
        <v>10</v>
      </c>
      <c r="G21" s="120">
        <v>11</v>
      </c>
      <c r="H21">
        <v>28</v>
      </c>
      <c r="I21" s="120" t="s">
        <v>11</v>
      </c>
      <c r="J21">
        <v>-17</v>
      </c>
      <c r="K21">
        <v>0</v>
      </c>
      <c r="L21">
        <v>35</v>
      </c>
      <c r="M21">
        <v>385</v>
      </c>
      <c r="N21">
        <v>980</v>
      </c>
    </row>
    <row r="22" spans="1:14" hidden="1" x14ac:dyDescent="0.25">
      <c r="A22" s="120" t="s">
        <v>3463</v>
      </c>
      <c r="B22" s="120" t="s">
        <v>3871</v>
      </c>
      <c r="C22" s="120" t="s">
        <v>301</v>
      </c>
      <c r="D22" s="120" t="s">
        <v>543</v>
      </c>
      <c r="E22" s="120" t="s">
        <v>12</v>
      </c>
      <c r="F22" s="120" t="s">
        <v>10</v>
      </c>
      <c r="G22" s="120">
        <v>5</v>
      </c>
      <c r="H22">
        <v>4</v>
      </c>
      <c r="I22" s="120" t="s">
        <v>11</v>
      </c>
      <c r="J22">
        <v>1</v>
      </c>
      <c r="K22">
        <v>0</v>
      </c>
      <c r="L22">
        <v>35</v>
      </c>
      <c r="M22">
        <v>175</v>
      </c>
      <c r="N22">
        <v>140</v>
      </c>
    </row>
    <row r="23" spans="1:14" hidden="1" x14ac:dyDescent="0.25">
      <c r="A23" s="120" t="s">
        <v>3463</v>
      </c>
      <c r="B23" s="120" t="s">
        <v>3588</v>
      </c>
      <c r="C23" s="120" t="s">
        <v>301</v>
      </c>
      <c r="D23" s="120" t="s">
        <v>543</v>
      </c>
      <c r="E23" s="120" t="s">
        <v>303</v>
      </c>
      <c r="F23" s="120" t="s">
        <v>18</v>
      </c>
      <c r="G23" s="120">
        <v>3</v>
      </c>
      <c r="H23">
        <v>8</v>
      </c>
      <c r="I23" s="120" t="s">
        <v>11</v>
      </c>
      <c r="J23">
        <v>-5</v>
      </c>
      <c r="K23">
        <v>0</v>
      </c>
      <c r="L23">
        <v>35</v>
      </c>
      <c r="M23">
        <v>105</v>
      </c>
      <c r="N23">
        <v>280</v>
      </c>
    </row>
    <row r="24" spans="1:14" hidden="1" x14ac:dyDescent="0.25">
      <c r="A24" s="120" t="s">
        <v>3463</v>
      </c>
      <c r="B24" s="120" t="s">
        <v>3510</v>
      </c>
      <c r="C24" s="120" t="s">
        <v>301</v>
      </c>
      <c r="D24" s="120" t="s">
        <v>543</v>
      </c>
      <c r="E24" s="120" t="s">
        <v>12</v>
      </c>
      <c r="F24" s="120" t="s">
        <v>10</v>
      </c>
      <c r="G24" s="120">
        <v>2</v>
      </c>
      <c r="H24">
        <v>3</v>
      </c>
      <c r="I24" s="120" t="s">
        <v>11</v>
      </c>
      <c r="J24">
        <v>-1</v>
      </c>
      <c r="K24">
        <v>0</v>
      </c>
      <c r="L24">
        <v>35</v>
      </c>
      <c r="M24">
        <v>70</v>
      </c>
      <c r="N24">
        <v>105</v>
      </c>
    </row>
    <row r="25" spans="1:14" hidden="1" x14ac:dyDescent="0.25">
      <c r="A25" s="120" t="s">
        <v>3591</v>
      </c>
      <c r="B25" s="120" t="s">
        <v>3592</v>
      </c>
      <c r="C25" s="120" t="s">
        <v>301</v>
      </c>
      <c r="D25" s="120" t="s">
        <v>543</v>
      </c>
      <c r="E25" s="120" t="s">
        <v>12</v>
      </c>
      <c r="F25" s="120" t="s">
        <v>10</v>
      </c>
      <c r="G25" s="120">
        <v>7</v>
      </c>
      <c r="H25">
        <v>22</v>
      </c>
      <c r="I25" s="120" t="s">
        <v>11</v>
      </c>
      <c r="J25">
        <v>-15</v>
      </c>
      <c r="K25">
        <v>0</v>
      </c>
      <c r="L25" s="121">
        <v>35</v>
      </c>
      <c r="M25" s="121">
        <v>245</v>
      </c>
      <c r="N25" s="121">
        <v>770</v>
      </c>
    </row>
    <row r="26" spans="1:14" hidden="1" x14ac:dyDescent="0.25">
      <c r="A26" s="120" t="s">
        <v>3591</v>
      </c>
      <c r="B26" s="120" t="s">
        <v>3693</v>
      </c>
      <c r="C26" s="120" t="s">
        <v>301</v>
      </c>
      <c r="D26" s="120" t="s">
        <v>543</v>
      </c>
      <c r="E26" s="120" t="s">
        <v>12</v>
      </c>
      <c r="F26" s="120" t="s">
        <v>10</v>
      </c>
      <c r="G26" s="120">
        <v>2</v>
      </c>
      <c r="H26">
        <v>4</v>
      </c>
      <c r="I26" s="120" t="s">
        <v>47</v>
      </c>
      <c r="J26">
        <v>-2</v>
      </c>
      <c r="K26">
        <v>0</v>
      </c>
      <c r="L26">
        <v>35</v>
      </c>
      <c r="M26">
        <v>70</v>
      </c>
      <c r="N26">
        <v>140</v>
      </c>
    </row>
    <row r="27" spans="1:14" hidden="1" x14ac:dyDescent="0.25">
      <c r="A27" s="120" t="s">
        <v>3591</v>
      </c>
      <c r="B27" s="120" t="s">
        <v>3698</v>
      </c>
      <c r="C27" s="120" t="s">
        <v>301</v>
      </c>
      <c r="D27" s="120" t="s">
        <v>543</v>
      </c>
      <c r="E27" s="120" t="s">
        <v>12</v>
      </c>
      <c r="F27" s="120" t="s">
        <v>10</v>
      </c>
      <c r="G27" s="120">
        <v>1</v>
      </c>
      <c r="H27">
        <v>2</v>
      </c>
      <c r="I27" s="120" t="s">
        <v>11</v>
      </c>
      <c r="J27">
        <v>-1</v>
      </c>
      <c r="K27">
        <v>0</v>
      </c>
      <c r="L27">
        <v>35</v>
      </c>
      <c r="M27">
        <v>35</v>
      </c>
      <c r="N27">
        <v>70</v>
      </c>
    </row>
    <row r="28" spans="1:14" hidden="1" x14ac:dyDescent="0.25">
      <c r="A28" s="120" t="s">
        <v>3591</v>
      </c>
      <c r="B28" s="120" t="s">
        <v>3709</v>
      </c>
      <c r="C28" s="120" t="s">
        <v>301</v>
      </c>
      <c r="D28" s="120" t="s">
        <v>543</v>
      </c>
      <c r="E28" s="120" t="s">
        <v>12</v>
      </c>
      <c r="F28" s="120" t="s">
        <v>10</v>
      </c>
      <c r="G28" s="120">
        <v>3</v>
      </c>
      <c r="H28">
        <v>2</v>
      </c>
      <c r="I28" s="120" t="s">
        <v>11</v>
      </c>
      <c r="J28">
        <v>1</v>
      </c>
      <c r="K28">
        <v>0</v>
      </c>
      <c r="L28">
        <v>35</v>
      </c>
      <c r="M28">
        <v>105</v>
      </c>
      <c r="N28">
        <v>70</v>
      </c>
    </row>
    <row r="29" spans="1:14" hidden="1" x14ac:dyDescent="0.25">
      <c r="A29" s="120" t="s">
        <v>3591</v>
      </c>
      <c r="B29" s="120" t="s">
        <v>3592</v>
      </c>
      <c r="C29" s="120" t="s">
        <v>301</v>
      </c>
      <c r="D29" s="120" t="s">
        <v>3530</v>
      </c>
      <c r="E29" s="120" t="s">
        <v>205</v>
      </c>
      <c r="F29" s="120" t="s">
        <v>18</v>
      </c>
      <c r="G29" s="120">
        <v>0</v>
      </c>
      <c r="H29">
        <v>0</v>
      </c>
      <c r="I29" s="120" t="s">
        <v>11</v>
      </c>
      <c r="J29">
        <v>0</v>
      </c>
      <c r="K29">
        <v>1</v>
      </c>
      <c r="L29" s="121">
        <v>0</v>
      </c>
      <c r="M29" s="121">
        <v>0</v>
      </c>
      <c r="N29" s="121">
        <v>0</v>
      </c>
    </row>
    <row r="30" spans="1:14" hidden="1" x14ac:dyDescent="0.25">
      <c r="A30" s="120" t="s">
        <v>3463</v>
      </c>
      <c r="B30" s="120" t="s">
        <v>3816</v>
      </c>
      <c r="C30" s="120" t="s">
        <v>301</v>
      </c>
      <c r="D30" s="120" t="s">
        <v>543</v>
      </c>
      <c r="E30" s="120" t="s">
        <v>12</v>
      </c>
      <c r="F30" s="120" t="s">
        <v>10</v>
      </c>
      <c r="G30" s="120">
        <v>11</v>
      </c>
      <c r="H30">
        <v>5</v>
      </c>
      <c r="I30" s="120" t="s">
        <v>11</v>
      </c>
      <c r="J30">
        <v>6</v>
      </c>
      <c r="K30">
        <v>0</v>
      </c>
      <c r="L30">
        <v>35</v>
      </c>
      <c r="M30">
        <v>385</v>
      </c>
      <c r="N30">
        <v>175</v>
      </c>
    </row>
    <row r="31" spans="1:14" hidden="1" x14ac:dyDescent="0.25">
      <c r="A31" s="120" t="s">
        <v>3463</v>
      </c>
      <c r="B31" s="120" t="s">
        <v>3818</v>
      </c>
      <c r="C31" s="120" t="s">
        <v>301</v>
      </c>
      <c r="D31" s="120" t="s">
        <v>543</v>
      </c>
      <c r="E31" s="120" t="s">
        <v>12</v>
      </c>
      <c r="F31" s="120" t="s">
        <v>10</v>
      </c>
      <c r="G31" s="120">
        <v>11</v>
      </c>
      <c r="H31">
        <v>3</v>
      </c>
      <c r="I31" s="120" t="s">
        <v>11</v>
      </c>
      <c r="J31">
        <v>8</v>
      </c>
      <c r="K31">
        <v>0</v>
      </c>
      <c r="L31">
        <v>35</v>
      </c>
      <c r="M31">
        <v>385</v>
      </c>
      <c r="N31">
        <v>105</v>
      </c>
    </row>
    <row r="32" spans="1:14" x14ac:dyDescent="0.25">
      <c r="A32" s="120" t="s">
        <v>3758</v>
      </c>
      <c r="B32" s="120" t="s">
        <v>3759</v>
      </c>
      <c r="C32" s="120" t="s">
        <v>301</v>
      </c>
      <c r="D32" s="120" t="s">
        <v>543</v>
      </c>
      <c r="E32" s="120" t="s">
        <v>12</v>
      </c>
      <c r="F32" s="120" t="s">
        <v>10</v>
      </c>
      <c r="G32" s="120">
        <v>28</v>
      </c>
      <c r="H32">
        <v>37</v>
      </c>
      <c r="I32" s="120" t="s">
        <v>11</v>
      </c>
      <c r="J32">
        <v>-9</v>
      </c>
      <c r="K32">
        <v>0</v>
      </c>
      <c r="L32">
        <v>35</v>
      </c>
      <c r="M32">
        <v>980</v>
      </c>
      <c r="N32">
        <v>1295</v>
      </c>
    </row>
    <row r="33" spans="1:14" hidden="1" x14ac:dyDescent="0.25">
      <c r="A33" s="120" t="s">
        <v>3463</v>
      </c>
      <c r="B33" s="120" t="s">
        <v>3464</v>
      </c>
      <c r="C33" s="120" t="s">
        <v>301</v>
      </c>
      <c r="D33" s="120" t="s">
        <v>544</v>
      </c>
      <c r="E33" s="120" t="s">
        <v>13</v>
      </c>
      <c r="F33" s="120" t="s">
        <v>14</v>
      </c>
      <c r="G33" s="120">
        <v>53</v>
      </c>
      <c r="H33">
        <v>49</v>
      </c>
      <c r="I33" s="120" t="s">
        <v>11</v>
      </c>
      <c r="J33">
        <v>4</v>
      </c>
      <c r="K33">
        <v>0</v>
      </c>
      <c r="L33">
        <v>30</v>
      </c>
      <c r="M33">
        <v>1590</v>
      </c>
      <c r="N33">
        <v>1470</v>
      </c>
    </row>
    <row r="34" spans="1:14" hidden="1" x14ac:dyDescent="0.25">
      <c r="A34" s="120" t="s">
        <v>3591</v>
      </c>
      <c r="B34" s="120" t="s">
        <v>3592</v>
      </c>
      <c r="C34" s="120" t="s">
        <v>301</v>
      </c>
      <c r="D34" s="120" t="s">
        <v>1127</v>
      </c>
      <c r="E34" s="120" t="s">
        <v>457</v>
      </c>
      <c r="F34" s="120" t="s">
        <v>18</v>
      </c>
      <c r="G34" s="120">
        <v>3</v>
      </c>
      <c r="H34">
        <v>3</v>
      </c>
      <c r="I34" s="120" t="s">
        <v>11</v>
      </c>
      <c r="J34">
        <v>0</v>
      </c>
      <c r="K34">
        <v>1</v>
      </c>
      <c r="L34" s="121">
        <v>188.55</v>
      </c>
      <c r="M34" s="121">
        <v>565.65000000000009</v>
      </c>
      <c r="N34" s="121">
        <v>565.65000000000009</v>
      </c>
    </row>
    <row r="35" spans="1:14" hidden="1" x14ac:dyDescent="0.25">
      <c r="A35" s="120" t="s">
        <v>3463</v>
      </c>
      <c r="B35" s="120" t="s">
        <v>3528</v>
      </c>
      <c r="C35" s="120" t="s">
        <v>301</v>
      </c>
      <c r="D35" s="120" t="s">
        <v>544</v>
      </c>
      <c r="E35" s="120" t="s">
        <v>13</v>
      </c>
      <c r="F35" s="120" t="s">
        <v>14</v>
      </c>
      <c r="G35" s="120">
        <v>3</v>
      </c>
      <c r="H35">
        <v>4</v>
      </c>
      <c r="I35" s="120" t="s">
        <v>11</v>
      </c>
      <c r="J35">
        <v>-1</v>
      </c>
      <c r="K35">
        <v>0</v>
      </c>
      <c r="L35">
        <v>30</v>
      </c>
      <c r="M35">
        <v>90</v>
      </c>
      <c r="N35">
        <v>120</v>
      </c>
    </row>
    <row r="36" spans="1:14" hidden="1" x14ac:dyDescent="0.25">
      <c r="A36" s="120" t="s">
        <v>3591</v>
      </c>
      <c r="B36" s="120" t="s">
        <v>3592</v>
      </c>
      <c r="C36" s="120" t="s">
        <v>301</v>
      </c>
      <c r="D36" s="120" t="s">
        <v>3596</v>
      </c>
      <c r="E36" s="120" t="s">
        <v>379</v>
      </c>
      <c r="F36" s="120" t="s">
        <v>18</v>
      </c>
      <c r="G36" s="120">
        <v>0</v>
      </c>
      <c r="H36">
        <v>0</v>
      </c>
      <c r="I36" s="120" t="s">
        <v>57</v>
      </c>
      <c r="J36">
        <v>0</v>
      </c>
      <c r="K36">
        <v>1</v>
      </c>
      <c r="L36" s="121">
        <v>0</v>
      </c>
      <c r="M36" s="121">
        <v>0</v>
      </c>
      <c r="N36" s="121">
        <v>0</v>
      </c>
    </row>
    <row r="37" spans="1:14" hidden="1" x14ac:dyDescent="0.25">
      <c r="A37" s="120" t="s">
        <v>3463</v>
      </c>
      <c r="B37" s="120" t="s">
        <v>3588</v>
      </c>
      <c r="C37" s="120" t="s">
        <v>301</v>
      </c>
      <c r="D37" s="120" t="s">
        <v>544</v>
      </c>
      <c r="E37" s="120" t="s">
        <v>305</v>
      </c>
      <c r="F37" s="120" t="s">
        <v>18</v>
      </c>
      <c r="G37" s="120">
        <v>18</v>
      </c>
      <c r="H37">
        <v>20</v>
      </c>
      <c r="I37" s="120" t="s">
        <v>11</v>
      </c>
      <c r="J37">
        <v>-2</v>
      </c>
      <c r="K37">
        <v>0</v>
      </c>
      <c r="L37">
        <v>30</v>
      </c>
      <c r="M37">
        <v>540</v>
      </c>
      <c r="N37">
        <v>600</v>
      </c>
    </row>
    <row r="38" spans="1:14" hidden="1" x14ac:dyDescent="0.25">
      <c r="A38" s="120" t="s">
        <v>3463</v>
      </c>
      <c r="B38" s="120" t="s">
        <v>3816</v>
      </c>
      <c r="C38" s="120" t="s">
        <v>301</v>
      </c>
      <c r="D38" s="120" t="s">
        <v>544</v>
      </c>
      <c r="E38" s="120" t="s">
        <v>13</v>
      </c>
      <c r="F38" s="120" t="s">
        <v>14</v>
      </c>
      <c r="G38" s="120">
        <v>0</v>
      </c>
      <c r="H38">
        <v>9</v>
      </c>
      <c r="I38" s="120" t="s">
        <v>11</v>
      </c>
      <c r="J38">
        <v>-9</v>
      </c>
      <c r="K38">
        <v>0</v>
      </c>
      <c r="L38">
        <v>30</v>
      </c>
      <c r="M38">
        <v>0</v>
      </c>
      <c r="N38">
        <v>270</v>
      </c>
    </row>
    <row r="39" spans="1:14" hidden="1" x14ac:dyDescent="0.25">
      <c r="A39" s="120" t="s">
        <v>3463</v>
      </c>
      <c r="B39" s="120" t="s">
        <v>3818</v>
      </c>
      <c r="C39" s="120" t="s">
        <v>301</v>
      </c>
      <c r="D39" s="120" t="s">
        <v>544</v>
      </c>
      <c r="E39" s="120" t="s">
        <v>13</v>
      </c>
      <c r="F39" s="120" t="s">
        <v>14</v>
      </c>
      <c r="G39" s="120">
        <v>0</v>
      </c>
      <c r="H39">
        <v>8</v>
      </c>
      <c r="I39" s="120" t="s">
        <v>11</v>
      </c>
      <c r="J39">
        <v>-8</v>
      </c>
      <c r="K39">
        <v>0</v>
      </c>
      <c r="L39">
        <v>30</v>
      </c>
      <c r="M39">
        <v>0</v>
      </c>
      <c r="N39">
        <v>240</v>
      </c>
    </row>
    <row r="40" spans="1:14" hidden="1" x14ac:dyDescent="0.25">
      <c r="A40" s="120" t="s">
        <v>3463</v>
      </c>
      <c r="B40" s="120" t="s">
        <v>3464</v>
      </c>
      <c r="C40" s="120" t="s">
        <v>301</v>
      </c>
      <c r="D40" s="120" t="s">
        <v>538</v>
      </c>
      <c r="E40" s="120" t="s">
        <v>56</v>
      </c>
      <c r="F40" s="120" t="s">
        <v>10</v>
      </c>
      <c r="G40" s="120">
        <v>3</v>
      </c>
      <c r="H40">
        <v>16</v>
      </c>
      <c r="I40" s="120" t="s">
        <v>11</v>
      </c>
      <c r="J40">
        <v>-13</v>
      </c>
      <c r="K40">
        <v>0</v>
      </c>
      <c r="L40">
        <v>21</v>
      </c>
      <c r="M40">
        <v>63</v>
      </c>
      <c r="N40">
        <v>336</v>
      </c>
    </row>
    <row r="41" spans="1:14" hidden="1" x14ac:dyDescent="0.25">
      <c r="A41" s="120" t="s">
        <v>3463</v>
      </c>
      <c r="B41" s="120" t="s">
        <v>3816</v>
      </c>
      <c r="C41" s="120" t="s">
        <v>301</v>
      </c>
      <c r="D41" s="120" t="s">
        <v>538</v>
      </c>
      <c r="E41" s="120" t="s">
        <v>56</v>
      </c>
      <c r="F41" s="120" t="s">
        <v>10</v>
      </c>
      <c r="G41" s="120">
        <v>3</v>
      </c>
      <c r="H41">
        <v>5</v>
      </c>
      <c r="I41" s="120" t="s">
        <v>11</v>
      </c>
      <c r="J41">
        <v>-2</v>
      </c>
      <c r="K41">
        <v>0</v>
      </c>
      <c r="L41">
        <v>21</v>
      </c>
      <c r="M41">
        <v>63</v>
      </c>
      <c r="N41">
        <v>105</v>
      </c>
    </row>
    <row r="42" spans="1:14" hidden="1" x14ac:dyDescent="0.25">
      <c r="A42" s="120" t="s">
        <v>3463</v>
      </c>
      <c r="B42" s="120" t="s">
        <v>3818</v>
      </c>
      <c r="C42" s="120" t="s">
        <v>301</v>
      </c>
      <c r="D42" s="120" t="s">
        <v>538</v>
      </c>
      <c r="E42" s="120" t="s">
        <v>56</v>
      </c>
      <c r="F42" s="120" t="s">
        <v>10</v>
      </c>
      <c r="G42" s="120">
        <v>0</v>
      </c>
      <c r="H42">
        <v>2</v>
      </c>
      <c r="I42" s="120" t="s">
        <v>47</v>
      </c>
      <c r="J42">
        <v>-2</v>
      </c>
      <c r="K42">
        <v>0</v>
      </c>
      <c r="L42">
        <v>21</v>
      </c>
      <c r="M42">
        <v>0</v>
      </c>
      <c r="N42">
        <v>42</v>
      </c>
    </row>
    <row r="43" spans="1:14" hidden="1" x14ac:dyDescent="0.25">
      <c r="A43" s="120" t="s">
        <v>3591</v>
      </c>
      <c r="B43" s="120" t="s">
        <v>3592</v>
      </c>
      <c r="C43" s="120" t="s">
        <v>301</v>
      </c>
      <c r="D43" s="120" t="s">
        <v>3611</v>
      </c>
      <c r="E43" s="120" t="s">
        <v>402</v>
      </c>
      <c r="F43" s="120" t="s">
        <v>10</v>
      </c>
      <c r="G43" s="120">
        <v>0</v>
      </c>
      <c r="H43">
        <v>0</v>
      </c>
      <c r="I43" s="120" t="s">
        <v>47</v>
      </c>
      <c r="J43">
        <v>0</v>
      </c>
      <c r="K43">
        <v>1</v>
      </c>
      <c r="L43" s="121">
        <v>0</v>
      </c>
      <c r="M43" s="121">
        <v>0</v>
      </c>
      <c r="N43" s="121">
        <v>0</v>
      </c>
    </row>
    <row r="44" spans="1:14" x14ac:dyDescent="0.25">
      <c r="A44" s="120" t="s">
        <v>3758</v>
      </c>
      <c r="B44" s="120" t="s">
        <v>3759</v>
      </c>
      <c r="C44" s="120" t="s">
        <v>301</v>
      </c>
      <c r="D44" s="120" t="s">
        <v>538</v>
      </c>
      <c r="E44" s="120" t="s">
        <v>539</v>
      </c>
      <c r="F44" s="120" t="s">
        <v>10</v>
      </c>
      <c r="G44" s="120">
        <v>42</v>
      </c>
      <c r="H44">
        <v>41</v>
      </c>
      <c r="I44" s="120" t="s">
        <v>11</v>
      </c>
      <c r="J44">
        <v>1</v>
      </c>
      <c r="K44">
        <v>0</v>
      </c>
      <c r="L44">
        <v>21</v>
      </c>
      <c r="M44">
        <v>882</v>
      </c>
      <c r="N44">
        <v>861</v>
      </c>
    </row>
    <row r="45" spans="1:14" hidden="1" x14ac:dyDescent="0.25">
      <c r="A45" s="120" t="s">
        <v>3463</v>
      </c>
      <c r="B45" s="120" t="s">
        <v>3464</v>
      </c>
      <c r="C45" s="120" t="s">
        <v>301</v>
      </c>
      <c r="D45" s="120" t="s">
        <v>546</v>
      </c>
      <c r="E45" s="120" t="s">
        <v>15</v>
      </c>
      <c r="F45" s="120" t="s">
        <v>10</v>
      </c>
      <c r="G45" s="120">
        <v>50</v>
      </c>
      <c r="H45">
        <v>24</v>
      </c>
      <c r="I45" s="120" t="s">
        <v>47</v>
      </c>
      <c r="J45">
        <v>26</v>
      </c>
      <c r="K45">
        <v>0</v>
      </c>
      <c r="L45">
        <v>27.99</v>
      </c>
      <c r="M45">
        <v>1399.5</v>
      </c>
      <c r="N45">
        <v>671.76</v>
      </c>
    </row>
    <row r="46" spans="1:14" hidden="1" x14ac:dyDescent="0.25">
      <c r="A46" s="120" t="s">
        <v>3463</v>
      </c>
      <c r="B46" s="120" t="s">
        <v>3588</v>
      </c>
      <c r="C46" s="120" t="s">
        <v>301</v>
      </c>
      <c r="D46" s="120" t="s">
        <v>546</v>
      </c>
      <c r="E46" s="120" t="s">
        <v>15</v>
      </c>
      <c r="F46" s="120" t="s">
        <v>18</v>
      </c>
      <c r="G46" s="120">
        <v>0</v>
      </c>
      <c r="H46">
        <v>3</v>
      </c>
      <c r="I46" s="120" t="s">
        <v>11</v>
      </c>
      <c r="J46">
        <v>-3</v>
      </c>
      <c r="K46">
        <v>0</v>
      </c>
      <c r="L46">
        <v>27.99</v>
      </c>
      <c r="M46">
        <v>0</v>
      </c>
      <c r="N46">
        <v>83.97</v>
      </c>
    </row>
    <row r="47" spans="1:14" hidden="1" x14ac:dyDescent="0.25">
      <c r="A47" s="120" t="s">
        <v>3463</v>
      </c>
      <c r="B47" s="120" t="s">
        <v>3816</v>
      </c>
      <c r="C47" s="120" t="s">
        <v>301</v>
      </c>
      <c r="D47" s="120" t="s">
        <v>546</v>
      </c>
      <c r="E47" s="120" t="s">
        <v>15</v>
      </c>
      <c r="F47" s="120" t="s">
        <v>10</v>
      </c>
      <c r="G47" s="120">
        <v>50</v>
      </c>
      <c r="H47">
        <v>6</v>
      </c>
      <c r="I47" s="120" t="s">
        <v>47</v>
      </c>
      <c r="J47">
        <v>44</v>
      </c>
      <c r="K47">
        <v>0</v>
      </c>
      <c r="L47">
        <v>27.99</v>
      </c>
      <c r="M47">
        <v>1399.5</v>
      </c>
      <c r="N47">
        <v>167.94</v>
      </c>
    </row>
    <row r="48" spans="1:14" hidden="1" x14ac:dyDescent="0.25">
      <c r="A48" s="120" t="s">
        <v>3463</v>
      </c>
      <c r="B48" s="120" t="s">
        <v>3464</v>
      </c>
      <c r="C48" s="120" t="s">
        <v>301</v>
      </c>
      <c r="D48" s="120" t="s">
        <v>558</v>
      </c>
      <c r="E48" s="120" t="s">
        <v>16</v>
      </c>
      <c r="F48" s="120" t="s">
        <v>10</v>
      </c>
      <c r="G48" s="120">
        <v>75</v>
      </c>
      <c r="H48">
        <v>147</v>
      </c>
      <c r="I48" s="120" t="s">
        <v>11</v>
      </c>
      <c r="J48">
        <v>-72</v>
      </c>
      <c r="K48">
        <v>0</v>
      </c>
      <c r="L48">
        <v>35</v>
      </c>
      <c r="M48">
        <v>2625</v>
      </c>
      <c r="N48">
        <v>5145</v>
      </c>
    </row>
    <row r="49" spans="1:14" hidden="1" x14ac:dyDescent="0.25">
      <c r="A49" s="120" t="s">
        <v>3463</v>
      </c>
      <c r="B49" s="120" t="s">
        <v>3871</v>
      </c>
      <c r="C49" s="120" t="s">
        <v>301</v>
      </c>
      <c r="D49" s="120" t="s">
        <v>558</v>
      </c>
      <c r="E49" s="120" t="s">
        <v>16</v>
      </c>
      <c r="F49" s="120" t="s">
        <v>10</v>
      </c>
      <c r="G49" s="120">
        <v>5</v>
      </c>
      <c r="H49">
        <v>4</v>
      </c>
      <c r="I49" s="120" t="s">
        <v>11</v>
      </c>
      <c r="J49">
        <v>1</v>
      </c>
      <c r="K49">
        <v>0</v>
      </c>
      <c r="L49">
        <v>35</v>
      </c>
      <c r="M49">
        <v>175</v>
      </c>
      <c r="N49">
        <v>140</v>
      </c>
    </row>
    <row r="50" spans="1:14" hidden="1" x14ac:dyDescent="0.25">
      <c r="A50" s="120" t="s">
        <v>3591</v>
      </c>
      <c r="B50" s="120" t="s">
        <v>3592</v>
      </c>
      <c r="C50" s="120" t="s">
        <v>301</v>
      </c>
      <c r="D50" s="120" t="s">
        <v>3612</v>
      </c>
      <c r="E50" s="120" t="s">
        <v>403</v>
      </c>
      <c r="F50" s="120" t="s">
        <v>18</v>
      </c>
      <c r="G50" s="120">
        <v>0</v>
      </c>
      <c r="H50">
        <v>0</v>
      </c>
      <c r="I50" s="120" t="s">
        <v>57</v>
      </c>
      <c r="J50">
        <v>0</v>
      </c>
      <c r="K50">
        <v>1</v>
      </c>
      <c r="L50" s="121">
        <v>0</v>
      </c>
      <c r="M50" s="121">
        <v>0</v>
      </c>
      <c r="N50" s="121">
        <v>0</v>
      </c>
    </row>
    <row r="51" spans="1:14" hidden="1" x14ac:dyDescent="0.25">
      <c r="A51" s="120" t="s">
        <v>3591</v>
      </c>
      <c r="B51" s="120" t="s">
        <v>3592</v>
      </c>
      <c r="C51" s="120" t="s">
        <v>301</v>
      </c>
      <c r="D51" s="120" t="s">
        <v>3613</v>
      </c>
      <c r="E51" s="120" t="s">
        <v>404</v>
      </c>
      <c r="F51" s="120" t="s">
        <v>10</v>
      </c>
      <c r="G51" s="120">
        <v>0</v>
      </c>
      <c r="H51">
        <v>0</v>
      </c>
      <c r="I51" s="120" t="s">
        <v>11</v>
      </c>
      <c r="J51">
        <v>0</v>
      </c>
      <c r="K51">
        <v>1</v>
      </c>
      <c r="L51" s="121">
        <v>0</v>
      </c>
      <c r="M51" s="121">
        <v>0</v>
      </c>
      <c r="N51" s="121">
        <v>0</v>
      </c>
    </row>
    <row r="52" spans="1:14" hidden="1" x14ac:dyDescent="0.25">
      <c r="A52" s="120" t="s">
        <v>3463</v>
      </c>
      <c r="B52" s="120" t="s">
        <v>3588</v>
      </c>
      <c r="C52" s="120" t="s">
        <v>301</v>
      </c>
      <c r="D52" s="120" t="s">
        <v>558</v>
      </c>
      <c r="E52" s="120" t="s">
        <v>302</v>
      </c>
      <c r="F52" s="120" t="s">
        <v>18</v>
      </c>
      <c r="G52" s="120">
        <v>11</v>
      </c>
      <c r="H52">
        <v>17</v>
      </c>
      <c r="I52" s="120" t="s">
        <v>11</v>
      </c>
      <c r="J52">
        <v>-6</v>
      </c>
      <c r="K52">
        <v>0</v>
      </c>
      <c r="L52">
        <v>35</v>
      </c>
      <c r="M52">
        <v>385</v>
      </c>
      <c r="N52">
        <v>595</v>
      </c>
    </row>
    <row r="53" spans="1:14" hidden="1" x14ac:dyDescent="0.25">
      <c r="A53" s="120" t="s">
        <v>3591</v>
      </c>
      <c r="B53" s="120" t="s">
        <v>3592</v>
      </c>
      <c r="C53" s="120" t="s">
        <v>301</v>
      </c>
      <c r="D53" s="120" t="s">
        <v>3617</v>
      </c>
      <c r="E53" s="120" t="s">
        <v>408</v>
      </c>
      <c r="F53" s="120" t="s">
        <v>10</v>
      </c>
      <c r="G53" s="120">
        <v>0</v>
      </c>
      <c r="H53">
        <v>0</v>
      </c>
      <c r="I53" s="120" t="s">
        <v>47</v>
      </c>
      <c r="J53">
        <v>0</v>
      </c>
      <c r="K53">
        <v>1</v>
      </c>
      <c r="L53" s="121">
        <v>0</v>
      </c>
      <c r="M53" s="121">
        <v>0</v>
      </c>
      <c r="N53" s="121">
        <v>0</v>
      </c>
    </row>
    <row r="54" spans="1:14" hidden="1" x14ac:dyDescent="0.25">
      <c r="A54" s="120" t="s">
        <v>3591</v>
      </c>
      <c r="B54" s="120" t="s">
        <v>3592</v>
      </c>
      <c r="C54" s="120" t="s">
        <v>301</v>
      </c>
      <c r="D54" s="120" t="s">
        <v>558</v>
      </c>
      <c r="E54" s="120" t="s">
        <v>16</v>
      </c>
      <c r="F54" s="120" t="s">
        <v>10</v>
      </c>
      <c r="G54" s="120">
        <v>26</v>
      </c>
      <c r="H54">
        <v>40</v>
      </c>
      <c r="I54" s="120" t="s">
        <v>11</v>
      </c>
      <c r="J54">
        <v>-14</v>
      </c>
      <c r="K54">
        <v>0</v>
      </c>
      <c r="L54" s="121">
        <v>35</v>
      </c>
      <c r="M54" s="121">
        <v>910</v>
      </c>
      <c r="N54" s="121">
        <v>1400</v>
      </c>
    </row>
    <row r="55" spans="1:14" hidden="1" x14ac:dyDescent="0.25">
      <c r="A55" s="120" t="s">
        <v>3591</v>
      </c>
      <c r="B55" s="120" t="s">
        <v>3592</v>
      </c>
      <c r="C55" s="120" t="s">
        <v>301</v>
      </c>
      <c r="D55" s="120" t="s">
        <v>3624</v>
      </c>
      <c r="E55" s="120" t="s">
        <v>419</v>
      </c>
      <c r="F55" s="120" t="s">
        <v>18</v>
      </c>
      <c r="G55" s="120">
        <v>0</v>
      </c>
      <c r="H55">
        <v>0</v>
      </c>
      <c r="I55" s="120" t="s">
        <v>47</v>
      </c>
      <c r="J55">
        <v>0</v>
      </c>
      <c r="K55">
        <v>1</v>
      </c>
      <c r="L55" s="121">
        <v>0</v>
      </c>
      <c r="M55" s="121">
        <v>0</v>
      </c>
      <c r="N55" s="121">
        <v>0</v>
      </c>
    </row>
    <row r="56" spans="1:14" hidden="1" x14ac:dyDescent="0.25">
      <c r="A56" s="120" t="s">
        <v>3591</v>
      </c>
      <c r="B56" s="120" t="s">
        <v>3693</v>
      </c>
      <c r="C56" s="120" t="s">
        <v>301</v>
      </c>
      <c r="D56" s="120" t="s">
        <v>558</v>
      </c>
      <c r="E56" s="120" t="s">
        <v>16</v>
      </c>
      <c r="F56" s="120" t="s">
        <v>10</v>
      </c>
      <c r="G56" s="120">
        <v>2</v>
      </c>
      <c r="H56">
        <v>7</v>
      </c>
      <c r="I56" s="120" t="s">
        <v>11</v>
      </c>
      <c r="J56">
        <v>-5</v>
      </c>
      <c r="K56">
        <v>0</v>
      </c>
      <c r="L56">
        <v>35</v>
      </c>
      <c r="M56">
        <v>70</v>
      </c>
      <c r="N56">
        <v>245</v>
      </c>
    </row>
    <row r="57" spans="1:14" hidden="1" x14ac:dyDescent="0.25">
      <c r="A57" s="120" t="s">
        <v>3591</v>
      </c>
      <c r="B57" s="120" t="s">
        <v>3701</v>
      </c>
      <c r="C57" s="120" t="s">
        <v>301</v>
      </c>
      <c r="D57" s="120" t="s">
        <v>558</v>
      </c>
      <c r="E57" s="120" t="s">
        <v>16</v>
      </c>
      <c r="F57" s="120" t="s">
        <v>10</v>
      </c>
      <c r="G57" s="120">
        <v>4</v>
      </c>
      <c r="H57">
        <v>5</v>
      </c>
      <c r="I57" s="120" t="s">
        <v>11</v>
      </c>
      <c r="J57">
        <v>-1</v>
      </c>
      <c r="K57">
        <v>0</v>
      </c>
      <c r="L57">
        <v>35</v>
      </c>
      <c r="M57">
        <v>140</v>
      </c>
      <c r="N57">
        <v>175</v>
      </c>
    </row>
    <row r="58" spans="1:14" hidden="1" x14ac:dyDescent="0.25">
      <c r="A58" s="120" t="s">
        <v>3463</v>
      </c>
      <c r="B58" s="120" t="s">
        <v>3816</v>
      </c>
      <c r="C58" s="120" t="s">
        <v>301</v>
      </c>
      <c r="D58" s="120" t="s">
        <v>558</v>
      </c>
      <c r="E58" s="120" t="s">
        <v>16</v>
      </c>
      <c r="F58" s="120" t="s">
        <v>10</v>
      </c>
      <c r="G58" s="120">
        <v>0</v>
      </c>
      <c r="H58">
        <v>8</v>
      </c>
      <c r="I58" s="120" t="s">
        <v>11</v>
      </c>
      <c r="J58">
        <v>-8</v>
      </c>
      <c r="K58">
        <v>0</v>
      </c>
      <c r="L58">
        <v>35</v>
      </c>
      <c r="M58">
        <v>0</v>
      </c>
      <c r="N58">
        <v>280</v>
      </c>
    </row>
    <row r="59" spans="1:14" hidden="1" x14ac:dyDescent="0.25">
      <c r="A59" s="120" t="s">
        <v>3463</v>
      </c>
      <c r="B59" s="120" t="s">
        <v>3818</v>
      </c>
      <c r="C59" s="120" t="s">
        <v>301</v>
      </c>
      <c r="D59" s="120" t="s">
        <v>558</v>
      </c>
      <c r="E59" s="120" t="s">
        <v>16</v>
      </c>
      <c r="F59" s="120" t="s">
        <v>10</v>
      </c>
      <c r="G59" s="120">
        <v>75</v>
      </c>
      <c r="H59">
        <v>6</v>
      </c>
      <c r="I59" s="120" t="s">
        <v>11</v>
      </c>
      <c r="J59">
        <v>69</v>
      </c>
      <c r="K59">
        <v>0</v>
      </c>
      <c r="L59">
        <v>35</v>
      </c>
      <c r="M59">
        <v>2625</v>
      </c>
      <c r="N59">
        <v>210</v>
      </c>
    </row>
    <row r="60" spans="1:14" x14ac:dyDescent="0.25">
      <c r="A60" s="120" t="s">
        <v>3758</v>
      </c>
      <c r="B60" s="120" t="s">
        <v>3759</v>
      </c>
      <c r="C60" s="120" t="s">
        <v>301</v>
      </c>
      <c r="D60" s="120" t="s">
        <v>558</v>
      </c>
      <c r="E60" s="120" t="s">
        <v>16</v>
      </c>
      <c r="F60" s="120" t="s">
        <v>10</v>
      </c>
      <c r="G60" s="120">
        <v>45</v>
      </c>
      <c r="H60">
        <v>41</v>
      </c>
      <c r="I60" s="120" t="s">
        <v>11</v>
      </c>
      <c r="J60">
        <v>4</v>
      </c>
      <c r="K60">
        <v>0</v>
      </c>
      <c r="L60">
        <v>35</v>
      </c>
      <c r="M60">
        <v>1575</v>
      </c>
      <c r="N60">
        <v>1435</v>
      </c>
    </row>
    <row r="61" spans="1:14" hidden="1" x14ac:dyDescent="0.25">
      <c r="A61" s="120" t="s">
        <v>3463</v>
      </c>
      <c r="B61" s="120" t="s">
        <v>3464</v>
      </c>
      <c r="C61" s="120" t="s">
        <v>301</v>
      </c>
      <c r="D61" s="120" t="s">
        <v>3465</v>
      </c>
      <c r="E61" s="120" t="s">
        <v>17</v>
      </c>
      <c r="F61" s="120" t="s">
        <v>18</v>
      </c>
      <c r="G61" s="120">
        <v>103</v>
      </c>
      <c r="H61">
        <v>0</v>
      </c>
      <c r="I61" s="120" t="s">
        <v>11</v>
      </c>
      <c r="J61">
        <v>103</v>
      </c>
      <c r="K61">
        <v>0</v>
      </c>
      <c r="L61">
        <v>0</v>
      </c>
      <c r="M61">
        <v>0</v>
      </c>
      <c r="N61">
        <v>0</v>
      </c>
    </row>
    <row r="62" spans="1:14" hidden="1" x14ac:dyDescent="0.25">
      <c r="A62" s="120" t="s">
        <v>3463</v>
      </c>
      <c r="B62" s="120" t="s">
        <v>3871</v>
      </c>
      <c r="C62" s="120" t="s">
        <v>301</v>
      </c>
      <c r="D62" s="120" t="s">
        <v>3465</v>
      </c>
      <c r="E62" s="120" t="s">
        <v>17</v>
      </c>
      <c r="F62" s="120" t="s">
        <v>18</v>
      </c>
      <c r="G62" s="120">
        <v>1</v>
      </c>
      <c r="H62">
        <v>0</v>
      </c>
      <c r="I62" s="120" t="s">
        <v>47</v>
      </c>
      <c r="J62">
        <v>1</v>
      </c>
      <c r="K62">
        <v>0</v>
      </c>
      <c r="L62">
        <v>0</v>
      </c>
      <c r="M62">
        <v>0</v>
      </c>
      <c r="N62">
        <v>0</v>
      </c>
    </row>
    <row r="63" spans="1:14" hidden="1" x14ac:dyDescent="0.25">
      <c r="A63" s="120" t="s">
        <v>3463</v>
      </c>
      <c r="B63" s="120" t="s">
        <v>3510</v>
      </c>
      <c r="C63" s="120" t="s">
        <v>301</v>
      </c>
      <c r="D63" s="120" t="s">
        <v>3465</v>
      </c>
      <c r="E63" s="120" t="s">
        <v>17</v>
      </c>
      <c r="F63" s="120" t="s">
        <v>18</v>
      </c>
      <c r="G63" s="120">
        <v>6</v>
      </c>
      <c r="H63">
        <v>0</v>
      </c>
      <c r="I63" s="120" t="s">
        <v>57</v>
      </c>
      <c r="J63">
        <v>6</v>
      </c>
      <c r="K63">
        <v>0</v>
      </c>
      <c r="L63">
        <v>0</v>
      </c>
      <c r="M63">
        <v>0</v>
      </c>
      <c r="N63">
        <v>0</v>
      </c>
    </row>
    <row r="64" spans="1:14" hidden="1" x14ac:dyDescent="0.25">
      <c r="A64" s="120" t="s">
        <v>3463</v>
      </c>
      <c r="B64" s="120" t="s">
        <v>3816</v>
      </c>
      <c r="C64" s="120" t="s">
        <v>301</v>
      </c>
      <c r="D64" s="120" t="s">
        <v>3465</v>
      </c>
      <c r="E64" s="120" t="s">
        <v>17</v>
      </c>
      <c r="F64" s="120" t="s">
        <v>18</v>
      </c>
      <c r="G64" s="120">
        <v>103</v>
      </c>
      <c r="H64">
        <v>0</v>
      </c>
      <c r="I64" s="120" t="s">
        <v>11</v>
      </c>
      <c r="J64">
        <v>103</v>
      </c>
      <c r="K64">
        <v>0</v>
      </c>
      <c r="L64">
        <v>0</v>
      </c>
      <c r="M64">
        <v>0</v>
      </c>
      <c r="N64">
        <v>0</v>
      </c>
    </row>
    <row r="65" spans="1:14" hidden="1" x14ac:dyDescent="0.25">
      <c r="A65" s="120" t="s">
        <v>3591</v>
      </c>
      <c r="B65" s="120" t="s">
        <v>3592</v>
      </c>
      <c r="C65" s="120" t="s">
        <v>301</v>
      </c>
      <c r="D65" s="120" t="s">
        <v>3629</v>
      </c>
      <c r="E65" s="120" t="s">
        <v>424</v>
      </c>
      <c r="F65" s="120" t="s">
        <v>18</v>
      </c>
      <c r="G65" s="120">
        <v>0</v>
      </c>
      <c r="H65">
        <v>0</v>
      </c>
      <c r="I65" s="120" t="s">
        <v>47</v>
      </c>
      <c r="J65">
        <v>0</v>
      </c>
      <c r="K65">
        <v>1</v>
      </c>
      <c r="L65" s="121">
        <v>0</v>
      </c>
      <c r="M65" s="121">
        <v>0</v>
      </c>
      <c r="N65" s="121">
        <v>0</v>
      </c>
    </row>
    <row r="66" spans="1:14" hidden="1" x14ac:dyDescent="0.25">
      <c r="A66" s="120" t="s">
        <v>3463</v>
      </c>
      <c r="B66" s="120" t="s">
        <v>3528</v>
      </c>
      <c r="C66" s="120" t="s">
        <v>301</v>
      </c>
      <c r="D66" s="120" t="s">
        <v>3465</v>
      </c>
      <c r="E66" s="120" t="s">
        <v>17</v>
      </c>
      <c r="F66" s="120" t="s">
        <v>18</v>
      </c>
      <c r="G66" s="120">
        <v>5</v>
      </c>
      <c r="H66">
        <v>0</v>
      </c>
      <c r="I66" s="120" t="s">
        <v>11</v>
      </c>
      <c r="J66">
        <v>5</v>
      </c>
      <c r="K66">
        <v>0</v>
      </c>
      <c r="L66">
        <v>0</v>
      </c>
      <c r="M66">
        <v>0</v>
      </c>
      <c r="N66">
        <v>0</v>
      </c>
    </row>
    <row r="67" spans="1:14" hidden="1" x14ac:dyDescent="0.25">
      <c r="A67" s="120" t="s">
        <v>3463</v>
      </c>
      <c r="B67" s="120" t="s">
        <v>3588</v>
      </c>
      <c r="C67" s="120" t="s">
        <v>301</v>
      </c>
      <c r="D67" s="120" t="s">
        <v>3465</v>
      </c>
      <c r="E67" s="120" t="s">
        <v>320</v>
      </c>
      <c r="F67" s="120" t="s">
        <v>18</v>
      </c>
      <c r="G67" s="120">
        <v>11</v>
      </c>
      <c r="H67">
        <v>0</v>
      </c>
      <c r="I67" s="120" t="s">
        <v>47</v>
      </c>
      <c r="J67">
        <v>11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s="120" t="s">
        <v>3758</v>
      </c>
      <c r="B68" s="120" t="s">
        <v>3759</v>
      </c>
      <c r="C68" s="120" t="s">
        <v>301</v>
      </c>
      <c r="D68" s="120" t="s">
        <v>3465</v>
      </c>
      <c r="E68" s="120" t="s">
        <v>17</v>
      </c>
      <c r="F68" s="120" t="s">
        <v>18</v>
      </c>
      <c r="G68" s="120">
        <v>25</v>
      </c>
      <c r="H68">
        <v>0</v>
      </c>
      <c r="I68" s="120" t="s">
        <v>11</v>
      </c>
      <c r="J68">
        <v>25</v>
      </c>
      <c r="K68">
        <v>0</v>
      </c>
      <c r="L68">
        <v>0</v>
      </c>
      <c r="M68">
        <v>0</v>
      </c>
      <c r="N68">
        <v>0</v>
      </c>
    </row>
    <row r="69" spans="1:14" hidden="1" x14ac:dyDescent="0.25">
      <c r="A69" s="120" t="s">
        <v>3463</v>
      </c>
      <c r="B69" s="120" t="s">
        <v>3871</v>
      </c>
      <c r="C69" s="120" t="s">
        <v>301</v>
      </c>
      <c r="D69" s="120" t="s">
        <v>3478</v>
      </c>
      <c r="E69" s="120" t="s">
        <v>48</v>
      </c>
      <c r="F69" s="120" t="s">
        <v>10</v>
      </c>
      <c r="G69" s="120">
        <v>6</v>
      </c>
      <c r="H69">
        <v>0</v>
      </c>
      <c r="I69" s="120" t="s">
        <v>11</v>
      </c>
      <c r="J69">
        <v>6</v>
      </c>
      <c r="K69">
        <v>0</v>
      </c>
      <c r="L69">
        <v>0</v>
      </c>
      <c r="M69">
        <v>0</v>
      </c>
      <c r="N69">
        <v>0</v>
      </c>
    </row>
    <row r="70" spans="1:14" hidden="1" x14ac:dyDescent="0.25">
      <c r="A70" s="120" t="s">
        <v>3463</v>
      </c>
      <c r="B70" s="120" t="s">
        <v>3464</v>
      </c>
      <c r="C70" s="120" t="s">
        <v>301</v>
      </c>
      <c r="D70" s="120" t="s">
        <v>3478</v>
      </c>
      <c r="E70" s="120" t="s">
        <v>48</v>
      </c>
      <c r="F70" s="120" t="s">
        <v>10</v>
      </c>
      <c r="G70" s="120">
        <v>19</v>
      </c>
      <c r="H70">
        <v>0</v>
      </c>
      <c r="I70" s="120" t="s">
        <v>11</v>
      </c>
      <c r="J70">
        <v>19</v>
      </c>
      <c r="K70">
        <v>0</v>
      </c>
      <c r="L70">
        <v>0</v>
      </c>
      <c r="M70">
        <v>0</v>
      </c>
      <c r="N70">
        <v>0</v>
      </c>
    </row>
    <row r="71" spans="1:14" hidden="1" x14ac:dyDescent="0.25">
      <c r="A71" s="120" t="s">
        <v>3591</v>
      </c>
      <c r="B71" s="120" t="s">
        <v>3592</v>
      </c>
      <c r="C71" s="120" t="s">
        <v>301</v>
      </c>
      <c r="D71" s="120" t="s">
        <v>3630</v>
      </c>
      <c r="E71" s="120" t="s">
        <v>425</v>
      </c>
      <c r="F71" s="120" t="s">
        <v>18</v>
      </c>
      <c r="G71" s="120">
        <v>0</v>
      </c>
      <c r="H71">
        <v>0</v>
      </c>
      <c r="I71" s="120" t="s">
        <v>57</v>
      </c>
      <c r="J71">
        <v>0</v>
      </c>
      <c r="K71">
        <v>1</v>
      </c>
      <c r="L71" s="121">
        <v>0</v>
      </c>
      <c r="M71" s="121">
        <v>0</v>
      </c>
      <c r="N71" s="121">
        <v>0</v>
      </c>
    </row>
    <row r="72" spans="1:14" hidden="1" x14ac:dyDescent="0.25">
      <c r="A72" s="120" t="s">
        <v>3463</v>
      </c>
      <c r="B72" s="120" t="s">
        <v>3510</v>
      </c>
      <c r="C72" s="120" t="s">
        <v>301</v>
      </c>
      <c r="D72" s="120" t="s">
        <v>3478</v>
      </c>
      <c r="E72" s="120" t="s">
        <v>48</v>
      </c>
      <c r="F72" s="120" t="s">
        <v>10</v>
      </c>
      <c r="G72" s="120">
        <v>6</v>
      </c>
      <c r="H72">
        <v>0</v>
      </c>
      <c r="I72" s="120" t="s">
        <v>11</v>
      </c>
      <c r="J72">
        <v>6</v>
      </c>
      <c r="K72">
        <v>0</v>
      </c>
      <c r="L72">
        <v>0</v>
      </c>
      <c r="M72">
        <v>0</v>
      </c>
      <c r="N72">
        <v>0</v>
      </c>
    </row>
    <row r="73" spans="1:14" hidden="1" x14ac:dyDescent="0.25">
      <c r="A73" s="120" t="s">
        <v>3591</v>
      </c>
      <c r="B73" s="120" t="s">
        <v>3592</v>
      </c>
      <c r="C73" s="120" t="s">
        <v>301</v>
      </c>
      <c r="D73" s="120" t="s">
        <v>3632</v>
      </c>
      <c r="E73" s="120" t="s">
        <v>434</v>
      </c>
      <c r="F73" s="120" t="s">
        <v>10</v>
      </c>
      <c r="G73" s="120">
        <v>0</v>
      </c>
      <c r="H73">
        <v>0</v>
      </c>
      <c r="I73" s="120" t="s">
        <v>11</v>
      </c>
      <c r="J73">
        <v>0</v>
      </c>
      <c r="K73">
        <v>1</v>
      </c>
      <c r="L73" s="121">
        <v>0</v>
      </c>
      <c r="M73" s="121">
        <v>0</v>
      </c>
      <c r="N73" s="121">
        <v>0</v>
      </c>
    </row>
    <row r="74" spans="1:14" hidden="1" x14ac:dyDescent="0.25">
      <c r="A74" s="120" t="s">
        <v>3591</v>
      </c>
      <c r="B74" s="120" t="s">
        <v>3592</v>
      </c>
      <c r="C74" s="120" t="s">
        <v>301</v>
      </c>
      <c r="D74" s="120" t="s">
        <v>3478</v>
      </c>
      <c r="E74" s="120" t="s">
        <v>48</v>
      </c>
      <c r="F74" s="120" t="s">
        <v>10</v>
      </c>
      <c r="G74" s="120">
        <v>23</v>
      </c>
      <c r="H74">
        <v>0</v>
      </c>
      <c r="I74" s="120" t="s">
        <v>11</v>
      </c>
      <c r="J74">
        <v>23</v>
      </c>
      <c r="K74">
        <v>0</v>
      </c>
      <c r="L74" s="121">
        <v>0</v>
      </c>
      <c r="M74" s="121">
        <v>0</v>
      </c>
      <c r="N74" s="121">
        <v>0</v>
      </c>
    </row>
    <row r="75" spans="1:14" hidden="1" x14ac:dyDescent="0.25">
      <c r="A75" s="120" t="s">
        <v>3591</v>
      </c>
      <c r="B75" s="120" t="s">
        <v>3592</v>
      </c>
      <c r="C75" s="120" t="s">
        <v>301</v>
      </c>
      <c r="D75" s="120" t="s">
        <v>3633</v>
      </c>
      <c r="E75" s="120" t="s">
        <v>435</v>
      </c>
      <c r="F75" s="120" t="s">
        <v>10</v>
      </c>
      <c r="G75" s="120">
        <v>0</v>
      </c>
      <c r="H75">
        <v>0</v>
      </c>
      <c r="I75" s="120" t="s">
        <v>11</v>
      </c>
      <c r="J75">
        <v>0</v>
      </c>
      <c r="K75">
        <v>1</v>
      </c>
      <c r="L75" s="121">
        <v>0</v>
      </c>
      <c r="M75" s="121">
        <v>0</v>
      </c>
      <c r="N75" s="121">
        <v>0</v>
      </c>
    </row>
    <row r="76" spans="1:14" hidden="1" x14ac:dyDescent="0.25">
      <c r="A76" s="120" t="s">
        <v>3591</v>
      </c>
      <c r="B76" s="120" t="s">
        <v>3693</v>
      </c>
      <c r="C76" s="120" t="s">
        <v>301</v>
      </c>
      <c r="D76" s="120" t="s">
        <v>3478</v>
      </c>
      <c r="E76" s="120" t="s">
        <v>48</v>
      </c>
      <c r="F76" s="120" t="s">
        <v>10</v>
      </c>
      <c r="G76" s="120">
        <v>2</v>
      </c>
      <c r="H76">
        <v>0</v>
      </c>
      <c r="I76" s="120" t="s">
        <v>11</v>
      </c>
      <c r="J76">
        <v>2</v>
      </c>
      <c r="K76">
        <v>0</v>
      </c>
      <c r="L76">
        <v>0</v>
      </c>
      <c r="M76">
        <v>0</v>
      </c>
      <c r="N76">
        <v>0</v>
      </c>
    </row>
    <row r="77" spans="1:14" hidden="1" x14ac:dyDescent="0.25">
      <c r="A77" s="120" t="s">
        <v>3591</v>
      </c>
      <c r="B77" s="120" t="s">
        <v>3709</v>
      </c>
      <c r="C77" s="120" t="s">
        <v>301</v>
      </c>
      <c r="D77" s="120" t="s">
        <v>3478</v>
      </c>
      <c r="E77" s="120" t="s">
        <v>48</v>
      </c>
      <c r="F77" s="120" t="s">
        <v>10</v>
      </c>
      <c r="G77" s="120">
        <v>4</v>
      </c>
      <c r="H77">
        <v>0</v>
      </c>
      <c r="I77" s="120" t="s">
        <v>11</v>
      </c>
      <c r="J77">
        <v>4</v>
      </c>
      <c r="K77">
        <v>0</v>
      </c>
      <c r="L77">
        <v>0</v>
      </c>
      <c r="M77">
        <v>0</v>
      </c>
      <c r="N77">
        <v>0</v>
      </c>
    </row>
    <row r="78" spans="1:14" hidden="1" x14ac:dyDescent="0.25">
      <c r="A78" s="120" t="s">
        <v>3591</v>
      </c>
      <c r="B78" s="120" t="s">
        <v>3701</v>
      </c>
      <c r="C78" s="120" t="s">
        <v>301</v>
      </c>
      <c r="D78" s="120" t="s">
        <v>3478</v>
      </c>
      <c r="E78" s="120" t="s">
        <v>48</v>
      </c>
      <c r="F78" s="120" t="s">
        <v>10</v>
      </c>
      <c r="G78" s="120">
        <v>3</v>
      </c>
      <c r="H78">
        <v>0</v>
      </c>
      <c r="I78" s="120" t="s">
        <v>11</v>
      </c>
      <c r="J78">
        <v>3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120" t="s">
        <v>3758</v>
      </c>
      <c r="B79" s="120" t="s">
        <v>3759</v>
      </c>
      <c r="C79" s="120" t="s">
        <v>301</v>
      </c>
      <c r="D79" s="120" t="s">
        <v>3478</v>
      </c>
      <c r="E79" s="120" t="s">
        <v>48</v>
      </c>
      <c r="F79" s="120" t="s">
        <v>10</v>
      </c>
      <c r="G79" s="120">
        <v>41</v>
      </c>
      <c r="H79">
        <v>0</v>
      </c>
      <c r="I79" s="120" t="s">
        <v>11</v>
      </c>
      <c r="J79">
        <v>41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s="120" t="s">
        <v>3758</v>
      </c>
      <c r="B80" s="120" t="s">
        <v>3759</v>
      </c>
      <c r="C80" s="120" t="s">
        <v>301</v>
      </c>
      <c r="D80" s="120" t="s">
        <v>547</v>
      </c>
      <c r="E80" s="120" t="s">
        <v>548</v>
      </c>
      <c r="F80" s="120" t="s">
        <v>18</v>
      </c>
      <c r="G80" s="120">
        <v>23</v>
      </c>
      <c r="H80">
        <v>16</v>
      </c>
      <c r="I80" s="120" t="s">
        <v>11</v>
      </c>
      <c r="J80">
        <v>7</v>
      </c>
      <c r="K80">
        <v>0</v>
      </c>
      <c r="L80">
        <v>16.899999999999999</v>
      </c>
      <c r="M80">
        <v>388.7</v>
      </c>
      <c r="N80">
        <v>270.39999999999998</v>
      </c>
    </row>
    <row r="81" spans="1:14" hidden="1" x14ac:dyDescent="0.25">
      <c r="A81" s="120" t="s">
        <v>3463</v>
      </c>
      <c r="B81" s="120" t="s">
        <v>3464</v>
      </c>
      <c r="C81" s="120" t="s">
        <v>301</v>
      </c>
      <c r="D81" s="120" t="s">
        <v>3466</v>
      </c>
      <c r="E81" s="120" t="s">
        <v>19</v>
      </c>
      <c r="F81" s="120" t="s">
        <v>10</v>
      </c>
      <c r="G81" s="120">
        <v>198</v>
      </c>
      <c r="H81">
        <v>0</v>
      </c>
      <c r="I81" s="120" t="s">
        <v>11</v>
      </c>
      <c r="J81">
        <v>198</v>
      </c>
      <c r="K81">
        <v>0</v>
      </c>
      <c r="L81">
        <v>0</v>
      </c>
      <c r="M81">
        <v>0</v>
      </c>
      <c r="N81">
        <v>0</v>
      </c>
    </row>
    <row r="82" spans="1:14" hidden="1" x14ac:dyDescent="0.25">
      <c r="A82" s="120" t="s">
        <v>3463</v>
      </c>
      <c r="B82" s="120" t="s">
        <v>3871</v>
      </c>
      <c r="C82" s="120" t="s">
        <v>301</v>
      </c>
      <c r="D82" s="120" t="s">
        <v>3466</v>
      </c>
      <c r="E82" s="120" t="s">
        <v>19</v>
      </c>
      <c r="F82" s="120" t="s">
        <v>10</v>
      </c>
      <c r="G82" s="120">
        <v>7</v>
      </c>
      <c r="H82">
        <v>0</v>
      </c>
      <c r="I82" s="120" t="s">
        <v>11</v>
      </c>
      <c r="J82">
        <v>7</v>
      </c>
      <c r="K82">
        <v>0</v>
      </c>
      <c r="L82">
        <v>0</v>
      </c>
      <c r="M82">
        <v>0</v>
      </c>
      <c r="N82">
        <v>0</v>
      </c>
    </row>
    <row r="83" spans="1:14" hidden="1" x14ac:dyDescent="0.25">
      <c r="A83" s="120" t="s">
        <v>3463</v>
      </c>
      <c r="B83" s="120" t="s">
        <v>3816</v>
      </c>
      <c r="C83" s="120" t="s">
        <v>301</v>
      </c>
      <c r="D83" s="120" t="s">
        <v>3466</v>
      </c>
      <c r="E83" s="120" t="s">
        <v>19</v>
      </c>
      <c r="F83" s="120" t="s">
        <v>10</v>
      </c>
      <c r="G83" s="120">
        <v>198</v>
      </c>
      <c r="H83">
        <v>0</v>
      </c>
      <c r="I83" s="120" t="s">
        <v>11</v>
      </c>
      <c r="J83">
        <v>198</v>
      </c>
      <c r="K83">
        <v>0</v>
      </c>
      <c r="L83">
        <v>0</v>
      </c>
      <c r="M83">
        <v>0</v>
      </c>
      <c r="N83">
        <v>0</v>
      </c>
    </row>
    <row r="84" spans="1:14" hidden="1" x14ac:dyDescent="0.25">
      <c r="A84" s="120" t="s">
        <v>3463</v>
      </c>
      <c r="B84" s="120" t="s">
        <v>3510</v>
      </c>
      <c r="C84" s="120" t="s">
        <v>301</v>
      </c>
      <c r="D84" s="120" t="s">
        <v>3466</v>
      </c>
      <c r="E84" s="120" t="s">
        <v>19</v>
      </c>
      <c r="F84" s="120" t="s">
        <v>10</v>
      </c>
      <c r="G84" s="120">
        <v>5</v>
      </c>
      <c r="H84">
        <v>0</v>
      </c>
      <c r="I84" s="120" t="s">
        <v>11</v>
      </c>
      <c r="J84">
        <v>5</v>
      </c>
      <c r="K84">
        <v>0</v>
      </c>
      <c r="L84">
        <v>0</v>
      </c>
      <c r="M84">
        <v>0</v>
      </c>
      <c r="N84">
        <v>0</v>
      </c>
    </row>
    <row r="85" spans="1:14" hidden="1" x14ac:dyDescent="0.25">
      <c r="A85" s="120" t="s">
        <v>3591</v>
      </c>
      <c r="B85" s="120" t="s">
        <v>3592</v>
      </c>
      <c r="C85" s="120" t="s">
        <v>301</v>
      </c>
      <c r="D85" s="120" t="s">
        <v>3634</v>
      </c>
      <c r="E85" s="120" t="s">
        <v>436</v>
      </c>
      <c r="F85" s="120" t="s">
        <v>10</v>
      </c>
      <c r="G85" s="120">
        <v>0</v>
      </c>
      <c r="H85">
        <v>0</v>
      </c>
      <c r="I85" s="120" t="s">
        <v>11</v>
      </c>
      <c r="J85">
        <v>0</v>
      </c>
      <c r="K85">
        <v>1</v>
      </c>
      <c r="L85" s="121">
        <v>0</v>
      </c>
      <c r="M85" s="121">
        <v>0</v>
      </c>
      <c r="N85" s="121">
        <v>0</v>
      </c>
    </row>
    <row r="86" spans="1:14" hidden="1" x14ac:dyDescent="0.25">
      <c r="A86" s="120" t="s">
        <v>3463</v>
      </c>
      <c r="B86" s="120" t="s">
        <v>3528</v>
      </c>
      <c r="C86" s="120" t="s">
        <v>301</v>
      </c>
      <c r="D86" s="120" t="s">
        <v>3466</v>
      </c>
      <c r="E86" s="120" t="s">
        <v>19</v>
      </c>
      <c r="F86" s="120" t="s">
        <v>10</v>
      </c>
      <c r="G86" s="120">
        <v>7</v>
      </c>
      <c r="H86">
        <v>0</v>
      </c>
      <c r="I86" s="120" t="s">
        <v>11</v>
      </c>
      <c r="J86">
        <v>7</v>
      </c>
      <c r="K86">
        <v>0</v>
      </c>
      <c r="L86">
        <v>0</v>
      </c>
      <c r="M86">
        <v>0</v>
      </c>
      <c r="N86">
        <v>0</v>
      </c>
    </row>
    <row r="87" spans="1:14" hidden="1" x14ac:dyDescent="0.25">
      <c r="A87" s="120" t="s">
        <v>3463</v>
      </c>
      <c r="B87" s="120" t="s">
        <v>3588</v>
      </c>
      <c r="C87" s="120" t="s">
        <v>301</v>
      </c>
      <c r="D87" s="120" t="s">
        <v>3466</v>
      </c>
      <c r="E87" s="120" t="s">
        <v>330</v>
      </c>
      <c r="F87" s="120" t="s">
        <v>18</v>
      </c>
      <c r="G87" s="120">
        <v>22</v>
      </c>
      <c r="H87">
        <v>0</v>
      </c>
      <c r="I87" s="120" t="s">
        <v>11</v>
      </c>
      <c r="J87">
        <v>22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s="120" t="s">
        <v>3758</v>
      </c>
      <c r="B88" s="120" t="s">
        <v>3759</v>
      </c>
      <c r="C88" s="120" t="s">
        <v>301</v>
      </c>
      <c r="D88" s="120" t="s">
        <v>3466</v>
      </c>
      <c r="E88" s="120" t="s">
        <v>19</v>
      </c>
      <c r="F88" s="120" t="s">
        <v>10</v>
      </c>
      <c r="G88" s="120">
        <v>33</v>
      </c>
      <c r="H88">
        <v>0</v>
      </c>
      <c r="I88" s="120" t="s">
        <v>11</v>
      </c>
      <c r="J88">
        <v>33</v>
      </c>
      <c r="K88">
        <v>0</v>
      </c>
      <c r="L88">
        <v>0</v>
      </c>
      <c r="M88">
        <v>0</v>
      </c>
      <c r="N88">
        <v>0</v>
      </c>
    </row>
    <row r="89" spans="1:14" hidden="1" x14ac:dyDescent="0.25">
      <c r="A89" s="120" t="s">
        <v>3591</v>
      </c>
      <c r="B89" s="120" t="s">
        <v>3592</v>
      </c>
      <c r="C89" s="120" t="s">
        <v>301</v>
      </c>
      <c r="D89" s="120" t="s">
        <v>3635</v>
      </c>
      <c r="E89" s="120" t="s">
        <v>437</v>
      </c>
      <c r="F89" s="120" t="s">
        <v>18</v>
      </c>
      <c r="G89" s="120">
        <v>0</v>
      </c>
      <c r="H89">
        <v>0</v>
      </c>
      <c r="I89" s="120" t="s">
        <v>57</v>
      </c>
      <c r="J89">
        <v>0</v>
      </c>
      <c r="K89">
        <v>1</v>
      </c>
      <c r="L89" s="121">
        <v>0</v>
      </c>
      <c r="M89" s="121">
        <v>0</v>
      </c>
      <c r="N89" s="121">
        <v>0</v>
      </c>
    </row>
    <row r="90" spans="1:14" hidden="1" x14ac:dyDescent="0.25">
      <c r="A90" s="120" t="s">
        <v>3463</v>
      </c>
      <c r="B90" s="120" t="s">
        <v>3464</v>
      </c>
      <c r="C90" s="120" t="s">
        <v>301</v>
      </c>
      <c r="D90" s="120" t="s">
        <v>549</v>
      </c>
      <c r="E90" s="120" t="s">
        <v>46</v>
      </c>
      <c r="F90" s="120" t="s">
        <v>10</v>
      </c>
      <c r="G90" s="120">
        <v>173</v>
      </c>
      <c r="H90">
        <v>219</v>
      </c>
      <c r="I90" s="120" t="s">
        <v>11</v>
      </c>
      <c r="J90">
        <v>-46</v>
      </c>
      <c r="K90">
        <v>0</v>
      </c>
      <c r="L90">
        <v>15</v>
      </c>
      <c r="M90">
        <v>2595</v>
      </c>
      <c r="N90">
        <v>3285</v>
      </c>
    </row>
    <row r="91" spans="1:14" hidden="1" x14ac:dyDescent="0.25">
      <c r="A91" s="120" t="s">
        <v>3463</v>
      </c>
      <c r="B91" s="120" t="s">
        <v>3528</v>
      </c>
      <c r="C91" s="120" t="s">
        <v>301</v>
      </c>
      <c r="D91" s="120" t="s">
        <v>549</v>
      </c>
      <c r="E91" s="120" t="s">
        <v>46</v>
      </c>
      <c r="F91" s="120" t="s">
        <v>10</v>
      </c>
      <c r="G91" s="120">
        <v>1</v>
      </c>
      <c r="H91">
        <v>10</v>
      </c>
      <c r="I91" s="120" t="s">
        <v>47</v>
      </c>
      <c r="J91">
        <v>-9</v>
      </c>
      <c r="K91">
        <v>0</v>
      </c>
      <c r="L91">
        <v>15</v>
      </c>
      <c r="M91">
        <v>15</v>
      </c>
      <c r="N91">
        <v>150</v>
      </c>
    </row>
    <row r="92" spans="1:14" hidden="1" x14ac:dyDescent="0.25">
      <c r="A92" s="120" t="s">
        <v>3463</v>
      </c>
      <c r="B92" s="120" t="s">
        <v>3510</v>
      </c>
      <c r="C92" s="120" t="s">
        <v>301</v>
      </c>
      <c r="D92" s="120" t="s">
        <v>549</v>
      </c>
      <c r="E92" s="120" t="s">
        <v>46</v>
      </c>
      <c r="F92" s="120" t="s">
        <v>10</v>
      </c>
      <c r="G92" s="120">
        <v>4</v>
      </c>
      <c r="H92">
        <v>3</v>
      </c>
      <c r="I92" s="120" t="s">
        <v>11</v>
      </c>
      <c r="J92">
        <v>1</v>
      </c>
      <c r="K92">
        <v>0</v>
      </c>
      <c r="L92">
        <v>15</v>
      </c>
      <c r="M92">
        <v>60</v>
      </c>
      <c r="N92">
        <v>45</v>
      </c>
    </row>
    <row r="93" spans="1:14" hidden="1" x14ac:dyDescent="0.25">
      <c r="A93" s="120" t="s">
        <v>3463</v>
      </c>
      <c r="B93" s="120" t="s">
        <v>3588</v>
      </c>
      <c r="C93" s="120" t="s">
        <v>301</v>
      </c>
      <c r="D93" s="120" t="s">
        <v>549</v>
      </c>
      <c r="E93" s="120" t="s">
        <v>307</v>
      </c>
      <c r="F93" s="120" t="s">
        <v>18</v>
      </c>
      <c r="G93" s="120">
        <v>8</v>
      </c>
      <c r="H93">
        <v>12</v>
      </c>
      <c r="I93" s="120" t="s">
        <v>11</v>
      </c>
      <c r="J93">
        <v>-4</v>
      </c>
      <c r="K93">
        <v>0</v>
      </c>
      <c r="L93">
        <v>15</v>
      </c>
      <c r="M93">
        <v>120</v>
      </c>
      <c r="N93">
        <v>180</v>
      </c>
    </row>
    <row r="94" spans="1:14" hidden="1" x14ac:dyDescent="0.25">
      <c r="A94" s="120" t="s">
        <v>3591</v>
      </c>
      <c r="B94" s="120" t="s">
        <v>3592</v>
      </c>
      <c r="C94" s="120" t="s">
        <v>301</v>
      </c>
      <c r="D94" s="120" t="s">
        <v>549</v>
      </c>
      <c r="E94" s="120" t="s">
        <v>46</v>
      </c>
      <c r="F94" s="120" t="s">
        <v>10</v>
      </c>
      <c r="G94" s="120">
        <v>59</v>
      </c>
      <c r="H94">
        <v>55</v>
      </c>
      <c r="I94" s="120" t="s">
        <v>11</v>
      </c>
      <c r="J94">
        <v>4</v>
      </c>
      <c r="K94">
        <v>0</v>
      </c>
      <c r="L94" s="121">
        <v>15</v>
      </c>
      <c r="M94" s="121">
        <v>885</v>
      </c>
      <c r="N94" s="121">
        <v>825</v>
      </c>
    </row>
    <row r="95" spans="1:14" hidden="1" x14ac:dyDescent="0.25">
      <c r="A95" s="120" t="s">
        <v>3591</v>
      </c>
      <c r="B95" s="120" t="s">
        <v>3709</v>
      </c>
      <c r="C95" s="120" t="s">
        <v>301</v>
      </c>
      <c r="D95" s="120" t="s">
        <v>549</v>
      </c>
      <c r="E95" s="120" t="s">
        <v>46</v>
      </c>
      <c r="F95" s="120" t="s">
        <v>10</v>
      </c>
      <c r="G95" s="120">
        <v>3</v>
      </c>
      <c r="H95">
        <v>4</v>
      </c>
      <c r="I95" s="120" t="s">
        <v>11</v>
      </c>
      <c r="J95">
        <v>-1</v>
      </c>
      <c r="K95">
        <v>0</v>
      </c>
      <c r="L95">
        <v>15</v>
      </c>
      <c r="M95">
        <v>45</v>
      </c>
      <c r="N95">
        <v>60</v>
      </c>
    </row>
    <row r="96" spans="1:14" hidden="1" x14ac:dyDescent="0.25">
      <c r="A96" s="120" t="s">
        <v>3591</v>
      </c>
      <c r="B96" s="120" t="s">
        <v>3693</v>
      </c>
      <c r="C96" s="120" t="s">
        <v>301</v>
      </c>
      <c r="D96" s="120" t="s">
        <v>549</v>
      </c>
      <c r="E96" s="120" t="s">
        <v>46</v>
      </c>
      <c r="F96" s="120" t="s">
        <v>10</v>
      </c>
      <c r="G96" s="120">
        <v>2</v>
      </c>
      <c r="H96">
        <v>1</v>
      </c>
      <c r="I96" s="120" t="s">
        <v>11</v>
      </c>
      <c r="J96">
        <v>1</v>
      </c>
      <c r="K96">
        <v>0</v>
      </c>
      <c r="L96">
        <v>15</v>
      </c>
      <c r="M96">
        <v>30</v>
      </c>
      <c r="N96">
        <v>15</v>
      </c>
    </row>
    <row r="97" spans="1:14" hidden="1" x14ac:dyDescent="0.25">
      <c r="A97" s="120" t="s">
        <v>3591</v>
      </c>
      <c r="B97" s="120" t="s">
        <v>3701</v>
      </c>
      <c r="C97" s="120" t="s">
        <v>301</v>
      </c>
      <c r="D97" s="120" t="s">
        <v>549</v>
      </c>
      <c r="E97" s="120" t="s">
        <v>46</v>
      </c>
      <c r="F97" s="120" t="s">
        <v>10</v>
      </c>
      <c r="G97" s="120">
        <v>7</v>
      </c>
      <c r="H97">
        <v>12</v>
      </c>
      <c r="I97" s="120" t="s">
        <v>11</v>
      </c>
      <c r="J97">
        <v>-5</v>
      </c>
      <c r="K97">
        <v>0</v>
      </c>
      <c r="L97">
        <v>15</v>
      </c>
      <c r="M97">
        <v>105</v>
      </c>
      <c r="N97">
        <v>180</v>
      </c>
    </row>
    <row r="98" spans="1:14" hidden="1" x14ac:dyDescent="0.25">
      <c r="A98" s="120" t="s">
        <v>3463</v>
      </c>
      <c r="B98" s="120" t="s">
        <v>3816</v>
      </c>
      <c r="C98" s="120" t="s">
        <v>301</v>
      </c>
      <c r="D98" s="120" t="s">
        <v>549</v>
      </c>
      <c r="E98" s="120" t="s">
        <v>46</v>
      </c>
      <c r="F98" s="120" t="s">
        <v>10</v>
      </c>
      <c r="G98" s="120">
        <v>0</v>
      </c>
      <c r="H98">
        <v>3</v>
      </c>
      <c r="I98" s="120" t="s">
        <v>11</v>
      </c>
      <c r="J98">
        <v>-3</v>
      </c>
      <c r="K98">
        <v>0</v>
      </c>
      <c r="L98">
        <v>15</v>
      </c>
      <c r="M98">
        <v>0</v>
      </c>
      <c r="N98">
        <v>45</v>
      </c>
    </row>
    <row r="99" spans="1:14" x14ac:dyDescent="0.25">
      <c r="A99" s="120" t="s">
        <v>3758</v>
      </c>
      <c r="B99" s="120" t="s">
        <v>3759</v>
      </c>
      <c r="C99" s="120" t="s">
        <v>301</v>
      </c>
      <c r="D99" s="120" t="s">
        <v>549</v>
      </c>
      <c r="E99" s="120" t="s">
        <v>46</v>
      </c>
      <c r="F99" s="120" t="s">
        <v>10</v>
      </c>
      <c r="G99" s="120">
        <v>56</v>
      </c>
      <c r="H99">
        <v>54</v>
      </c>
      <c r="I99" s="120" t="s">
        <v>11</v>
      </c>
      <c r="J99">
        <v>2</v>
      </c>
      <c r="K99">
        <v>0</v>
      </c>
      <c r="L99">
        <v>15</v>
      </c>
      <c r="M99">
        <v>840</v>
      </c>
      <c r="N99">
        <v>810</v>
      </c>
    </row>
    <row r="100" spans="1:14" hidden="1" x14ac:dyDescent="0.25">
      <c r="A100" s="120" t="s">
        <v>3463</v>
      </c>
      <c r="B100" s="120" t="s">
        <v>3871</v>
      </c>
      <c r="C100" s="120" t="s">
        <v>301</v>
      </c>
      <c r="D100" s="120" t="s">
        <v>3480</v>
      </c>
      <c r="E100" s="120" t="s">
        <v>53</v>
      </c>
      <c r="F100" s="120" t="s">
        <v>14</v>
      </c>
      <c r="G100" s="120">
        <v>3</v>
      </c>
      <c r="H100">
        <v>0</v>
      </c>
      <c r="I100" s="120" t="s">
        <v>11</v>
      </c>
      <c r="J100">
        <v>3</v>
      </c>
      <c r="K100">
        <v>0</v>
      </c>
      <c r="L100">
        <v>0</v>
      </c>
      <c r="M100">
        <v>0</v>
      </c>
      <c r="N100">
        <v>0</v>
      </c>
    </row>
    <row r="101" spans="1:14" hidden="1" x14ac:dyDescent="0.25">
      <c r="A101" s="120" t="s">
        <v>3463</v>
      </c>
      <c r="B101" s="120" t="s">
        <v>3464</v>
      </c>
      <c r="C101" s="120" t="s">
        <v>301</v>
      </c>
      <c r="D101" s="120" t="s">
        <v>3480</v>
      </c>
      <c r="E101" s="120" t="s">
        <v>53</v>
      </c>
      <c r="F101" s="120" t="s">
        <v>14</v>
      </c>
      <c r="G101" s="120">
        <v>54</v>
      </c>
      <c r="H101">
        <v>0</v>
      </c>
      <c r="I101" s="120" t="s">
        <v>11</v>
      </c>
      <c r="J101">
        <v>54</v>
      </c>
      <c r="K101">
        <v>0</v>
      </c>
      <c r="L101">
        <v>0</v>
      </c>
      <c r="M101">
        <v>0</v>
      </c>
      <c r="N101">
        <v>0</v>
      </c>
    </row>
    <row r="102" spans="1:14" hidden="1" x14ac:dyDescent="0.25">
      <c r="A102" s="120" t="s">
        <v>3591</v>
      </c>
      <c r="B102" s="120" t="s">
        <v>3592</v>
      </c>
      <c r="C102" s="120" t="s">
        <v>301</v>
      </c>
      <c r="D102" s="120" t="s">
        <v>3642</v>
      </c>
      <c r="E102" s="120" t="s">
        <v>447</v>
      </c>
      <c r="F102" s="120" t="s">
        <v>18</v>
      </c>
      <c r="G102" s="120">
        <v>0</v>
      </c>
      <c r="H102">
        <v>0</v>
      </c>
      <c r="I102" s="120" t="s">
        <v>57</v>
      </c>
      <c r="J102">
        <v>0</v>
      </c>
      <c r="K102">
        <v>1</v>
      </c>
      <c r="L102" s="121">
        <v>0</v>
      </c>
      <c r="M102" s="121">
        <v>0</v>
      </c>
      <c r="N102" s="121">
        <v>0</v>
      </c>
    </row>
    <row r="103" spans="1:14" hidden="1" x14ac:dyDescent="0.25">
      <c r="A103" s="120" t="s">
        <v>3463</v>
      </c>
      <c r="B103" s="120" t="s">
        <v>3510</v>
      </c>
      <c r="C103" s="120" t="s">
        <v>301</v>
      </c>
      <c r="D103" s="120" t="s">
        <v>3480</v>
      </c>
      <c r="E103" s="120" t="s">
        <v>53</v>
      </c>
      <c r="F103" s="120" t="s">
        <v>14</v>
      </c>
      <c r="G103" s="120">
        <v>25</v>
      </c>
      <c r="H103">
        <v>0</v>
      </c>
      <c r="I103" s="120" t="s">
        <v>11</v>
      </c>
      <c r="J103">
        <v>25</v>
      </c>
      <c r="K103">
        <v>0</v>
      </c>
      <c r="L103">
        <v>0</v>
      </c>
      <c r="M103">
        <v>0</v>
      </c>
      <c r="N103">
        <v>0</v>
      </c>
    </row>
    <row r="104" spans="1:14" hidden="1" x14ac:dyDescent="0.25">
      <c r="A104" s="120" t="s">
        <v>3591</v>
      </c>
      <c r="B104" s="120" t="s">
        <v>3592</v>
      </c>
      <c r="C104" s="120" t="s">
        <v>301</v>
      </c>
      <c r="D104" s="120" t="s">
        <v>3652</v>
      </c>
      <c r="E104" s="120" t="s">
        <v>461</v>
      </c>
      <c r="F104" s="120" t="s">
        <v>10</v>
      </c>
      <c r="G104" s="120">
        <v>0</v>
      </c>
      <c r="H104">
        <v>0</v>
      </c>
      <c r="I104" s="120" t="s">
        <v>11</v>
      </c>
      <c r="J104">
        <v>0</v>
      </c>
      <c r="K104">
        <v>1</v>
      </c>
      <c r="L104" s="121">
        <v>0</v>
      </c>
      <c r="M104" s="121">
        <v>0</v>
      </c>
      <c r="N104" s="121">
        <v>0</v>
      </c>
    </row>
    <row r="105" spans="1:14" hidden="1" x14ac:dyDescent="0.25">
      <c r="A105" s="120" t="s">
        <v>3463</v>
      </c>
      <c r="B105" s="120" t="s">
        <v>3528</v>
      </c>
      <c r="C105" s="120" t="s">
        <v>301</v>
      </c>
      <c r="D105" s="120" t="s">
        <v>3480</v>
      </c>
      <c r="E105" s="120" t="s">
        <v>53</v>
      </c>
      <c r="F105" s="120" t="s">
        <v>14</v>
      </c>
      <c r="G105" s="120">
        <v>7</v>
      </c>
      <c r="H105">
        <v>0</v>
      </c>
      <c r="I105" s="120" t="s">
        <v>11</v>
      </c>
      <c r="J105">
        <v>7</v>
      </c>
      <c r="K105">
        <v>0</v>
      </c>
      <c r="L105">
        <v>0</v>
      </c>
      <c r="M105">
        <v>0</v>
      </c>
      <c r="N105">
        <v>0</v>
      </c>
    </row>
    <row r="106" spans="1:14" hidden="1" x14ac:dyDescent="0.25">
      <c r="A106" s="120" t="s">
        <v>3463</v>
      </c>
      <c r="B106" s="120" t="s">
        <v>3588</v>
      </c>
      <c r="C106" s="120" t="s">
        <v>301</v>
      </c>
      <c r="D106" s="120" t="s">
        <v>3480</v>
      </c>
      <c r="E106" s="120" t="s">
        <v>310</v>
      </c>
      <c r="F106" s="120" t="s">
        <v>18</v>
      </c>
      <c r="G106" s="120">
        <v>26</v>
      </c>
      <c r="H106">
        <v>0</v>
      </c>
      <c r="I106" s="120" t="s">
        <v>11</v>
      </c>
      <c r="J106">
        <v>26</v>
      </c>
      <c r="K106">
        <v>0</v>
      </c>
      <c r="L106">
        <v>0</v>
      </c>
      <c r="M106">
        <v>0</v>
      </c>
      <c r="N106">
        <v>0</v>
      </c>
    </row>
    <row r="107" spans="1:14" hidden="1" x14ac:dyDescent="0.25">
      <c r="A107" s="120" t="s">
        <v>3591</v>
      </c>
      <c r="B107" s="120" t="s">
        <v>3698</v>
      </c>
      <c r="C107" s="120" t="s">
        <v>301</v>
      </c>
      <c r="D107" s="120" t="s">
        <v>3480</v>
      </c>
      <c r="E107" s="120" t="s">
        <v>53</v>
      </c>
      <c r="F107" s="120" t="s">
        <v>14</v>
      </c>
      <c r="G107" s="120">
        <v>2</v>
      </c>
      <c r="H107">
        <v>0</v>
      </c>
      <c r="I107" s="120" t="s">
        <v>57</v>
      </c>
      <c r="J107">
        <v>2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s="120" t="s">
        <v>3758</v>
      </c>
      <c r="B108" s="120" t="s">
        <v>3759</v>
      </c>
      <c r="C108" s="120" t="s">
        <v>301</v>
      </c>
      <c r="D108" s="120" t="s">
        <v>3480</v>
      </c>
      <c r="E108" s="120" t="s">
        <v>53</v>
      </c>
      <c r="F108" s="120" t="s">
        <v>14</v>
      </c>
      <c r="G108" s="120">
        <v>3</v>
      </c>
      <c r="H108">
        <v>0</v>
      </c>
      <c r="I108" s="120" t="s">
        <v>11</v>
      </c>
      <c r="J108">
        <v>3</v>
      </c>
      <c r="K108">
        <v>0</v>
      </c>
      <c r="L108">
        <v>0</v>
      </c>
      <c r="M108">
        <v>0</v>
      </c>
      <c r="N108">
        <v>0</v>
      </c>
    </row>
    <row r="109" spans="1:14" hidden="1" x14ac:dyDescent="0.25">
      <c r="A109" s="120" t="s">
        <v>3591</v>
      </c>
      <c r="B109" s="120" t="s">
        <v>3592</v>
      </c>
      <c r="C109" s="120" t="s">
        <v>301</v>
      </c>
      <c r="D109" s="120" t="s">
        <v>550</v>
      </c>
      <c r="E109" s="120" t="s">
        <v>46</v>
      </c>
      <c r="F109" s="120" t="s">
        <v>18</v>
      </c>
      <c r="G109" s="120">
        <v>59</v>
      </c>
      <c r="H109">
        <v>5</v>
      </c>
      <c r="I109" s="120" t="s">
        <v>57</v>
      </c>
      <c r="J109">
        <v>54</v>
      </c>
      <c r="K109">
        <v>0</v>
      </c>
      <c r="L109" s="121">
        <v>110</v>
      </c>
      <c r="M109" s="121">
        <v>6490</v>
      </c>
      <c r="N109" s="121">
        <v>550</v>
      </c>
    </row>
    <row r="110" spans="1:14" hidden="1" x14ac:dyDescent="0.25">
      <c r="A110" s="120" t="s">
        <v>3463</v>
      </c>
      <c r="B110" s="120" t="s">
        <v>3464</v>
      </c>
      <c r="C110" s="120" t="s">
        <v>301</v>
      </c>
      <c r="D110" s="120" t="s">
        <v>622</v>
      </c>
      <c r="E110" s="120" t="s">
        <v>20</v>
      </c>
      <c r="F110" s="120" t="s">
        <v>18</v>
      </c>
      <c r="G110" s="120">
        <v>5</v>
      </c>
      <c r="H110">
        <v>25</v>
      </c>
      <c r="I110" s="120" t="s">
        <v>11</v>
      </c>
      <c r="J110">
        <v>-20</v>
      </c>
      <c r="K110">
        <v>0</v>
      </c>
      <c r="L110">
        <v>12</v>
      </c>
      <c r="M110">
        <v>60</v>
      </c>
      <c r="N110">
        <v>300</v>
      </c>
    </row>
    <row r="111" spans="1:14" hidden="1" x14ac:dyDescent="0.25">
      <c r="A111" s="120" t="s">
        <v>3591</v>
      </c>
      <c r="B111" s="120" t="s">
        <v>3592</v>
      </c>
      <c r="C111" s="120" t="s">
        <v>301</v>
      </c>
      <c r="D111" s="120" t="s">
        <v>3653</v>
      </c>
      <c r="E111" s="120" t="s">
        <v>464</v>
      </c>
      <c r="F111" s="120" t="s">
        <v>465</v>
      </c>
      <c r="G111" s="120">
        <v>0</v>
      </c>
      <c r="H111">
        <v>0</v>
      </c>
      <c r="I111" s="120" t="s">
        <v>57</v>
      </c>
      <c r="J111">
        <v>0</v>
      </c>
      <c r="K111">
        <v>1</v>
      </c>
      <c r="L111" s="121">
        <v>0</v>
      </c>
      <c r="M111" s="121">
        <v>0</v>
      </c>
      <c r="N111" s="121">
        <v>0</v>
      </c>
    </row>
    <row r="112" spans="1:14" hidden="1" x14ac:dyDescent="0.25">
      <c r="A112" s="120" t="s">
        <v>3591</v>
      </c>
      <c r="B112" s="120" t="s">
        <v>3592</v>
      </c>
      <c r="C112" s="120" t="s">
        <v>301</v>
      </c>
      <c r="D112" s="120" t="s">
        <v>3654</v>
      </c>
      <c r="E112" s="120" t="s">
        <v>466</v>
      </c>
      <c r="F112" s="120" t="s">
        <v>467</v>
      </c>
      <c r="G112" s="120">
        <v>0</v>
      </c>
      <c r="H112">
        <v>0</v>
      </c>
      <c r="I112" s="120" t="s">
        <v>47</v>
      </c>
      <c r="J112">
        <v>0</v>
      </c>
      <c r="K112">
        <v>1</v>
      </c>
      <c r="L112" s="121">
        <v>0</v>
      </c>
      <c r="M112" s="121">
        <v>0</v>
      </c>
      <c r="N112" s="121">
        <v>0</v>
      </c>
    </row>
    <row r="113" spans="1:14" hidden="1" x14ac:dyDescent="0.25">
      <c r="A113" s="120" t="s">
        <v>3463</v>
      </c>
      <c r="B113" s="120" t="s">
        <v>3816</v>
      </c>
      <c r="C113" s="120" t="s">
        <v>301</v>
      </c>
      <c r="D113" s="120" t="s">
        <v>622</v>
      </c>
      <c r="E113" s="120" t="s">
        <v>20</v>
      </c>
      <c r="F113" s="120" t="s">
        <v>18</v>
      </c>
      <c r="G113" s="120">
        <v>0</v>
      </c>
      <c r="H113">
        <v>3</v>
      </c>
      <c r="I113" s="120" t="s">
        <v>11</v>
      </c>
      <c r="J113">
        <v>-3</v>
      </c>
      <c r="K113">
        <v>0</v>
      </c>
      <c r="L113">
        <v>12</v>
      </c>
      <c r="M113">
        <v>0</v>
      </c>
      <c r="N113">
        <v>36</v>
      </c>
    </row>
    <row r="114" spans="1:14" hidden="1" x14ac:dyDescent="0.25">
      <c r="A114" s="120" t="s">
        <v>3463</v>
      </c>
      <c r="B114" s="120" t="s">
        <v>3528</v>
      </c>
      <c r="C114" s="120" t="s">
        <v>301</v>
      </c>
      <c r="D114" s="120" t="s">
        <v>622</v>
      </c>
      <c r="E114" s="120" t="s">
        <v>20</v>
      </c>
      <c r="F114" s="120" t="s">
        <v>18</v>
      </c>
      <c r="G114" s="120">
        <v>2</v>
      </c>
      <c r="H114">
        <v>4</v>
      </c>
      <c r="I114" s="120" t="s">
        <v>47</v>
      </c>
      <c r="J114">
        <v>-2</v>
      </c>
      <c r="K114">
        <v>0</v>
      </c>
      <c r="L114">
        <v>12</v>
      </c>
      <c r="M114">
        <v>24</v>
      </c>
      <c r="N114">
        <v>48</v>
      </c>
    </row>
    <row r="115" spans="1:14" hidden="1" x14ac:dyDescent="0.25">
      <c r="A115" s="120" t="s">
        <v>3463</v>
      </c>
      <c r="B115" s="120" t="s">
        <v>3871</v>
      </c>
      <c r="C115" s="120" t="s">
        <v>301</v>
      </c>
      <c r="D115" s="120" t="s">
        <v>712</v>
      </c>
      <c r="E115" s="120" t="s">
        <v>51</v>
      </c>
      <c r="F115" s="120" t="s">
        <v>14</v>
      </c>
      <c r="G115" s="120">
        <v>11</v>
      </c>
      <c r="H115">
        <v>10</v>
      </c>
      <c r="I115" s="120" t="s">
        <v>11</v>
      </c>
      <c r="J115">
        <v>1</v>
      </c>
      <c r="K115">
        <v>0</v>
      </c>
      <c r="L115">
        <v>10</v>
      </c>
      <c r="M115">
        <v>110</v>
      </c>
      <c r="N115">
        <v>100</v>
      </c>
    </row>
    <row r="116" spans="1:14" hidden="1" x14ac:dyDescent="0.25">
      <c r="A116" s="120" t="s">
        <v>3463</v>
      </c>
      <c r="B116" s="120" t="s">
        <v>3464</v>
      </c>
      <c r="C116" s="120" t="s">
        <v>301</v>
      </c>
      <c r="D116" s="120" t="s">
        <v>712</v>
      </c>
      <c r="E116" s="120" t="s">
        <v>51</v>
      </c>
      <c r="F116" s="120" t="s">
        <v>14</v>
      </c>
      <c r="G116" s="120">
        <v>64</v>
      </c>
      <c r="H116">
        <v>140</v>
      </c>
      <c r="I116" s="120" t="s">
        <v>11</v>
      </c>
      <c r="J116">
        <v>-76</v>
      </c>
      <c r="K116">
        <v>0</v>
      </c>
      <c r="L116">
        <v>10</v>
      </c>
      <c r="M116">
        <v>640</v>
      </c>
      <c r="N116">
        <v>1400</v>
      </c>
    </row>
    <row r="117" spans="1:14" hidden="1" x14ac:dyDescent="0.25">
      <c r="A117" s="120" t="s">
        <v>3463</v>
      </c>
      <c r="B117" s="120" t="s">
        <v>3816</v>
      </c>
      <c r="C117" s="120" t="s">
        <v>301</v>
      </c>
      <c r="D117" s="120" t="s">
        <v>712</v>
      </c>
      <c r="E117" s="120" t="s">
        <v>51</v>
      </c>
      <c r="F117" s="120" t="s">
        <v>14</v>
      </c>
      <c r="G117" s="120">
        <v>64</v>
      </c>
      <c r="H117">
        <v>7</v>
      </c>
      <c r="I117" s="120" t="s">
        <v>11</v>
      </c>
      <c r="J117">
        <v>57</v>
      </c>
      <c r="K117">
        <v>0</v>
      </c>
      <c r="L117">
        <v>10</v>
      </c>
      <c r="M117">
        <v>640</v>
      </c>
      <c r="N117">
        <v>70</v>
      </c>
    </row>
    <row r="118" spans="1:14" hidden="1" x14ac:dyDescent="0.25">
      <c r="A118" s="120" t="s">
        <v>3463</v>
      </c>
      <c r="B118" s="120" t="s">
        <v>3510</v>
      </c>
      <c r="C118" s="120" t="s">
        <v>301</v>
      </c>
      <c r="D118" s="120" t="s">
        <v>712</v>
      </c>
      <c r="E118" s="120" t="s">
        <v>51</v>
      </c>
      <c r="F118" s="120" t="s">
        <v>14</v>
      </c>
      <c r="G118" s="120">
        <v>3</v>
      </c>
      <c r="H118">
        <v>4</v>
      </c>
      <c r="I118" s="120" t="s">
        <v>11</v>
      </c>
      <c r="J118">
        <v>-1</v>
      </c>
      <c r="K118">
        <v>0</v>
      </c>
      <c r="L118">
        <v>10</v>
      </c>
      <c r="M118">
        <v>30</v>
      </c>
      <c r="N118">
        <v>40</v>
      </c>
    </row>
    <row r="119" spans="1:14" hidden="1" x14ac:dyDescent="0.25">
      <c r="A119" s="120" t="s">
        <v>3463</v>
      </c>
      <c r="B119" s="120" t="s">
        <v>3818</v>
      </c>
      <c r="C119" s="120" t="s">
        <v>301</v>
      </c>
      <c r="D119" s="120" t="s">
        <v>712</v>
      </c>
      <c r="E119" s="120" t="s">
        <v>51</v>
      </c>
      <c r="F119" s="120" t="s">
        <v>14</v>
      </c>
      <c r="G119" s="120">
        <v>0</v>
      </c>
      <c r="H119">
        <v>6</v>
      </c>
      <c r="I119" s="120" t="s">
        <v>11</v>
      </c>
      <c r="J119">
        <v>-6</v>
      </c>
      <c r="K119">
        <v>0</v>
      </c>
      <c r="L119">
        <v>10</v>
      </c>
      <c r="M119">
        <v>0</v>
      </c>
      <c r="N119">
        <v>60</v>
      </c>
    </row>
    <row r="120" spans="1:14" hidden="1" x14ac:dyDescent="0.25">
      <c r="A120" s="120" t="s">
        <v>3463</v>
      </c>
      <c r="B120" s="120" t="s">
        <v>3528</v>
      </c>
      <c r="C120" s="120" t="s">
        <v>301</v>
      </c>
      <c r="D120" s="120" t="s">
        <v>712</v>
      </c>
      <c r="E120" s="120" t="s">
        <v>51</v>
      </c>
      <c r="F120" s="120" t="s">
        <v>14</v>
      </c>
      <c r="G120" s="120">
        <v>3</v>
      </c>
      <c r="H120">
        <v>0</v>
      </c>
      <c r="I120" s="120" t="s">
        <v>11</v>
      </c>
      <c r="J120">
        <v>3</v>
      </c>
      <c r="K120">
        <v>0</v>
      </c>
      <c r="L120">
        <v>10</v>
      </c>
      <c r="M120">
        <v>30</v>
      </c>
      <c r="N120">
        <v>0</v>
      </c>
    </row>
    <row r="121" spans="1:14" hidden="1" x14ac:dyDescent="0.25">
      <c r="A121" s="120" t="s">
        <v>3463</v>
      </c>
      <c r="B121" s="120" t="s">
        <v>3588</v>
      </c>
      <c r="C121" s="120" t="s">
        <v>301</v>
      </c>
      <c r="D121" s="120" t="s">
        <v>712</v>
      </c>
      <c r="E121" s="120" t="s">
        <v>314</v>
      </c>
      <c r="F121" s="120" t="s">
        <v>18</v>
      </c>
      <c r="G121" s="120">
        <v>18</v>
      </c>
      <c r="H121">
        <v>17</v>
      </c>
      <c r="I121" s="120" t="s">
        <v>11</v>
      </c>
      <c r="J121">
        <v>1</v>
      </c>
      <c r="K121">
        <v>0</v>
      </c>
      <c r="L121">
        <v>10</v>
      </c>
      <c r="M121">
        <v>180</v>
      </c>
      <c r="N121">
        <v>170</v>
      </c>
    </row>
    <row r="122" spans="1:14" hidden="1" x14ac:dyDescent="0.25">
      <c r="A122" s="120" t="s">
        <v>3463</v>
      </c>
      <c r="B122" s="120" t="s">
        <v>3464</v>
      </c>
      <c r="C122" s="120" t="s">
        <v>301</v>
      </c>
      <c r="D122" s="120" t="s">
        <v>623</v>
      </c>
      <c r="E122" s="120" t="s">
        <v>21</v>
      </c>
      <c r="F122" s="120" t="s">
        <v>18</v>
      </c>
      <c r="G122" s="120">
        <v>5</v>
      </c>
      <c r="H122">
        <v>32</v>
      </c>
      <c r="I122" s="120" t="s">
        <v>11</v>
      </c>
      <c r="J122">
        <v>-27</v>
      </c>
      <c r="K122">
        <v>0</v>
      </c>
      <c r="L122">
        <v>13</v>
      </c>
      <c r="M122">
        <v>65</v>
      </c>
      <c r="N122">
        <v>416</v>
      </c>
    </row>
    <row r="123" spans="1:14" hidden="1" x14ac:dyDescent="0.25">
      <c r="A123" s="120" t="s">
        <v>3591</v>
      </c>
      <c r="B123" s="120" t="s">
        <v>3592</v>
      </c>
      <c r="C123" s="120" t="s">
        <v>301</v>
      </c>
      <c r="D123" s="120" t="s">
        <v>3655</v>
      </c>
      <c r="E123" s="120" t="s">
        <v>468</v>
      </c>
      <c r="F123" s="120" t="s">
        <v>18</v>
      </c>
      <c r="G123" s="120">
        <v>0</v>
      </c>
      <c r="H123">
        <v>0</v>
      </c>
      <c r="I123" s="120" t="s">
        <v>57</v>
      </c>
      <c r="J123">
        <v>0</v>
      </c>
      <c r="K123">
        <v>1</v>
      </c>
      <c r="L123" s="121">
        <v>0</v>
      </c>
      <c r="M123" s="121">
        <v>0</v>
      </c>
      <c r="N123" s="121">
        <v>0</v>
      </c>
    </row>
    <row r="124" spans="1:14" hidden="1" x14ac:dyDescent="0.25">
      <c r="A124" s="120" t="s">
        <v>3591</v>
      </c>
      <c r="B124" s="120" t="s">
        <v>3592</v>
      </c>
      <c r="C124" s="120" t="s">
        <v>301</v>
      </c>
      <c r="D124" s="120" t="s">
        <v>3657</v>
      </c>
      <c r="E124" s="120" t="s">
        <v>470</v>
      </c>
      <c r="F124" s="120" t="s">
        <v>10</v>
      </c>
      <c r="G124" s="120">
        <v>0</v>
      </c>
      <c r="H124">
        <v>0</v>
      </c>
      <c r="I124" s="120" t="s">
        <v>57</v>
      </c>
      <c r="J124">
        <v>0</v>
      </c>
      <c r="K124">
        <v>1</v>
      </c>
      <c r="L124" s="121">
        <v>0</v>
      </c>
      <c r="M124" s="121">
        <v>0</v>
      </c>
      <c r="N124" s="121">
        <v>0</v>
      </c>
    </row>
    <row r="125" spans="1:14" hidden="1" x14ac:dyDescent="0.25">
      <c r="A125" s="120" t="s">
        <v>3463</v>
      </c>
      <c r="B125" s="120" t="s">
        <v>3816</v>
      </c>
      <c r="C125" s="120" t="s">
        <v>301</v>
      </c>
      <c r="D125" s="120" t="s">
        <v>623</v>
      </c>
      <c r="E125" s="120" t="s">
        <v>21</v>
      </c>
      <c r="F125" s="120" t="s">
        <v>18</v>
      </c>
      <c r="G125" s="120">
        <v>0</v>
      </c>
      <c r="H125">
        <v>2</v>
      </c>
      <c r="I125" s="120" t="s">
        <v>47</v>
      </c>
      <c r="J125">
        <v>-2</v>
      </c>
      <c r="K125">
        <v>0</v>
      </c>
      <c r="L125">
        <v>13</v>
      </c>
      <c r="M125">
        <v>0</v>
      </c>
      <c r="N125">
        <v>26</v>
      </c>
    </row>
    <row r="126" spans="1:14" hidden="1" x14ac:dyDescent="0.25">
      <c r="A126" s="120" t="s">
        <v>3463</v>
      </c>
      <c r="B126" s="120" t="s">
        <v>3528</v>
      </c>
      <c r="C126" s="120" t="s">
        <v>301</v>
      </c>
      <c r="D126" s="120" t="s">
        <v>623</v>
      </c>
      <c r="E126" s="120" t="s">
        <v>21</v>
      </c>
      <c r="F126" s="120" t="s">
        <v>18</v>
      </c>
      <c r="G126" s="120">
        <v>2</v>
      </c>
      <c r="H126">
        <v>3</v>
      </c>
      <c r="I126" s="120" t="s">
        <v>47</v>
      </c>
      <c r="J126">
        <v>-1</v>
      </c>
      <c r="K126">
        <v>0</v>
      </c>
      <c r="L126">
        <v>13</v>
      </c>
      <c r="M126">
        <v>26</v>
      </c>
      <c r="N126">
        <v>39</v>
      </c>
    </row>
    <row r="127" spans="1:14" hidden="1" x14ac:dyDescent="0.25">
      <c r="A127" s="120" t="s">
        <v>3463</v>
      </c>
      <c r="B127" s="120" t="s">
        <v>3871</v>
      </c>
      <c r="C127" s="120" t="s">
        <v>301</v>
      </c>
      <c r="D127" s="120" t="s">
        <v>713</v>
      </c>
      <c r="E127" s="120" t="s">
        <v>28</v>
      </c>
      <c r="F127" s="120" t="s">
        <v>14</v>
      </c>
      <c r="G127" s="120">
        <v>4</v>
      </c>
      <c r="H127">
        <v>3</v>
      </c>
      <c r="I127" s="120" t="s">
        <v>11</v>
      </c>
      <c r="J127">
        <v>1</v>
      </c>
      <c r="K127">
        <v>0</v>
      </c>
      <c r="L127">
        <v>5.9</v>
      </c>
      <c r="M127">
        <v>23.6</v>
      </c>
      <c r="N127">
        <v>17.700000000000003</v>
      </c>
    </row>
    <row r="128" spans="1:14" hidden="1" x14ac:dyDescent="0.25">
      <c r="A128" s="120" t="s">
        <v>3463</v>
      </c>
      <c r="B128" s="120" t="s">
        <v>3464</v>
      </c>
      <c r="C128" s="120" t="s">
        <v>301</v>
      </c>
      <c r="D128" s="120" t="s">
        <v>713</v>
      </c>
      <c r="E128" s="120" t="s">
        <v>28</v>
      </c>
      <c r="F128" s="120" t="s">
        <v>14</v>
      </c>
      <c r="G128" s="120">
        <v>91</v>
      </c>
      <c r="H128">
        <v>154</v>
      </c>
      <c r="I128" s="120" t="s">
        <v>11</v>
      </c>
      <c r="J128">
        <v>-63</v>
      </c>
      <c r="K128">
        <v>0</v>
      </c>
      <c r="L128">
        <v>5.9</v>
      </c>
      <c r="M128">
        <v>536.9</v>
      </c>
      <c r="N128">
        <v>908.6</v>
      </c>
    </row>
    <row r="129" spans="1:14" hidden="1" x14ac:dyDescent="0.25">
      <c r="A129" s="120" t="s">
        <v>3463</v>
      </c>
      <c r="B129" s="120" t="s">
        <v>3816</v>
      </c>
      <c r="C129" s="120" t="s">
        <v>301</v>
      </c>
      <c r="D129" s="120" t="s">
        <v>713</v>
      </c>
      <c r="E129" s="120" t="s">
        <v>28</v>
      </c>
      <c r="F129" s="120" t="s">
        <v>14</v>
      </c>
      <c r="G129" s="120">
        <v>0</v>
      </c>
      <c r="H129">
        <v>6</v>
      </c>
      <c r="I129" s="120" t="s">
        <v>11</v>
      </c>
      <c r="J129">
        <v>-6</v>
      </c>
      <c r="K129">
        <v>0</v>
      </c>
      <c r="L129">
        <v>5.9</v>
      </c>
      <c r="M129">
        <v>0</v>
      </c>
      <c r="N129">
        <v>35.400000000000006</v>
      </c>
    </row>
    <row r="130" spans="1:14" hidden="1" x14ac:dyDescent="0.25">
      <c r="A130" s="120" t="s">
        <v>3591</v>
      </c>
      <c r="B130" s="120" t="s">
        <v>3592</v>
      </c>
      <c r="C130" s="120" t="s">
        <v>301</v>
      </c>
      <c r="D130" s="120" t="s">
        <v>3659</v>
      </c>
      <c r="E130" s="120" t="s">
        <v>472</v>
      </c>
      <c r="F130" s="120" t="s">
        <v>10</v>
      </c>
      <c r="G130" s="120">
        <v>0</v>
      </c>
      <c r="H130">
        <v>0</v>
      </c>
      <c r="I130" s="120" t="s">
        <v>11</v>
      </c>
      <c r="J130">
        <v>0</v>
      </c>
      <c r="K130">
        <v>1</v>
      </c>
      <c r="L130" s="121">
        <v>0</v>
      </c>
      <c r="M130" s="121">
        <v>0</v>
      </c>
      <c r="N130" s="121">
        <v>0</v>
      </c>
    </row>
    <row r="131" spans="1:14" hidden="1" x14ac:dyDescent="0.25">
      <c r="A131" s="120" t="s">
        <v>3463</v>
      </c>
      <c r="B131" s="120" t="s">
        <v>3818</v>
      </c>
      <c r="C131" s="120" t="s">
        <v>301</v>
      </c>
      <c r="D131" s="120" t="s">
        <v>713</v>
      </c>
      <c r="E131" s="120" t="s">
        <v>28</v>
      </c>
      <c r="F131" s="120" t="s">
        <v>14</v>
      </c>
      <c r="G131" s="120">
        <v>0</v>
      </c>
      <c r="H131">
        <v>9</v>
      </c>
      <c r="I131" s="120" t="s">
        <v>11</v>
      </c>
      <c r="J131">
        <v>-9</v>
      </c>
      <c r="K131">
        <v>0</v>
      </c>
      <c r="L131">
        <v>5.9</v>
      </c>
      <c r="M131">
        <v>0</v>
      </c>
      <c r="N131">
        <v>53.1</v>
      </c>
    </row>
    <row r="132" spans="1:14" hidden="1" x14ac:dyDescent="0.25">
      <c r="A132" s="120" t="s">
        <v>3463</v>
      </c>
      <c r="B132" s="120" t="s">
        <v>3528</v>
      </c>
      <c r="C132" s="120" t="s">
        <v>301</v>
      </c>
      <c r="D132" s="120" t="s">
        <v>713</v>
      </c>
      <c r="E132" s="120" t="s">
        <v>28</v>
      </c>
      <c r="F132" s="120" t="s">
        <v>14</v>
      </c>
      <c r="G132" s="120">
        <v>8</v>
      </c>
      <c r="H132">
        <v>7</v>
      </c>
      <c r="I132" s="120" t="s">
        <v>11</v>
      </c>
      <c r="J132">
        <v>1</v>
      </c>
      <c r="K132">
        <v>0</v>
      </c>
      <c r="L132">
        <v>5.9</v>
      </c>
      <c r="M132">
        <v>47.2</v>
      </c>
      <c r="N132">
        <v>41.300000000000004</v>
      </c>
    </row>
    <row r="133" spans="1:14" hidden="1" x14ac:dyDescent="0.25">
      <c r="A133" s="120" t="s">
        <v>3463</v>
      </c>
      <c r="B133" s="120" t="s">
        <v>3588</v>
      </c>
      <c r="C133" s="120" t="s">
        <v>301</v>
      </c>
      <c r="D133" s="120" t="s">
        <v>713</v>
      </c>
      <c r="E133" s="120" t="s">
        <v>313</v>
      </c>
      <c r="F133" s="120" t="s">
        <v>18</v>
      </c>
      <c r="G133" s="120">
        <v>36</v>
      </c>
      <c r="H133">
        <v>46</v>
      </c>
      <c r="I133" s="120" t="s">
        <v>11</v>
      </c>
      <c r="J133">
        <v>-10</v>
      </c>
      <c r="K133">
        <v>0</v>
      </c>
      <c r="L133">
        <v>5.9</v>
      </c>
      <c r="M133">
        <v>212.4</v>
      </c>
      <c r="N133">
        <v>271.40000000000003</v>
      </c>
    </row>
    <row r="134" spans="1:14" hidden="1" x14ac:dyDescent="0.25">
      <c r="A134" s="120" t="s">
        <v>3463</v>
      </c>
      <c r="B134" s="120" t="s">
        <v>3464</v>
      </c>
      <c r="C134" s="120" t="s">
        <v>301</v>
      </c>
      <c r="D134" s="120" t="s">
        <v>626</v>
      </c>
      <c r="E134" s="120" t="s">
        <v>22</v>
      </c>
      <c r="F134" s="120" t="s">
        <v>10</v>
      </c>
      <c r="G134" s="120">
        <v>43</v>
      </c>
      <c r="H134">
        <v>58</v>
      </c>
      <c r="I134" s="120" t="s">
        <v>11</v>
      </c>
      <c r="J134">
        <v>-15</v>
      </c>
      <c r="K134">
        <v>0</v>
      </c>
      <c r="L134">
        <v>14.9</v>
      </c>
      <c r="M134">
        <v>640.70000000000005</v>
      </c>
      <c r="N134">
        <v>864.2</v>
      </c>
    </row>
    <row r="135" spans="1:14" hidden="1" x14ac:dyDescent="0.25">
      <c r="A135" s="120" t="s">
        <v>3591</v>
      </c>
      <c r="B135" s="120" t="s">
        <v>3592</v>
      </c>
      <c r="C135" s="120" t="s">
        <v>301</v>
      </c>
      <c r="D135" s="120" t="s">
        <v>3676</v>
      </c>
      <c r="E135" s="120" t="s">
        <v>495</v>
      </c>
      <c r="F135" s="120" t="s">
        <v>18</v>
      </c>
      <c r="G135" s="120">
        <v>0</v>
      </c>
      <c r="H135">
        <v>0</v>
      </c>
      <c r="I135" s="120" t="s">
        <v>47</v>
      </c>
      <c r="J135">
        <v>0</v>
      </c>
      <c r="K135">
        <v>1</v>
      </c>
      <c r="L135" s="121">
        <v>0</v>
      </c>
      <c r="M135" s="121">
        <v>0</v>
      </c>
      <c r="N135" s="121">
        <v>0</v>
      </c>
    </row>
    <row r="136" spans="1:14" hidden="1" x14ac:dyDescent="0.25">
      <c r="A136" s="120" t="s">
        <v>3463</v>
      </c>
      <c r="B136" s="120" t="s">
        <v>3510</v>
      </c>
      <c r="C136" s="120" t="s">
        <v>301</v>
      </c>
      <c r="D136" s="120" t="s">
        <v>626</v>
      </c>
      <c r="E136" s="120" t="s">
        <v>135</v>
      </c>
      <c r="F136" s="120" t="s">
        <v>10</v>
      </c>
      <c r="G136" s="120">
        <v>13</v>
      </c>
      <c r="H136">
        <v>11</v>
      </c>
      <c r="I136" s="120" t="s">
        <v>47</v>
      </c>
      <c r="J136">
        <v>2</v>
      </c>
      <c r="K136">
        <v>0</v>
      </c>
      <c r="L136">
        <v>14.9</v>
      </c>
      <c r="M136">
        <v>193.70000000000002</v>
      </c>
      <c r="N136">
        <v>163.9</v>
      </c>
    </row>
    <row r="137" spans="1:14" hidden="1" x14ac:dyDescent="0.25">
      <c r="A137" s="120" t="s">
        <v>3463</v>
      </c>
      <c r="B137" s="120" t="s">
        <v>3816</v>
      </c>
      <c r="C137" s="120" t="s">
        <v>301</v>
      </c>
      <c r="D137" s="120" t="s">
        <v>626</v>
      </c>
      <c r="E137" s="120" t="s">
        <v>22</v>
      </c>
      <c r="F137" s="120" t="s">
        <v>10</v>
      </c>
      <c r="G137" s="120">
        <v>0</v>
      </c>
      <c r="H137">
        <v>2</v>
      </c>
      <c r="I137" s="120" t="s">
        <v>11</v>
      </c>
      <c r="J137">
        <v>-2</v>
      </c>
      <c r="K137">
        <v>0</v>
      </c>
      <c r="L137">
        <v>14.9</v>
      </c>
      <c r="M137">
        <v>0</v>
      </c>
      <c r="N137">
        <v>29.8</v>
      </c>
    </row>
    <row r="138" spans="1:14" hidden="1" x14ac:dyDescent="0.25">
      <c r="A138" s="120" t="s">
        <v>3463</v>
      </c>
      <c r="B138" s="120" t="s">
        <v>3528</v>
      </c>
      <c r="C138" s="120" t="s">
        <v>301</v>
      </c>
      <c r="D138" s="120" t="s">
        <v>626</v>
      </c>
      <c r="E138" s="120" t="s">
        <v>198</v>
      </c>
      <c r="F138" s="120" t="s">
        <v>10</v>
      </c>
      <c r="G138" s="120">
        <v>0</v>
      </c>
      <c r="H138">
        <v>5</v>
      </c>
      <c r="I138" s="120" t="s">
        <v>11</v>
      </c>
      <c r="J138">
        <v>-5</v>
      </c>
      <c r="K138">
        <v>0</v>
      </c>
      <c r="L138">
        <v>14.9</v>
      </c>
      <c r="M138">
        <v>0</v>
      </c>
      <c r="N138">
        <v>74.5</v>
      </c>
    </row>
    <row r="139" spans="1:14" hidden="1" x14ac:dyDescent="0.25">
      <c r="A139" s="120" t="s">
        <v>3463</v>
      </c>
      <c r="B139" s="120" t="s">
        <v>3871</v>
      </c>
      <c r="C139" s="120" t="s">
        <v>301</v>
      </c>
      <c r="D139" s="120" t="s">
        <v>714</v>
      </c>
      <c r="E139" s="120" t="s">
        <v>52</v>
      </c>
      <c r="F139" s="120" t="s">
        <v>14</v>
      </c>
      <c r="G139" s="120">
        <v>3</v>
      </c>
      <c r="H139">
        <v>2</v>
      </c>
      <c r="I139" s="120" t="s">
        <v>11</v>
      </c>
      <c r="J139">
        <v>1</v>
      </c>
      <c r="K139">
        <v>0</v>
      </c>
      <c r="L139">
        <v>3</v>
      </c>
      <c r="M139">
        <v>9</v>
      </c>
      <c r="N139">
        <v>6</v>
      </c>
    </row>
    <row r="140" spans="1:14" hidden="1" x14ac:dyDescent="0.25">
      <c r="A140" s="120" t="s">
        <v>3463</v>
      </c>
      <c r="B140" s="120" t="s">
        <v>3464</v>
      </c>
      <c r="C140" s="120" t="s">
        <v>301</v>
      </c>
      <c r="D140" s="120" t="s">
        <v>714</v>
      </c>
      <c r="E140" s="120" t="s">
        <v>52</v>
      </c>
      <c r="F140" s="120" t="s">
        <v>14</v>
      </c>
      <c r="G140" s="120">
        <v>88</v>
      </c>
      <c r="H140">
        <v>92</v>
      </c>
      <c r="I140" s="120" t="s">
        <v>11</v>
      </c>
      <c r="J140">
        <v>-4</v>
      </c>
      <c r="K140">
        <v>0</v>
      </c>
      <c r="L140">
        <v>3</v>
      </c>
      <c r="M140">
        <v>264</v>
      </c>
      <c r="N140">
        <v>276</v>
      </c>
    </row>
    <row r="141" spans="1:14" hidden="1" x14ac:dyDescent="0.25">
      <c r="A141" s="120" t="s">
        <v>3463</v>
      </c>
      <c r="B141" s="120" t="s">
        <v>3816</v>
      </c>
      <c r="C141" s="120" t="s">
        <v>301</v>
      </c>
      <c r="D141" s="120" t="s">
        <v>714</v>
      </c>
      <c r="E141" s="120" t="s">
        <v>52</v>
      </c>
      <c r="F141" s="120" t="s">
        <v>14</v>
      </c>
      <c r="G141" s="120">
        <v>0</v>
      </c>
      <c r="H141">
        <v>7</v>
      </c>
      <c r="I141" s="120" t="s">
        <v>11</v>
      </c>
      <c r="J141">
        <v>-7</v>
      </c>
      <c r="K141">
        <v>0</v>
      </c>
      <c r="L141">
        <v>3</v>
      </c>
      <c r="M141">
        <v>0</v>
      </c>
      <c r="N141">
        <v>21</v>
      </c>
    </row>
    <row r="142" spans="1:14" hidden="1" x14ac:dyDescent="0.25">
      <c r="A142" s="120" t="s">
        <v>3591</v>
      </c>
      <c r="B142" s="120" t="s">
        <v>3592</v>
      </c>
      <c r="C142" s="120" t="s">
        <v>301</v>
      </c>
      <c r="D142" s="120" t="s">
        <v>3660</v>
      </c>
      <c r="E142" s="120" t="s">
        <v>474</v>
      </c>
      <c r="F142" s="120" t="s">
        <v>10</v>
      </c>
      <c r="G142" s="120">
        <v>0</v>
      </c>
      <c r="H142">
        <v>0</v>
      </c>
      <c r="I142" s="120" t="s">
        <v>57</v>
      </c>
      <c r="J142">
        <v>0</v>
      </c>
      <c r="K142">
        <v>1</v>
      </c>
      <c r="L142" s="121">
        <v>0</v>
      </c>
      <c r="M142" s="121">
        <v>0</v>
      </c>
      <c r="N142" s="121">
        <v>0</v>
      </c>
    </row>
    <row r="143" spans="1:14" hidden="1" x14ac:dyDescent="0.25">
      <c r="A143" s="120" t="s">
        <v>3463</v>
      </c>
      <c r="B143" s="120" t="s">
        <v>3818</v>
      </c>
      <c r="C143" s="120" t="s">
        <v>301</v>
      </c>
      <c r="D143" s="120" t="s">
        <v>714</v>
      </c>
      <c r="E143" s="120" t="s">
        <v>52</v>
      </c>
      <c r="F143" s="120" t="s">
        <v>14</v>
      </c>
      <c r="G143" s="120">
        <v>0</v>
      </c>
      <c r="H143">
        <v>3</v>
      </c>
      <c r="I143" s="120" t="s">
        <v>11</v>
      </c>
      <c r="J143">
        <v>-3</v>
      </c>
      <c r="K143">
        <v>0</v>
      </c>
      <c r="L143">
        <v>3</v>
      </c>
      <c r="M143">
        <v>0</v>
      </c>
      <c r="N143">
        <v>9</v>
      </c>
    </row>
    <row r="144" spans="1:14" hidden="1" x14ac:dyDescent="0.25">
      <c r="A144" s="120" t="s">
        <v>3591</v>
      </c>
      <c r="B144" s="120" t="s">
        <v>3592</v>
      </c>
      <c r="C144" s="120" t="s">
        <v>301</v>
      </c>
      <c r="D144" s="120" t="s">
        <v>3663</v>
      </c>
      <c r="E144" s="120" t="s">
        <v>477</v>
      </c>
      <c r="F144" s="120" t="s">
        <v>10</v>
      </c>
      <c r="G144" s="120">
        <v>0</v>
      </c>
      <c r="H144">
        <v>0</v>
      </c>
      <c r="I144" s="120" t="s">
        <v>57</v>
      </c>
      <c r="J144">
        <v>0</v>
      </c>
      <c r="K144">
        <v>1</v>
      </c>
      <c r="L144" s="121">
        <v>0</v>
      </c>
      <c r="M144" s="121">
        <v>0</v>
      </c>
      <c r="N144" s="121">
        <v>0</v>
      </c>
    </row>
    <row r="145" spans="1:14" hidden="1" x14ac:dyDescent="0.25">
      <c r="A145" s="120" t="s">
        <v>3463</v>
      </c>
      <c r="B145" s="120" t="s">
        <v>3588</v>
      </c>
      <c r="C145" s="120" t="s">
        <v>301</v>
      </c>
      <c r="D145" s="120" t="s">
        <v>714</v>
      </c>
      <c r="E145" s="120" t="s">
        <v>312</v>
      </c>
      <c r="F145" s="120" t="s">
        <v>18</v>
      </c>
      <c r="G145" s="120">
        <v>25</v>
      </c>
      <c r="H145">
        <v>31</v>
      </c>
      <c r="I145" s="120" t="s">
        <v>11</v>
      </c>
      <c r="J145">
        <v>-6</v>
      </c>
      <c r="K145">
        <v>0</v>
      </c>
      <c r="L145">
        <v>3</v>
      </c>
      <c r="M145">
        <v>75</v>
      </c>
      <c r="N145">
        <v>93</v>
      </c>
    </row>
    <row r="146" spans="1:14" hidden="1" x14ac:dyDescent="0.25">
      <c r="A146" s="120" t="s">
        <v>3463</v>
      </c>
      <c r="B146" s="120" t="s">
        <v>3464</v>
      </c>
      <c r="C146" s="120" t="s">
        <v>301</v>
      </c>
      <c r="D146" s="120" t="s">
        <v>3467</v>
      </c>
      <c r="E146" s="120" t="s">
        <v>23</v>
      </c>
      <c r="F146" s="120" t="s">
        <v>18</v>
      </c>
      <c r="G146" s="120">
        <v>6</v>
      </c>
      <c r="H146">
        <v>0</v>
      </c>
      <c r="I146" s="120" t="s">
        <v>57</v>
      </c>
      <c r="J146">
        <v>6</v>
      </c>
      <c r="K146">
        <v>0</v>
      </c>
      <c r="L146">
        <v>0</v>
      </c>
      <c r="M146">
        <v>0</v>
      </c>
      <c r="N146">
        <v>0</v>
      </c>
    </row>
    <row r="147" spans="1:14" hidden="1" x14ac:dyDescent="0.25">
      <c r="A147" s="120" t="s">
        <v>3463</v>
      </c>
      <c r="B147" s="120" t="s">
        <v>3871</v>
      </c>
      <c r="C147" s="120" t="s">
        <v>301</v>
      </c>
      <c r="D147" s="120" t="s">
        <v>3467</v>
      </c>
      <c r="E147" s="120" t="s">
        <v>23</v>
      </c>
      <c r="F147" s="120" t="s">
        <v>18</v>
      </c>
      <c r="G147" s="120">
        <v>3</v>
      </c>
      <c r="H147">
        <v>0</v>
      </c>
      <c r="I147" s="120" t="s">
        <v>11</v>
      </c>
      <c r="J147">
        <v>3</v>
      </c>
      <c r="K147">
        <v>0</v>
      </c>
      <c r="L147">
        <v>0</v>
      </c>
      <c r="M147">
        <v>0</v>
      </c>
      <c r="N147">
        <v>0</v>
      </c>
    </row>
    <row r="148" spans="1:14" hidden="1" x14ac:dyDescent="0.25">
      <c r="A148" s="120" t="s">
        <v>3463</v>
      </c>
      <c r="B148" s="120" t="s">
        <v>3510</v>
      </c>
      <c r="C148" s="120" t="s">
        <v>301</v>
      </c>
      <c r="D148" s="120" t="s">
        <v>3467</v>
      </c>
      <c r="E148" s="120" t="s">
        <v>23</v>
      </c>
      <c r="F148" s="120" t="s">
        <v>18</v>
      </c>
      <c r="G148" s="120">
        <v>1</v>
      </c>
      <c r="H148">
        <v>0</v>
      </c>
      <c r="I148" s="120" t="s">
        <v>47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 hidden="1" x14ac:dyDescent="0.25">
      <c r="A149" s="120" t="s">
        <v>3591</v>
      </c>
      <c r="B149" s="120" t="s">
        <v>3592</v>
      </c>
      <c r="C149" s="120" t="s">
        <v>301</v>
      </c>
      <c r="D149" s="120" t="s">
        <v>3664</v>
      </c>
      <c r="E149" s="120" t="s">
        <v>478</v>
      </c>
      <c r="F149" s="120" t="s">
        <v>18</v>
      </c>
      <c r="G149" s="120">
        <v>0</v>
      </c>
      <c r="H149">
        <v>0</v>
      </c>
      <c r="I149" s="120" t="s">
        <v>57</v>
      </c>
      <c r="J149">
        <v>0</v>
      </c>
      <c r="K149">
        <v>1</v>
      </c>
      <c r="L149" s="121">
        <v>0</v>
      </c>
      <c r="M149" s="121">
        <v>0</v>
      </c>
      <c r="N149" s="121">
        <v>0</v>
      </c>
    </row>
    <row r="150" spans="1:14" hidden="1" x14ac:dyDescent="0.25">
      <c r="A150" s="120" t="s">
        <v>3463</v>
      </c>
      <c r="B150" s="120" t="s">
        <v>3528</v>
      </c>
      <c r="C150" s="120" t="s">
        <v>301</v>
      </c>
      <c r="D150" s="120" t="s">
        <v>3467</v>
      </c>
      <c r="E150" s="120" t="s">
        <v>23</v>
      </c>
      <c r="F150" s="120" t="s">
        <v>18</v>
      </c>
      <c r="G150" s="120">
        <v>7</v>
      </c>
      <c r="H150">
        <v>0</v>
      </c>
      <c r="I150" s="120" t="s">
        <v>47</v>
      </c>
      <c r="J150">
        <v>7</v>
      </c>
      <c r="K150">
        <v>0</v>
      </c>
      <c r="L150">
        <v>0</v>
      </c>
      <c r="M150">
        <v>0</v>
      </c>
      <c r="N150">
        <v>0</v>
      </c>
    </row>
    <row r="151" spans="1:14" hidden="1" x14ac:dyDescent="0.25">
      <c r="A151" s="120" t="s">
        <v>3591</v>
      </c>
      <c r="B151" s="120" t="s">
        <v>3592</v>
      </c>
      <c r="C151" s="120" t="s">
        <v>301</v>
      </c>
      <c r="D151" s="120" t="s">
        <v>3669</v>
      </c>
      <c r="E151" s="120" t="s">
        <v>486</v>
      </c>
      <c r="F151" s="120" t="s">
        <v>10</v>
      </c>
      <c r="G151" s="120">
        <v>0</v>
      </c>
      <c r="H151">
        <v>0</v>
      </c>
      <c r="I151" s="120" t="s">
        <v>11</v>
      </c>
      <c r="J151">
        <v>0</v>
      </c>
      <c r="K151">
        <v>1</v>
      </c>
      <c r="L151" s="121">
        <v>0</v>
      </c>
      <c r="M151" s="121">
        <v>0</v>
      </c>
      <c r="N151" s="121">
        <v>0</v>
      </c>
    </row>
    <row r="152" spans="1:14" hidden="1" x14ac:dyDescent="0.25">
      <c r="A152" s="120" t="s">
        <v>3591</v>
      </c>
      <c r="B152" s="120" t="s">
        <v>3592</v>
      </c>
      <c r="C152" s="120" t="s">
        <v>301</v>
      </c>
      <c r="D152" s="120" t="s">
        <v>561</v>
      </c>
      <c r="E152" s="120" t="s">
        <v>384</v>
      </c>
      <c r="F152" s="120" t="s">
        <v>18</v>
      </c>
      <c r="G152" s="120">
        <v>0</v>
      </c>
      <c r="H152">
        <v>5</v>
      </c>
      <c r="I152" s="120" t="s">
        <v>11</v>
      </c>
      <c r="J152">
        <v>-5</v>
      </c>
      <c r="K152">
        <v>0</v>
      </c>
      <c r="L152">
        <v>18</v>
      </c>
      <c r="M152">
        <v>0</v>
      </c>
      <c r="N152">
        <v>90</v>
      </c>
    </row>
    <row r="153" spans="1:14" hidden="1" x14ac:dyDescent="0.25">
      <c r="A153" s="120" t="s">
        <v>3591</v>
      </c>
      <c r="B153" s="120" t="s">
        <v>3592</v>
      </c>
      <c r="C153" s="120" t="s">
        <v>301</v>
      </c>
      <c r="D153" s="120" t="s">
        <v>3671</v>
      </c>
      <c r="E153" s="120" t="s">
        <v>488</v>
      </c>
      <c r="F153" s="120" t="s">
        <v>18</v>
      </c>
      <c r="G153" s="120">
        <v>0</v>
      </c>
      <c r="H153">
        <v>0</v>
      </c>
      <c r="I153" s="120" t="s">
        <v>57</v>
      </c>
      <c r="J153">
        <v>0</v>
      </c>
      <c r="K153">
        <v>1</v>
      </c>
      <c r="L153" s="121">
        <v>0</v>
      </c>
      <c r="M153" s="121">
        <v>0</v>
      </c>
      <c r="N153" s="121">
        <v>0</v>
      </c>
    </row>
    <row r="154" spans="1:14" hidden="1" x14ac:dyDescent="0.25">
      <c r="A154" s="120" t="s">
        <v>3591</v>
      </c>
      <c r="B154" s="120" t="s">
        <v>3693</v>
      </c>
      <c r="C154" s="120" t="s">
        <v>301</v>
      </c>
      <c r="D154" s="120" t="s">
        <v>561</v>
      </c>
      <c r="E154" s="120" t="s">
        <v>384</v>
      </c>
      <c r="F154" s="120" t="s">
        <v>14</v>
      </c>
      <c r="G154" s="120">
        <v>2</v>
      </c>
      <c r="H154">
        <v>3</v>
      </c>
      <c r="I154" s="120" t="s">
        <v>11</v>
      </c>
      <c r="J154">
        <v>-1</v>
      </c>
      <c r="K154">
        <v>0</v>
      </c>
      <c r="L154">
        <v>18</v>
      </c>
      <c r="M154">
        <v>36</v>
      </c>
      <c r="N154">
        <v>54</v>
      </c>
    </row>
    <row r="155" spans="1:14" hidden="1" x14ac:dyDescent="0.25">
      <c r="A155" s="120" t="s">
        <v>3591</v>
      </c>
      <c r="B155" s="120" t="s">
        <v>3592</v>
      </c>
      <c r="C155" s="120" t="s">
        <v>301</v>
      </c>
      <c r="D155" s="120" t="s">
        <v>3672</v>
      </c>
      <c r="E155" s="120" t="s">
        <v>489</v>
      </c>
      <c r="F155" s="120" t="s">
        <v>18</v>
      </c>
      <c r="G155" s="120">
        <v>0</v>
      </c>
      <c r="H155">
        <v>0</v>
      </c>
      <c r="I155" s="120" t="s">
        <v>47</v>
      </c>
      <c r="J155">
        <v>0</v>
      </c>
      <c r="K155">
        <v>1</v>
      </c>
      <c r="L155" s="121">
        <v>0</v>
      </c>
      <c r="M155" s="121">
        <v>0</v>
      </c>
      <c r="N155" s="121">
        <v>0</v>
      </c>
    </row>
    <row r="156" spans="1:14" hidden="1" x14ac:dyDescent="0.25">
      <c r="A156" s="120" t="s">
        <v>3591</v>
      </c>
      <c r="B156" s="120" t="s">
        <v>3592</v>
      </c>
      <c r="C156" s="120" t="s">
        <v>301</v>
      </c>
      <c r="D156" s="120" t="s">
        <v>555</v>
      </c>
      <c r="E156" s="120" t="s">
        <v>382</v>
      </c>
      <c r="F156" s="120" t="s">
        <v>18</v>
      </c>
      <c r="G156" s="120">
        <v>3</v>
      </c>
      <c r="H156">
        <v>3</v>
      </c>
      <c r="I156" s="120" t="s">
        <v>57</v>
      </c>
      <c r="J156">
        <v>0</v>
      </c>
      <c r="K156">
        <v>1</v>
      </c>
      <c r="L156" s="121">
        <v>39.99</v>
      </c>
      <c r="M156" s="121">
        <v>119.97</v>
      </c>
      <c r="N156" s="121">
        <v>119.97</v>
      </c>
    </row>
    <row r="157" spans="1:14" hidden="1" x14ac:dyDescent="0.25">
      <c r="A157" s="120" t="s">
        <v>3463</v>
      </c>
      <c r="B157" s="120" t="s">
        <v>3871</v>
      </c>
      <c r="C157" s="120" t="s">
        <v>301</v>
      </c>
      <c r="D157" s="120" t="s">
        <v>3483</v>
      </c>
      <c r="E157" s="120" t="s">
        <v>64</v>
      </c>
      <c r="F157" s="120" t="s">
        <v>14</v>
      </c>
      <c r="G157" s="120">
        <v>10</v>
      </c>
      <c r="H157">
        <v>0</v>
      </c>
      <c r="I157" s="120" t="s">
        <v>11</v>
      </c>
      <c r="J157">
        <v>10</v>
      </c>
      <c r="K157">
        <v>0</v>
      </c>
      <c r="L157">
        <v>0</v>
      </c>
      <c r="M157">
        <v>0</v>
      </c>
      <c r="N157">
        <v>0</v>
      </c>
    </row>
    <row r="158" spans="1:14" hidden="1" x14ac:dyDescent="0.25">
      <c r="A158" s="120" t="s">
        <v>3463</v>
      </c>
      <c r="B158" s="120" t="s">
        <v>3464</v>
      </c>
      <c r="C158" s="120" t="s">
        <v>301</v>
      </c>
      <c r="D158" s="120" t="s">
        <v>3483</v>
      </c>
      <c r="E158" s="120" t="s">
        <v>64</v>
      </c>
      <c r="F158" s="120" t="s">
        <v>14</v>
      </c>
      <c r="G158" s="120">
        <v>30</v>
      </c>
      <c r="H158">
        <v>0</v>
      </c>
      <c r="I158" s="120" t="s">
        <v>11</v>
      </c>
      <c r="J158">
        <v>30</v>
      </c>
      <c r="K158">
        <v>0</v>
      </c>
      <c r="L158">
        <v>0</v>
      </c>
      <c r="M158">
        <v>0</v>
      </c>
      <c r="N158">
        <v>0</v>
      </c>
    </row>
    <row r="159" spans="1:14" hidden="1" x14ac:dyDescent="0.25">
      <c r="A159" s="120" t="s">
        <v>3591</v>
      </c>
      <c r="B159" s="120" t="s">
        <v>3592</v>
      </c>
      <c r="C159" s="120" t="s">
        <v>301</v>
      </c>
      <c r="D159" s="120" t="s">
        <v>374</v>
      </c>
      <c r="E159" s="120" t="s">
        <v>375</v>
      </c>
      <c r="F159" s="120" t="s">
        <v>18</v>
      </c>
      <c r="G159" s="120">
        <v>0</v>
      </c>
      <c r="H159">
        <v>0</v>
      </c>
      <c r="I159" s="120" t="s">
        <v>57</v>
      </c>
      <c r="J159">
        <v>0</v>
      </c>
      <c r="K159">
        <v>1</v>
      </c>
      <c r="L159" s="121">
        <v>0</v>
      </c>
      <c r="M159" s="121">
        <v>0</v>
      </c>
      <c r="N159" s="121">
        <v>0</v>
      </c>
    </row>
    <row r="160" spans="1:14" hidden="1" x14ac:dyDescent="0.25">
      <c r="A160" s="120" t="s">
        <v>3463</v>
      </c>
      <c r="B160" s="120" t="s">
        <v>3510</v>
      </c>
      <c r="C160" s="120" t="s">
        <v>301</v>
      </c>
      <c r="D160" s="120" t="s">
        <v>3483</v>
      </c>
      <c r="E160" s="120" t="s">
        <v>64</v>
      </c>
      <c r="F160" s="120" t="s">
        <v>14</v>
      </c>
      <c r="G160" s="120">
        <v>4</v>
      </c>
      <c r="H160">
        <v>0</v>
      </c>
      <c r="I160" s="120" t="s">
        <v>11</v>
      </c>
      <c r="J160">
        <v>4</v>
      </c>
      <c r="K160">
        <v>0</v>
      </c>
      <c r="L160">
        <v>0</v>
      </c>
      <c r="M160">
        <v>0</v>
      </c>
      <c r="N160">
        <v>0</v>
      </c>
    </row>
    <row r="161" spans="1:14" hidden="1" x14ac:dyDescent="0.25">
      <c r="A161" s="120" t="s">
        <v>3591</v>
      </c>
      <c r="B161" s="120" t="s">
        <v>3592</v>
      </c>
      <c r="C161" s="120" t="s">
        <v>301</v>
      </c>
      <c r="D161" s="120" t="s">
        <v>3594</v>
      </c>
      <c r="E161" s="120" t="s">
        <v>377</v>
      </c>
      <c r="F161" s="120" t="s">
        <v>18</v>
      </c>
      <c r="G161" s="120">
        <v>0</v>
      </c>
      <c r="H161">
        <v>0</v>
      </c>
      <c r="I161" s="120" t="s">
        <v>57</v>
      </c>
      <c r="J161">
        <v>0</v>
      </c>
      <c r="K161">
        <v>1</v>
      </c>
      <c r="L161" s="121">
        <v>0</v>
      </c>
      <c r="M161" s="121">
        <v>0</v>
      </c>
      <c r="N161" s="121">
        <v>0</v>
      </c>
    </row>
    <row r="162" spans="1:14" hidden="1" x14ac:dyDescent="0.25">
      <c r="A162" s="120" t="s">
        <v>3463</v>
      </c>
      <c r="B162" s="120" t="s">
        <v>3528</v>
      </c>
      <c r="C162" s="120" t="s">
        <v>301</v>
      </c>
      <c r="D162" s="120" t="s">
        <v>3483</v>
      </c>
      <c r="E162" s="120" t="s">
        <v>64</v>
      </c>
      <c r="F162" s="120" t="s">
        <v>14</v>
      </c>
      <c r="G162" s="120">
        <v>1</v>
      </c>
      <c r="H162">
        <v>0</v>
      </c>
      <c r="I162" s="120" t="s">
        <v>11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 hidden="1" x14ac:dyDescent="0.25">
      <c r="A163" s="120" t="s">
        <v>3463</v>
      </c>
      <c r="B163" s="120" t="s">
        <v>3588</v>
      </c>
      <c r="C163" s="120" t="s">
        <v>301</v>
      </c>
      <c r="D163" s="120" t="s">
        <v>3483</v>
      </c>
      <c r="E163" s="120" t="s">
        <v>311</v>
      </c>
      <c r="F163" s="120" t="s">
        <v>18</v>
      </c>
      <c r="G163" s="120">
        <v>24</v>
      </c>
      <c r="H163">
        <v>0</v>
      </c>
      <c r="I163" s="120" t="s">
        <v>11</v>
      </c>
      <c r="J163">
        <v>24</v>
      </c>
      <c r="K163">
        <v>0</v>
      </c>
      <c r="L163">
        <v>0</v>
      </c>
      <c r="M163">
        <v>0</v>
      </c>
      <c r="N163">
        <v>0</v>
      </c>
    </row>
    <row r="164" spans="1:14" hidden="1" x14ac:dyDescent="0.25">
      <c r="A164" s="120" t="s">
        <v>3591</v>
      </c>
      <c r="B164" s="120" t="s">
        <v>3592</v>
      </c>
      <c r="C164" s="120" t="s">
        <v>301</v>
      </c>
      <c r="D164" s="120" t="s">
        <v>3595</v>
      </c>
      <c r="E164" s="120" t="s">
        <v>378</v>
      </c>
      <c r="F164" s="120" t="s">
        <v>18</v>
      </c>
      <c r="G164" s="120">
        <v>0</v>
      </c>
      <c r="H164">
        <v>0</v>
      </c>
      <c r="I164" s="120" t="s">
        <v>57</v>
      </c>
      <c r="J164">
        <v>0</v>
      </c>
      <c r="K164">
        <v>1</v>
      </c>
      <c r="L164" s="121">
        <v>0</v>
      </c>
      <c r="M164" s="121">
        <v>0</v>
      </c>
      <c r="N164" s="121">
        <v>0</v>
      </c>
    </row>
    <row r="165" spans="1:14" hidden="1" x14ac:dyDescent="0.25">
      <c r="A165" s="120" t="s">
        <v>3591</v>
      </c>
      <c r="B165" s="120" t="s">
        <v>3592</v>
      </c>
      <c r="C165" s="120" t="s">
        <v>301</v>
      </c>
      <c r="D165" s="120" t="s">
        <v>562</v>
      </c>
      <c r="E165" s="120" t="s">
        <v>385</v>
      </c>
      <c r="F165" s="120" t="s">
        <v>18</v>
      </c>
      <c r="G165" s="120">
        <v>11</v>
      </c>
      <c r="H165">
        <v>18</v>
      </c>
      <c r="I165" s="120" t="s">
        <v>57</v>
      </c>
      <c r="J165">
        <v>-7</v>
      </c>
      <c r="K165">
        <v>0</v>
      </c>
      <c r="L165" s="121">
        <v>14</v>
      </c>
      <c r="M165" s="121">
        <v>154</v>
      </c>
      <c r="N165" s="121">
        <v>252</v>
      </c>
    </row>
    <row r="166" spans="1:14" hidden="1" x14ac:dyDescent="0.25">
      <c r="A166" s="120" t="s">
        <v>3463</v>
      </c>
      <c r="B166" s="120" t="s">
        <v>3464</v>
      </c>
      <c r="C166" s="120" t="s">
        <v>301</v>
      </c>
      <c r="D166" s="120" t="s">
        <v>3468</v>
      </c>
      <c r="E166" s="120" t="s">
        <v>24</v>
      </c>
      <c r="F166" s="120" t="s">
        <v>14</v>
      </c>
      <c r="G166" s="120">
        <v>125</v>
      </c>
      <c r="H166">
        <v>0</v>
      </c>
      <c r="I166" s="120" t="s">
        <v>11</v>
      </c>
      <c r="J166">
        <v>125</v>
      </c>
      <c r="K166">
        <v>0</v>
      </c>
      <c r="L166">
        <v>0</v>
      </c>
      <c r="M166">
        <v>0</v>
      </c>
      <c r="N166">
        <v>0</v>
      </c>
    </row>
    <row r="167" spans="1:14" hidden="1" x14ac:dyDescent="0.25">
      <c r="A167" s="120" t="s">
        <v>3591</v>
      </c>
      <c r="B167" s="120" t="s">
        <v>3592</v>
      </c>
      <c r="C167" s="120" t="s">
        <v>301</v>
      </c>
      <c r="D167" s="120" t="s">
        <v>563</v>
      </c>
      <c r="E167" s="120" t="s">
        <v>388</v>
      </c>
      <c r="F167" s="120" t="s">
        <v>18</v>
      </c>
      <c r="G167" s="120">
        <v>6</v>
      </c>
      <c r="H167">
        <v>4</v>
      </c>
      <c r="I167" s="120" t="s">
        <v>11</v>
      </c>
      <c r="J167">
        <v>2</v>
      </c>
      <c r="K167">
        <v>0</v>
      </c>
      <c r="L167" s="121">
        <v>19</v>
      </c>
      <c r="M167" s="121">
        <v>114</v>
      </c>
      <c r="N167" s="121">
        <v>76</v>
      </c>
    </row>
    <row r="168" spans="1:14" hidden="1" x14ac:dyDescent="0.25">
      <c r="A168" s="120" t="s">
        <v>3591</v>
      </c>
      <c r="B168" s="120" t="s">
        <v>3709</v>
      </c>
      <c r="C168" s="120" t="s">
        <v>301</v>
      </c>
      <c r="D168" s="120" t="s">
        <v>563</v>
      </c>
      <c r="E168" s="120" t="s">
        <v>388</v>
      </c>
      <c r="F168" s="120" t="s">
        <v>14</v>
      </c>
      <c r="G168" s="120">
        <v>1</v>
      </c>
      <c r="H168">
        <v>5</v>
      </c>
      <c r="I168" s="120" t="s">
        <v>11</v>
      </c>
      <c r="J168">
        <v>-4</v>
      </c>
      <c r="K168">
        <v>0</v>
      </c>
      <c r="L168">
        <v>19</v>
      </c>
      <c r="M168">
        <v>19</v>
      </c>
      <c r="N168">
        <v>95</v>
      </c>
    </row>
    <row r="169" spans="1:14" hidden="1" x14ac:dyDescent="0.25">
      <c r="A169" s="120" t="s">
        <v>3591</v>
      </c>
      <c r="B169" s="120" t="s">
        <v>3592</v>
      </c>
      <c r="C169" s="120" t="s">
        <v>301</v>
      </c>
      <c r="D169" s="120" t="s">
        <v>3597</v>
      </c>
      <c r="E169" s="120" t="s">
        <v>380</v>
      </c>
      <c r="F169" s="120" t="s">
        <v>18</v>
      </c>
      <c r="G169" s="120">
        <v>0</v>
      </c>
      <c r="H169">
        <v>0</v>
      </c>
      <c r="I169" s="120" t="s">
        <v>57</v>
      </c>
      <c r="J169">
        <v>0</v>
      </c>
      <c r="K169">
        <v>1</v>
      </c>
      <c r="L169" s="121">
        <v>0</v>
      </c>
      <c r="M169" s="121">
        <v>0</v>
      </c>
      <c r="N169" s="121">
        <v>0</v>
      </c>
    </row>
    <row r="170" spans="1:14" hidden="1" x14ac:dyDescent="0.25">
      <c r="A170" s="120" t="s">
        <v>3591</v>
      </c>
      <c r="B170" s="120" t="s">
        <v>3592</v>
      </c>
      <c r="C170" s="120" t="s">
        <v>301</v>
      </c>
      <c r="D170" s="120" t="s">
        <v>3608</v>
      </c>
      <c r="E170" s="120" t="s">
        <v>399</v>
      </c>
      <c r="F170" s="120" t="s">
        <v>18</v>
      </c>
      <c r="G170" s="120">
        <v>0</v>
      </c>
      <c r="H170">
        <v>0</v>
      </c>
      <c r="I170" s="120" t="s">
        <v>57</v>
      </c>
      <c r="J170">
        <v>0</v>
      </c>
      <c r="K170">
        <v>1</v>
      </c>
      <c r="L170" s="121">
        <v>0</v>
      </c>
      <c r="M170" s="121">
        <v>0</v>
      </c>
      <c r="N170" s="121">
        <v>0</v>
      </c>
    </row>
    <row r="171" spans="1:14" x14ac:dyDescent="0.25">
      <c r="A171" s="120" t="s">
        <v>3758</v>
      </c>
      <c r="B171" s="120" t="s">
        <v>3759</v>
      </c>
      <c r="C171" s="120" t="s">
        <v>301</v>
      </c>
      <c r="D171" s="120" t="s">
        <v>563</v>
      </c>
      <c r="E171" s="120" t="s">
        <v>388</v>
      </c>
      <c r="F171" s="120" t="s">
        <v>14</v>
      </c>
      <c r="G171" s="120">
        <v>7</v>
      </c>
      <c r="H171">
        <v>10</v>
      </c>
      <c r="I171" s="120" t="s">
        <v>11</v>
      </c>
      <c r="J171">
        <v>-3</v>
      </c>
      <c r="K171">
        <v>0</v>
      </c>
      <c r="L171">
        <v>19</v>
      </c>
      <c r="M171">
        <v>133</v>
      </c>
      <c r="N171">
        <v>190</v>
      </c>
    </row>
    <row r="172" spans="1:14" hidden="1" x14ac:dyDescent="0.25">
      <c r="A172" s="120" t="s">
        <v>3463</v>
      </c>
      <c r="B172" s="120" t="s">
        <v>3871</v>
      </c>
      <c r="C172" s="120" t="s">
        <v>301</v>
      </c>
      <c r="D172" s="120" t="s">
        <v>3484</v>
      </c>
      <c r="E172" s="120" t="s">
        <v>65</v>
      </c>
      <c r="F172" s="120" t="s">
        <v>14</v>
      </c>
      <c r="G172" s="120">
        <v>3</v>
      </c>
      <c r="H172">
        <v>0</v>
      </c>
      <c r="I172" s="120" t="s">
        <v>11</v>
      </c>
      <c r="J172">
        <v>3</v>
      </c>
      <c r="K172">
        <v>0</v>
      </c>
      <c r="L172">
        <v>0</v>
      </c>
      <c r="M172">
        <v>0</v>
      </c>
      <c r="N172">
        <v>0</v>
      </c>
    </row>
    <row r="173" spans="1:14" hidden="1" x14ac:dyDescent="0.25">
      <c r="A173" s="120" t="s">
        <v>3463</v>
      </c>
      <c r="B173" s="120" t="s">
        <v>3464</v>
      </c>
      <c r="C173" s="120" t="s">
        <v>301</v>
      </c>
      <c r="D173" s="120" t="s">
        <v>3484</v>
      </c>
      <c r="E173" s="120" t="s">
        <v>65</v>
      </c>
      <c r="F173" s="120" t="s">
        <v>14</v>
      </c>
      <c r="G173" s="120">
        <v>153</v>
      </c>
      <c r="H173">
        <v>0</v>
      </c>
      <c r="I173" s="120" t="s">
        <v>11</v>
      </c>
      <c r="J173">
        <v>153</v>
      </c>
      <c r="K173">
        <v>0</v>
      </c>
      <c r="L173">
        <v>0</v>
      </c>
      <c r="M173">
        <v>0</v>
      </c>
      <c r="N173">
        <v>0</v>
      </c>
    </row>
    <row r="174" spans="1:14" hidden="1" x14ac:dyDescent="0.25">
      <c r="A174" s="120" t="s">
        <v>3591</v>
      </c>
      <c r="B174" s="120" t="s">
        <v>3592</v>
      </c>
      <c r="C174" s="120" t="s">
        <v>301</v>
      </c>
      <c r="D174" s="120" t="s">
        <v>720</v>
      </c>
      <c r="E174" s="120" t="s">
        <v>432</v>
      </c>
      <c r="F174" s="120" t="s">
        <v>18</v>
      </c>
      <c r="G174" s="120">
        <v>3</v>
      </c>
      <c r="H174">
        <v>3</v>
      </c>
      <c r="I174" s="120" t="s">
        <v>57</v>
      </c>
      <c r="J174">
        <v>0</v>
      </c>
      <c r="K174">
        <v>1</v>
      </c>
      <c r="L174" s="121">
        <v>90</v>
      </c>
      <c r="M174" s="121">
        <v>270</v>
      </c>
      <c r="N174" s="121">
        <v>270</v>
      </c>
    </row>
    <row r="175" spans="1:14" hidden="1" x14ac:dyDescent="0.25">
      <c r="A175" s="120" t="s">
        <v>3463</v>
      </c>
      <c r="B175" s="120" t="s">
        <v>3510</v>
      </c>
      <c r="C175" s="120" t="s">
        <v>301</v>
      </c>
      <c r="D175" s="120" t="s">
        <v>3484</v>
      </c>
      <c r="E175" s="120" t="s">
        <v>65</v>
      </c>
      <c r="F175" s="120" t="s">
        <v>14</v>
      </c>
      <c r="G175" s="120">
        <v>7</v>
      </c>
      <c r="H175">
        <v>0</v>
      </c>
      <c r="I175" s="120" t="s">
        <v>11</v>
      </c>
      <c r="J175">
        <v>7</v>
      </c>
      <c r="K175">
        <v>0</v>
      </c>
      <c r="L175">
        <v>0</v>
      </c>
      <c r="M175">
        <v>0</v>
      </c>
      <c r="N175">
        <v>0</v>
      </c>
    </row>
    <row r="176" spans="1:14" hidden="1" x14ac:dyDescent="0.25">
      <c r="A176" s="120" t="s">
        <v>3591</v>
      </c>
      <c r="B176" s="120" t="s">
        <v>3592</v>
      </c>
      <c r="C176" s="120" t="s">
        <v>301</v>
      </c>
      <c r="D176" s="120" t="s">
        <v>3631</v>
      </c>
      <c r="E176" s="120" t="s">
        <v>433</v>
      </c>
      <c r="F176" s="120" t="s">
        <v>18</v>
      </c>
      <c r="G176" s="120">
        <v>0</v>
      </c>
      <c r="H176">
        <v>0</v>
      </c>
      <c r="I176" s="120" t="s">
        <v>57</v>
      </c>
      <c r="J176">
        <v>0</v>
      </c>
      <c r="K176">
        <v>1</v>
      </c>
      <c r="L176" s="121">
        <v>0</v>
      </c>
      <c r="M176" s="121">
        <v>0</v>
      </c>
      <c r="N176" s="121">
        <v>0</v>
      </c>
    </row>
    <row r="177" spans="1:14" hidden="1" x14ac:dyDescent="0.25">
      <c r="A177" s="120" t="s">
        <v>3463</v>
      </c>
      <c r="B177" s="120" t="s">
        <v>3528</v>
      </c>
      <c r="C177" s="120" t="s">
        <v>301</v>
      </c>
      <c r="D177" s="120" t="s">
        <v>3484</v>
      </c>
      <c r="E177" s="120" t="s">
        <v>65</v>
      </c>
      <c r="F177" s="120" t="s">
        <v>14</v>
      </c>
      <c r="G177" s="120">
        <v>3</v>
      </c>
      <c r="H177">
        <v>0</v>
      </c>
      <c r="I177" s="120" t="s">
        <v>11</v>
      </c>
      <c r="J177">
        <v>3</v>
      </c>
      <c r="K177">
        <v>0</v>
      </c>
      <c r="L177">
        <v>0</v>
      </c>
      <c r="M177">
        <v>0</v>
      </c>
      <c r="N177">
        <v>0</v>
      </c>
    </row>
    <row r="178" spans="1:14" hidden="1" x14ac:dyDescent="0.25">
      <c r="A178" s="120" t="s">
        <v>3463</v>
      </c>
      <c r="B178" s="120" t="s">
        <v>3588</v>
      </c>
      <c r="C178" s="120" t="s">
        <v>301</v>
      </c>
      <c r="D178" s="120" t="s">
        <v>3484</v>
      </c>
      <c r="E178" s="120" t="s">
        <v>309</v>
      </c>
      <c r="F178" s="120" t="s">
        <v>18</v>
      </c>
      <c r="G178" s="120">
        <v>14</v>
      </c>
      <c r="H178">
        <v>0</v>
      </c>
      <c r="I178" s="120" t="s">
        <v>11</v>
      </c>
      <c r="J178">
        <v>14</v>
      </c>
      <c r="K178">
        <v>0</v>
      </c>
      <c r="L178">
        <v>0</v>
      </c>
      <c r="M178">
        <v>0</v>
      </c>
      <c r="N178">
        <v>0</v>
      </c>
    </row>
    <row r="179" spans="1:14" hidden="1" x14ac:dyDescent="0.25">
      <c r="A179" s="120" t="s">
        <v>3591</v>
      </c>
      <c r="B179" s="120" t="s">
        <v>3698</v>
      </c>
      <c r="C179" s="120" t="s">
        <v>301</v>
      </c>
      <c r="D179" s="120" t="s">
        <v>3484</v>
      </c>
      <c r="E179" s="120" t="s">
        <v>65</v>
      </c>
      <c r="F179" s="120" t="s">
        <v>14</v>
      </c>
      <c r="G179" s="120">
        <v>1</v>
      </c>
      <c r="H179">
        <v>0</v>
      </c>
      <c r="I179" s="120" t="s">
        <v>57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4" hidden="1" x14ac:dyDescent="0.25">
      <c r="A180" s="120" t="s">
        <v>3463</v>
      </c>
      <c r="B180" s="120" t="s">
        <v>3464</v>
      </c>
      <c r="C180" s="120" t="s">
        <v>301</v>
      </c>
      <c r="D180" s="120" t="s">
        <v>3469</v>
      </c>
      <c r="E180" s="120" t="s">
        <v>25</v>
      </c>
      <c r="F180" s="120" t="s">
        <v>10</v>
      </c>
      <c r="G180" s="120">
        <v>9</v>
      </c>
      <c r="H180">
        <v>0</v>
      </c>
      <c r="I180" s="120" t="s">
        <v>11</v>
      </c>
      <c r="J180">
        <v>9</v>
      </c>
      <c r="K180">
        <v>0</v>
      </c>
      <c r="L180">
        <v>0</v>
      </c>
      <c r="M180">
        <v>0</v>
      </c>
      <c r="N180">
        <v>0</v>
      </c>
    </row>
    <row r="181" spans="1:14" hidden="1" x14ac:dyDescent="0.25">
      <c r="A181" s="120" t="s">
        <v>3591</v>
      </c>
      <c r="B181" s="120" t="s">
        <v>3592</v>
      </c>
      <c r="C181" s="120" t="s">
        <v>301</v>
      </c>
      <c r="D181" s="120" t="s">
        <v>3472</v>
      </c>
      <c r="E181" s="120" t="s">
        <v>32</v>
      </c>
      <c r="F181" s="120" t="s">
        <v>10</v>
      </c>
      <c r="G181" s="120">
        <v>0</v>
      </c>
      <c r="H181">
        <v>0</v>
      </c>
      <c r="I181" s="120" t="s">
        <v>11</v>
      </c>
      <c r="J181">
        <v>0</v>
      </c>
      <c r="K181">
        <v>1</v>
      </c>
      <c r="L181" s="121">
        <v>0</v>
      </c>
      <c r="M181" s="121">
        <v>0</v>
      </c>
      <c r="N181" s="121">
        <v>0</v>
      </c>
    </row>
    <row r="182" spans="1:14" hidden="1" x14ac:dyDescent="0.25">
      <c r="A182" s="120" t="s">
        <v>3463</v>
      </c>
      <c r="B182" s="120" t="s">
        <v>3816</v>
      </c>
      <c r="C182" s="120" t="s">
        <v>301</v>
      </c>
      <c r="D182" s="120" t="s">
        <v>3469</v>
      </c>
      <c r="E182" s="120" t="s">
        <v>25</v>
      </c>
      <c r="F182" s="120" t="s">
        <v>10</v>
      </c>
      <c r="G182" s="120">
        <v>9</v>
      </c>
      <c r="H182">
        <v>0</v>
      </c>
      <c r="I182" s="120" t="s">
        <v>11</v>
      </c>
      <c r="J182">
        <v>9</v>
      </c>
      <c r="K182">
        <v>0</v>
      </c>
      <c r="L182">
        <v>0</v>
      </c>
      <c r="M182">
        <v>0</v>
      </c>
      <c r="N182">
        <v>0</v>
      </c>
    </row>
    <row r="183" spans="1:14" hidden="1" x14ac:dyDescent="0.25">
      <c r="A183" s="120" t="s">
        <v>3463</v>
      </c>
      <c r="B183" s="120" t="s">
        <v>3510</v>
      </c>
      <c r="C183" s="120" t="s">
        <v>301</v>
      </c>
      <c r="D183" s="120" t="s">
        <v>3469</v>
      </c>
      <c r="E183" s="120" t="s">
        <v>140</v>
      </c>
      <c r="F183" s="120" t="s">
        <v>10</v>
      </c>
      <c r="G183" s="120">
        <v>2</v>
      </c>
      <c r="H183">
        <v>0</v>
      </c>
      <c r="I183" s="120" t="s">
        <v>11</v>
      </c>
      <c r="J183">
        <v>2</v>
      </c>
      <c r="K183">
        <v>0</v>
      </c>
      <c r="L183">
        <v>0</v>
      </c>
      <c r="M183">
        <v>0</v>
      </c>
      <c r="N183">
        <v>0</v>
      </c>
    </row>
    <row r="184" spans="1:14" hidden="1" x14ac:dyDescent="0.25">
      <c r="A184" s="120" t="s">
        <v>3463</v>
      </c>
      <c r="B184" s="120" t="s">
        <v>3528</v>
      </c>
      <c r="C184" s="120" t="s">
        <v>301</v>
      </c>
      <c r="D184" s="120" t="s">
        <v>3469</v>
      </c>
      <c r="E184" s="120" t="s">
        <v>200</v>
      </c>
      <c r="F184" s="120" t="s">
        <v>10</v>
      </c>
      <c r="G184" s="120">
        <v>2</v>
      </c>
      <c r="H184">
        <v>0</v>
      </c>
      <c r="I184" s="120" t="s">
        <v>47</v>
      </c>
      <c r="J184">
        <v>2</v>
      </c>
      <c r="K184">
        <v>0</v>
      </c>
      <c r="L184">
        <v>0</v>
      </c>
      <c r="M184">
        <v>0</v>
      </c>
      <c r="N184">
        <v>0</v>
      </c>
    </row>
    <row r="185" spans="1:14" hidden="1" x14ac:dyDescent="0.25">
      <c r="A185" s="120" t="s">
        <v>3591</v>
      </c>
      <c r="B185" s="120" t="s">
        <v>3592</v>
      </c>
      <c r="C185" s="120" t="s">
        <v>301</v>
      </c>
      <c r="D185" s="120" t="s">
        <v>3469</v>
      </c>
      <c r="E185" s="120" t="s">
        <v>140</v>
      </c>
      <c r="F185" s="120" t="s">
        <v>10</v>
      </c>
      <c r="G185" s="120">
        <v>50</v>
      </c>
      <c r="H185">
        <v>0</v>
      </c>
      <c r="I185" s="120" t="s">
        <v>11</v>
      </c>
      <c r="J185">
        <v>50</v>
      </c>
      <c r="K185">
        <v>0</v>
      </c>
      <c r="L185" s="121">
        <v>0</v>
      </c>
      <c r="M185" s="121">
        <v>0</v>
      </c>
      <c r="N185" s="121">
        <v>0</v>
      </c>
    </row>
    <row r="186" spans="1:14" hidden="1" x14ac:dyDescent="0.25">
      <c r="A186" s="120" t="s">
        <v>3591</v>
      </c>
      <c r="B186" s="120" t="s">
        <v>3693</v>
      </c>
      <c r="C186" s="120" t="s">
        <v>301</v>
      </c>
      <c r="D186" s="120" t="s">
        <v>3469</v>
      </c>
      <c r="E186" s="120" t="s">
        <v>140</v>
      </c>
      <c r="F186" s="120" t="s">
        <v>10</v>
      </c>
      <c r="G186" s="120">
        <v>1</v>
      </c>
      <c r="H186">
        <v>0</v>
      </c>
      <c r="I186" s="120" t="s">
        <v>11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4" hidden="1" x14ac:dyDescent="0.25">
      <c r="A187" s="120" t="s">
        <v>3591</v>
      </c>
      <c r="B187" s="120" t="s">
        <v>3709</v>
      </c>
      <c r="C187" s="120" t="s">
        <v>301</v>
      </c>
      <c r="D187" s="120" t="s">
        <v>3469</v>
      </c>
      <c r="E187" s="120" t="s">
        <v>140</v>
      </c>
      <c r="F187" s="120" t="s">
        <v>10</v>
      </c>
      <c r="G187" s="120">
        <v>5</v>
      </c>
      <c r="H187">
        <v>0</v>
      </c>
      <c r="I187" s="120" t="s">
        <v>11</v>
      </c>
      <c r="J187">
        <v>5</v>
      </c>
      <c r="K187">
        <v>0</v>
      </c>
      <c r="L187">
        <v>0</v>
      </c>
      <c r="M187">
        <v>0</v>
      </c>
      <c r="N187">
        <v>0</v>
      </c>
    </row>
    <row r="188" spans="1:14" hidden="1" x14ac:dyDescent="0.25">
      <c r="A188" s="120" t="s">
        <v>3591</v>
      </c>
      <c r="B188" s="120" t="s">
        <v>3701</v>
      </c>
      <c r="C188" s="120" t="s">
        <v>301</v>
      </c>
      <c r="D188" s="120" t="s">
        <v>3469</v>
      </c>
      <c r="E188" s="120" t="s">
        <v>140</v>
      </c>
      <c r="F188" s="120" t="s">
        <v>10</v>
      </c>
      <c r="G188" s="120">
        <v>3</v>
      </c>
      <c r="H188">
        <v>0</v>
      </c>
      <c r="I188" s="120" t="s">
        <v>11</v>
      </c>
      <c r="J188">
        <v>3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 s="120" t="s">
        <v>3758</v>
      </c>
      <c r="B189" s="120" t="s">
        <v>3759</v>
      </c>
      <c r="C189" s="120" t="s">
        <v>301</v>
      </c>
      <c r="D189" s="120" t="s">
        <v>3469</v>
      </c>
      <c r="E189" s="120" t="s">
        <v>140</v>
      </c>
      <c r="F189" s="120" t="s">
        <v>10</v>
      </c>
      <c r="G189" s="120">
        <v>35</v>
      </c>
      <c r="H189">
        <v>0</v>
      </c>
      <c r="I189" s="120" t="s">
        <v>11</v>
      </c>
      <c r="J189">
        <v>35</v>
      </c>
      <c r="K189">
        <v>0</v>
      </c>
      <c r="L189">
        <v>0</v>
      </c>
      <c r="M189">
        <v>0</v>
      </c>
      <c r="N189">
        <v>0</v>
      </c>
    </row>
    <row r="190" spans="1:14" hidden="1" x14ac:dyDescent="0.25">
      <c r="A190" s="120" t="s">
        <v>3463</v>
      </c>
      <c r="B190" s="120" t="s">
        <v>3464</v>
      </c>
      <c r="C190" s="120" t="s">
        <v>301</v>
      </c>
      <c r="D190" s="120" t="s">
        <v>3470</v>
      </c>
      <c r="E190" s="120" t="s">
        <v>26</v>
      </c>
      <c r="F190" s="120" t="s">
        <v>18</v>
      </c>
      <c r="G190" s="120">
        <v>116</v>
      </c>
      <c r="H190">
        <v>0</v>
      </c>
      <c r="I190" s="120" t="s">
        <v>11</v>
      </c>
      <c r="J190">
        <v>116</v>
      </c>
      <c r="K190">
        <v>0</v>
      </c>
      <c r="L190">
        <v>0</v>
      </c>
      <c r="M190">
        <v>0</v>
      </c>
      <c r="N190">
        <v>0</v>
      </c>
    </row>
    <row r="191" spans="1:14" hidden="1" x14ac:dyDescent="0.25">
      <c r="A191" s="120" t="s">
        <v>3463</v>
      </c>
      <c r="B191" s="120" t="s">
        <v>3871</v>
      </c>
      <c r="C191" s="120" t="s">
        <v>301</v>
      </c>
      <c r="D191" s="120" t="s">
        <v>3470</v>
      </c>
      <c r="E191" s="120" t="s">
        <v>26</v>
      </c>
      <c r="F191" s="120" t="s">
        <v>18</v>
      </c>
      <c r="G191" s="120">
        <v>10</v>
      </c>
      <c r="H191">
        <v>0</v>
      </c>
      <c r="I191" s="120" t="s">
        <v>11</v>
      </c>
      <c r="J191">
        <v>10</v>
      </c>
      <c r="K191">
        <v>0</v>
      </c>
      <c r="L191">
        <v>0</v>
      </c>
      <c r="M191">
        <v>0</v>
      </c>
      <c r="N191">
        <v>0</v>
      </c>
    </row>
    <row r="192" spans="1:14" hidden="1" x14ac:dyDescent="0.25">
      <c r="A192" s="120" t="s">
        <v>3463</v>
      </c>
      <c r="B192" s="120" t="s">
        <v>3816</v>
      </c>
      <c r="C192" s="120" t="s">
        <v>301</v>
      </c>
      <c r="D192" s="120" t="s">
        <v>3470</v>
      </c>
      <c r="E192" s="120" t="s">
        <v>26</v>
      </c>
      <c r="F192" s="120" t="s">
        <v>18</v>
      </c>
      <c r="G192" s="120">
        <v>116</v>
      </c>
      <c r="H192">
        <v>0</v>
      </c>
      <c r="I192" s="120" t="s">
        <v>11</v>
      </c>
      <c r="J192">
        <v>116</v>
      </c>
      <c r="K192">
        <v>0</v>
      </c>
      <c r="L192">
        <v>0</v>
      </c>
      <c r="M192">
        <v>0</v>
      </c>
      <c r="N192">
        <v>0</v>
      </c>
    </row>
    <row r="193" spans="1:14" hidden="1" x14ac:dyDescent="0.25">
      <c r="A193" s="120" t="s">
        <v>3463</v>
      </c>
      <c r="B193" s="120" t="s">
        <v>3510</v>
      </c>
      <c r="C193" s="120" t="s">
        <v>301</v>
      </c>
      <c r="D193" s="120" t="s">
        <v>3470</v>
      </c>
      <c r="E193" s="120" t="s">
        <v>139</v>
      </c>
      <c r="F193" s="120" t="s">
        <v>18</v>
      </c>
      <c r="G193" s="120">
        <v>13</v>
      </c>
      <c r="H193">
        <v>0</v>
      </c>
      <c r="I193" s="120" t="s">
        <v>11</v>
      </c>
      <c r="J193">
        <v>13</v>
      </c>
      <c r="K193">
        <v>0</v>
      </c>
      <c r="L193">
        <v>0</v>
      </c>
      <c r="M193">
        <v>0</v>
      </c>
      <c r="N193">
        <v>0</v>
      </c>
    </row>
    <row r="194" spans="1:14" hidden="1" x14ac:dyDescent="0.25">
      <c r="A194" s="120" t="s">
        <v>3463</v>
      </c>
      <c r="B194" s="120" t="s">
        <v>3528</v>
      </c>
      <c r="C194" s="120" t="s">
        <v>301</v>
      </c>
      <c r="D194" s="120" t="s">
        <v>3470</v>
      </c>
      <c r="E194" s="120" t="s">
        <v>199</v>
      </c>
      <c r="F194" s="120" t="s">
        <v>18</v>
      </c>
      <c r="G194" s="120">
        <v>20</v>
      </c>
      <c r="H194">
        <v>0</v>
      </c>
      <c r="I194" s="120" t="s">
        <v>47</v>
      </c>
      <c r="J194">
        <v>20</v>
      </c>
      <c r="K194">
        <v>0</v>
      </c>
      <c r="L194">
        <v>0</v>
      </c>
      <c r="M194">
        <v>0</v>
      </c>
      <c r="N194">
        <v>0</v>
      </c>
    </row>
    <row r="195" spans="1:14" hidden="1" x14ac:dyDescent="0.25">
      <c r="A195" s="120" t="s">
        <v>3591</v>
      </c>
      <c r="B195" s="120" t="s">
        <v>3592</v>
      </c>
      <c r="C195" s="120" t="s">
        <v>301</v>
      </c>
      <c r="D195" s="120" t="s">
        <v>3470</v>
      </c>
      <c r="E195" s="120" t="s">
        <v>26</v>
      </c>
      <c r="F195" s="120" t="s">
        <v>18</v>
      </c>
      <c r="G195" s="120">
        <v>65</v>
      </c>
      <c r="H195">
        <v>0</v>
      </c>
      <c r="I195" s="120" t="s">
        <v>11</v>
      </c>
      <c r="J195">
        <v>65</v>
      </c>
      <c r="K195">
        <v>0</v>
      </c>
      <c r="L195" s="121">
        <v>0</v>
      </c>
      <c r="M195" s="121">
        <v>0</v>
      </c>
      <c r="N195" s="121">
        <v>0</v>
      </c>
    </row>
    <row r="196" spans="1:14" hidden="1" x14ac:dyDescent="0.25">
      <c r="A196" s="120" t="s">
        <v>3591</v>
      </c>
      <c r="B196" s="120" t="s">
        <v>3693</v>
      </c>
      <c r="C196" s="120" t="s">
        <v>301</v>
      </c>
      <c r="D196" s="120" t="s">
        <v>3470</v>
      </c>
      <c r="E196" s="120" t="s">
        <v>139</v>
      </c>
      <c r="F196" s="120" t="s">
        <v>18</v>
      </c>
      <c r="G196" s="120">
        <v>1</v>
      </c>
      <c r="H196">
        <v>0</v>
      </c>
      <c r="I196" s="120" t="s">
        <v>11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 hidden="1" x14ac:dyDescent="0.25">
      <c r="A197" s="120" t="s">
        <v>3591</v>
      </c>
      <c r="B197" s="120" t="s">
        <v>3701</v>
      </c>
      <c r="C197" s="120" t="s">
        <v>301</v>
      </c>
      <c r="D197" s="120" t="s">
        <v>3470</v>
      </c>
      <c r="E197" s="120" t="s">
        <v>139</v>
      </c>
      <c r="F197" s="120" t="s">
        <v>18</v>
      </c>
      <c r="G197" s="120">
        <v>1</v>
      </c>
      <c r="H197">
        <v>0</v>
      </c>
      <c r="I197" s="120" t="s">
        <v>11</v>
      </c>
      <c r="J197">
        <v>1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 s="120" t="s">
        <v>3758</v>
      </c>
      <c r="B198" s="120" t="s">
        <v>3759</v>
      </c>
      <c r="C198" s="120" t="s">
        <v>301</v>
      </c>
      <c r="D198" s="120" t="s">
        <v>3470</v>
      </c>
      <c r="E198" s="120" t="s">
        <v>139</v>
      </c>
      <c r="F198" s="120" t="s">
        <v>18</v>
      </c>
      <c r="G198" s="120">
        <v>19</v>
      </c>
      <c r="H198">
        <v>0</v>
      </c>
      <c r="I198" s="120" t="s">
        <v>11</v>
      </c>
      <c r="J198">
        <v>19</v>
      </c>
      <c r="K198">
        <v>0</v>
      </c>
      <c r="L198">
        <v>0</v>
      </c>
      <c r="M198">
        <v>0</v>
      </c>
      <c r="N198">
        <v>0</v>
      </c>
    </row>
    <row r="199" spans="1:14" hidden="1" x14ac:dyDescent="0.25">
      <c r="A199" s="120" t="s">
        <v>3463</v>
      </c>
      <c r="B199" s="120" t="s">
        <v>3464</v>
      </c>
      <c r="C199" s="120" t="s">
        <v>301</v>
      </c>
      <c r="D199" s="120" t="s">
        <v>697</v>
      </c>
      <c r="E199" s="120" t="s">
        <v>27</v>
      </c>
      <c r="F199" s="120" t="s">
        <v>10</v>
      </c>
      <c r="G199" s="120">
        <v>59</v>
      </c>
      <c r="H199">
        <v>46</v>
      </c>
      <c r="I199" s="120" t="s">
        <v>11</v>
      </c>
      <c r="J199">
        <v>13</v>
      </c>
      <c r="K199">
        <v>0</v>
      </c>
      <c r="L199">
        <v>15</v>
      </c>
      <c r="M199">
        <v>885</v>
      </c>
      <c r="N199">
        <v>690</v>
      </c>
    </row>
    <row r="200" spans="1:14" hidden="1" x14ac:dyDescent="0.25">
      <c r="A200" s="120" t="s">
        <v>3463</v>
      </c>
      <c r="B200" s="120" t="s">
        <v>3816</v>
      </c>
      <c r="C200" s="120" t="s">
        <v>301</v>
      </c>
      <c r="D200" s="120" t="s">
        <v>697</v>
      </c>
      <c r="E200" s="120" t="s">
        <v>27</v>
      </c>
      <c r="F200" s="120" t="s">
        <v>10</v>
      </c>
      <c r="G200" s="120">
        <v>59</v>
      </c>
      <c r="H200">
        <v>12</v>
      </c>
      <c r="I200" s="120" t="s">
        <v>11</v>
      </c>
      <c r="J200">
        <v>47</v>
      </c>
      <c r="K200">
        <v>0</v>
      </c>
      <c r="L200">
        <v>15</v>
      </c>
      <c r="M200">
        <v>885</v>
      </c>
      <c r="N200">
        <v>180</v>
      </c>
    </row>
    <row r="201" spans="1:14" hidden="1" x14ac:dyDescent="0.25">
      <c r="A201" s="120" t="s">
        <v>3463</v>
      </c>
      <c r="B201" s="120" t="s">
        <v>3510</v>
      </c>
      <c r="C201" s="120" t="s">
        <v>301</v>
      </c>
      <c r="D201" s="120" t="s">
        <v>697</v>
      </c>
      <c r="E201" s="120" t="s">
        <v>27</v>
      </c>
      <c r="F201" s="120" t="s">
        <v>10</v>
      </c>
      <c r="G201" s="120">
        <v>3</v>
      </c>
      <c r="H201">
        <v>2</v>
      </c>
      <c r="I201" s="120" t="s">
        <v>11</v>
      </c>
      <c r="J201">
        <v>1</v>
      </c>
      <c r="K201">
        <v>0</v>
      </c>
      <c r="L201">
        <v>15</v>
      </c>
      <c r="M201">
        <v>45</v>
      </c>
      <c r="N201">
        <v>30</v>
      </c>
    </row>
    <row r="202" spans="1:14" hidden="1" x14ac:dyDescent="0.25">
      <c r="A202" s="120" t="s">
        <v>3463</v>
      </c>
      <c r="B202" s="120" t="s">
        <v>3818</v>
      </c>
      <c r="C202" s="120" t="s">
        <v>301</v>
      </c>
      <c r="D202" s="120" t="s">
        <v>697</v>
      </c>
      <c r="E202" s="120" t="s">
        <v>27</v>
      </c>
      <c r="F202" s="120" t="s">
        <v>10</v>
      </c>
      <c r="G202" s="120">
        <v>0</v>
      </c>
      <c r="H202">
        <v>4</v>
      </c>
      <c r="I202" s="120" t="s">
        <v>11</v>
      </c>
      <c r="J202">
        <v>-4</v>
      </c>
      <c r="K202">
        <v>0</v>
      </c>
      <c r="L202">
        <v>15</v>
      </c>
      <c r="M202">
        <v>0</v>
      </c>
      <c r="N202">
        <v>60</v>
      </c>
    </row>
    <row r="203" spans="1:14" hidden="1" x14ac:dyDescent="0.25">
      <c r="A203" s="120" t="s">
        <v>3591</v>
      </c>
      <c r="B203" s="120" t="s">
        <v>3592</v>
      </c>
      <c r="C203" s="120" t="s">
        <v>301</v>
      </c>
      <c r="D203" s="120" t="s">
        <v>3640</v>
      </c>
      <c r="E203" s="120" t="s">
        <v>445</v>
      </c>
      <c r="F203" s="120" t="s">
        <v>10</v>
      </c>
      <c r="G203" s="120">
        <v>0</v>
      </c>
      <c r="H203">
        <v>0</v>
      </c>
      <c r="I203" s="120" t="s">
        <v>47</v>
      </c>
      <c r="J203">
        <v>0</v>
      </c>
      <c r="K203">
        <v>1</v>
      </c>
      <c r="L203" s="121">
        <v>0</v>
      </c>
      <c r="M203" s="121">
        <v>0</v>
      </c>
      <c r="N203" s="121">
        <v>0</v>
      </c>
    </row>
    <row r="204" spans="1:14" hidden="1" x14ac:dyDescent="0.25">
      <c r="A204" s="120" t="s">
        <v>3591</v>
      </c>
      <c r="B204" s="120" t="s">
        <v>3592</v>
      </c>
      <c r="C204" s="120" t="s">
        <v>301</v>
      </c>
      <c r="D204" s="120" t="s">
        <v>1081</v>
      </c>
      <c r="E204" s="120" t="s">
        <v>450</v>
      </c>
      <c r="F204" s="120" t="s">
        <v>18</v>
      </c>
      <c r="G204" s="120">
        <v>1</v>
      </c>
      <c r="H204">
        <v>1</v>
      </c>
      <c r="I204" s="120" t="s">
        <v>57</v>
      </c>
      <c r="J204">
        <v>0</v>
      </c>
      <c r="K204">
        <v>1</v>
      </c>
      <c r="L204" s="121">
        <v>1085.22</v>
      </c>
      <c r="M204" s="121">
        <v>1085.22</v>
      </c>
      <c r="N204" s="121">
        <v>1085.22</v>
      </c>
    </row>
    <row r="205" spans="1:14" x14ac:dyDescent="0.25">
      <c r="A205" s="120" t="s">
        <v>3758</v>
      </c>
      <c r="B205" s="120" t="s">
        <v>3759</v>
      </c>
      <c r="C205" s="120" t="s">
        <v>301</v>
      </c>
      <c r="D205" s="120" t="s">
        <v>697</v>
      </c>
      <c r="E205" s="120" t="s">
        <v>27</v>
      </c>
      <c r="F205" s="120" t="s">
        <v>10</v>
      </c>
      <c r="G205" s="120">
        <v>68</v>
      </c>
      <c r="H205">
        <v>60</v>
      </c>
      <c r="I205" s="120" t="s">
        <v>11</v>
      </c>
      <c r="J205">
        <v>8</v>
      </c>
      <c r="K205">
        <v>0</v>
      </c>
      <c r="L205">
        <v>15</v>
      </c>
      <c r="M205">
        <v>1020</v>
      </c>
      <c r="N205">
        <v>900</v>
      </c>
    </row>
    <row r="206" spans="1:14" hidden="1" x14ac:dyDescent="0.25">
      <c r="A206" s="120" t="s">
        <v>3463</v>
      </c>
      <c r="B206" s="120" t="s">
        <v>3871</v>
      </c>
      <c r="C206" s="120" t="s">
        <v>301</v>
      </c>
      <c r="D206" s="120" t="s">
        <v>3475</v>
      </c>
      <c r="E206" s="120" t="s">
        <v>37</v>
      </c>
      <c r="F206" s="120" t="s">
        <v>14</v>
      </c>
      <c r="G206" s="120">
        <v>3</v>
      </c>
      <c r="H206">
        <v>0</v>
      </c>
      <c r="I206" s="120" t="s">
        <v>11</v>
      </c>
      <c r="J206">
        <v>3</v>
      </c>
      <c r="K206">
        <v>0</v>
      </c>
      <c r="L206">
        <v>0</v>
      </c>
      <c r="M206">
        <v>0</v>
      </c>
      <c r="N206">
        <v>0</v>
      </c>
    </row>
    <row r="207" spans="1:14" hidden="1" x14ac:dyDescent="0.25">
      <c r="A207" s="120" t="s">
        <v>3463</v>
      </c>
      <c r="B207" s="120" t="s">
        <v>3464</v>
      </c>
      <c r="C207" s="120" t="s">
        <v>301</v>
      </c>
      <c r="D207" s="120" t="s">
        <v>3475</v>
      </c>
      <c r="E207" s="120" t="s">
        <v>37</v>
      </c>
      <c r="F207" s="120" t="s">
        <v>14</v>
      </c>
      <c r="G207" s="120">
        <v>107</v>
      </c>
      <c r="H207">
        <v>0</v>
      </c>
      <c r="I207" s="120" t="s">
        <v>11</v>
      </c>
      <c r="J207">
        <v>107</v>
      </c>
      <c r="K207">
        <v>0</v>
      </c>
      <c r="L207">
        <v>0</v>
      </c>
      <c r="M207">
        <v>0</v>
      </c>
      <c r="N207">
        <v>0</v>
      </c>
    </row>
    <row r="208" spans="1:14" hidden="1" x14ac:dyDescent="0.25">
      <c r="A208" s="120" t="s">
        <v>3591</v>
      </c>
      <c r="B208" s="120" t="s">
        <v>3592</v>
      </c>
      <c r="C208" s="120" t="s">
        <v>301</v>
      </c>
      <c r="D208" s="120" t="s">
        <v>3645</v>
      </c>
      <c r="E208" s="120" t="s">
        <v>452</v>
      </c>
      <c r="F208" s="120" t="s">
        <v>18</v>
      </c>
      <c r="G208" s="120">
        <v>0</v>
      </c>
      <c r="H208">
        <v>0</v>
      </c>
      <c r="I208" s="120" t="s">
        <v>57</v>
      </c>
      <c r="J208">
        <v>0</v>
      </c>
      <c r="K208">
        <v>1</v>
      </c>
      <c r="L208" s="121">
        <v>0</v>
      </c>
      <c r="M208" s="121">
        <v>0</v>
      </c>
      <c r="N208" s="121">
        <v>0</v>
      </c>
    </row>
    <row r="209" spans="1:14" hidden="1" x14ac:dyDescent="0.25">
      <c r="A209" s="120" t="s">
        <v>3463</v>
      </c>
      <c r="B209" s="120" t="s">
        <v>3510</v>
      </c>
      <c r="C209" s="120" t="s">
        <v>301</v>
      </c>
      <c r="D209" s="120" t="s">
        <v>3475</v>
      </c>
      <c r="E209" s="120" t="s">
        <v>37</v>
      </c>
      <c r="F209" s="120" t="s">
        <v>14</v>
      </c>
      <c r="G209" s="120">
        <v>13</v>
      </c>
      <c r="H209">
        <v>0</v>
      </c>
      <c r="I209" s="120" t="s">
        <v>11</v>
      </c>
      <c r="J209">
        <v>13</v>
      </c>
      <c r="K209">
        <v>0</v>
      </c>
      <c r="L209">
        <v>0</v>
      </c>
      <c r="M209">
        <v>0</v>
      </c>
      <c r="N209">
        <v>0</v>
      </c>
    </row>
    <row r="210" spans="1:14" hidden="1" x14ac:dyDescent="0.25">
      <c r="A210" s="120" t="s">
        <v>3591</v>
      </c>
      <c r="B210" s="120" t="s">
        <v>3592</v>
      </c>
      <c r="C210" s="120" t="s">
        <v>301</v>
      </c>
      <c r="D210" s="120" t="s">
        <v>3658</v>
      </c>
      <c r="E210" s="120" t="s">
        <v>471</v>
      </c>
      <c r="F210" s="120" t="s">
        <v>18</v>
      </c>
      <c r="G210" s="120">
        <v>0</v>
      </c>
      <c r="H210">
        <v>0</v>
      </c>
      <c r="I210" s="120" t="s">
        <v>57</v>
      </c>
      <c r="J210">
        <v>0</v>
      </c>
      <c r="K210">
        <v>1</v>
      </c>
      <c r="L210" s="121">
        <v>0</v>
      </c>
      <c r="M210" s="121">
        <v>0</v>
      </c>
      <c r="N210" s="121">
        <v>0</v>
      </c>
    </row>
    <row r="211" spans="1:14" hidden="1" x14ac:dyDescent="0.25">
      <c r="A211" s="120" t="s">
        <v>3463</v>
      </c>
      <c r="B211" s="120" t="s">
        <v>3528</v>
      </c>
      <c r="C211" s="120" t="s">
        <v>301</v>
      </c>
      <c r="D211" s="120" t="s">
        <v>3475</v>
      </c>
      <c r="E211" s="120" t="s">
        <v>37</v>
      </c>
      <c r="F211" s="120" t="s">
        <v>18</v>
      </c>
      <c r="G211" s="120">
        <v>2</v>
      </c>
      <c r="H211">
        <v>0</v>
      </c>
      <c r="I211" s="120" t="s">
        <v>11</v>
      </c>
      <c r="J211">
        <v>2</v>
      </c>
      <c r="K211">
        <v>0</v>
      </c>
      <c r="L211">
        <v>0</v>
      </c>
      <c r="M211">
        <v>0</v>
      </c>
      <c r="N211">
        <v>0</v>
      </c>
    </row>
    <row r="212" spans="1:14" hidden="1" x14ac:dyDescent="0.25">
      <c r="A212" s="120" t="s">
        <v>3463</v>
      </c>
      <c r="B212" s="120" t="s">
        <v>3588</v>
      </c>
      <c r="C212" s="120" t="s">
        <v>301</v>
      </c>
      <c r="D212" s="120" t="s">
        <v>3475</v>
      </c>
      <c r="E212" s="120" t="s">
        <v>328</v>
      </c>
      <c r="F212" s="120" t="s">
        <v>18</v>
      </c>
      <c r="G212" s="120">
        <v>19</v>
      </c>
      <c r="H212">
        <v>0</v>
      </c>
      <c r="I212" s="120" t="s">
        <v>47</v>
      </c>
      <c r="J212">
        <v>19</v>
      </c>
      <c r="K212">
        <v>0</v>
      </c>
      <c r="L212">
        <v>0</v>
      </c>
      <c r="M212">
        <v>0</v>
      </c>
      <c r="N212">
        <v>0</v>
      </c>
    </row>
    <row r="213" spans="1:14" hidden="1" x14ac:dyDescent="0.25">
      <c r="A213" s="120" t="s">
        <v>3591</v>
      </c>
      <c r="B213" s="120" t="s">
        <v>3592</v>
      </c>
      <c r="C213" s="120" t="s">
        <v>301</v>
      </c>
      <c r="D213" s="120" t="s">
        <v>3475</v>
      </c>
      <c r="E213" s="120" t="s">
        <v>37</v>
      </c>
      <c r="F213" s="120" t="s">
        <v>18</v>
      </c>
      <c r="G213" s="120">
        <v>17</v>
      </c>
      <c r="H213">
        <v>0</v>
      </c>
      <c r="I213" s="120" t="s">
        <v>11</v>
      </c>
      <c r="J213">
        <v>17</v>
      </c>
      <c r="K213">
        <v>0</v>
      </c>
      <c r="L213" s="121">
        <v>0</v>
      </c>
      <c r="M213" s="121">
        <v>0</v>
      </c>
      <c r="N213" s="121">
        <v>0</v>
      </c>
    </row>
    <row r="214" spans="1:14" hidden="1" x14ac:dyDescent="0.25">
      <c r="A214" s="120" t="s">
        <v>3591</v>
      </c>
      <c r="B214" s="120" t="s">
        <v>3693</v>
      </c>
      <c r="C214" s="120" t="s">
        <v>301</v>
      </c>
      <c r="D214" s="120" t="s">
        <v>3475</v>
      </c>
      <c r="E214" s="120" t="s">
        <v>37</v>
      </c>
      <c r="F214" s="120" t="s">
        <v>14</v>
      </c>
      <c r="G214" s="120">
        <v>3</v>
      </c>
      <c r="H214">
        <v>0</v>
      </c>
      <c r="I214" s="120" t="s">
        <v>11</v>
      </c>
      <c r="J214">
        <v>3</v>
      </c>
      <c r="K214">
        <v>0</v>
      </c>
      <c r="L214">
        <v>0</v>
      </c>
      <c r="M214">
        <v>0</v>
      </c>
      <c r="N214">
        <v>0</v>
      </c>
    </row>
    <row r="215" spans="1:14" hidden="1" x14ac:dyDescent="0.25">
      <c r="A215" s="120" t="s">
        <v>3591</v>
      </c>
      <c r="B215" s="120" t="s">
        <v>3709</v>
      </c>
      <c r="C215" s="120" t="s">
        <v>301</v>
      </c>
      <c r="D215" s="120" t="s">
        <v>3475</v>
      </c>
      <c r="E215" s="120" t="s">
        <v>37</v>
      </c>
      <c r="F215" s="120" t="s">
        <v>10</v>
      </c>
      <c r="G215" s="120">
        <v>6</v>
      </c>
      <c r="H215">
        <v>0</v>
      </c>
      <c r="I215" s="120" t="s">
        <v>47</v>
      </c>
      <c r="J215">
        <v>6</v>
      </c>
      <c r="K215">
        <v>0</v>
      </c>
      <c r="L215">
        <v>0</v>
      </c>
      <c r="M215">
        <v>0</v>
      </c>
      <c r="N215">
        <v>0</v>
      </c>
    </row>
    <row r="216" spans="1:14" hidden="1" x14ac:dyDescent="0.25">
      <c r="A216" s="120" t="s">
        <v>3591</v>
      </c>
      <c r="B216" s="120" t="s">
        <v>3701</v>
      </c>
      <c r="C216" s="120" t="s">
        <v>301</v>
      </c>
      <c r="D216" s="120" t="s">
        <v>3475</v>
      </c>
      <c r="E216" s="120" t="s">
        <v>37</v>
      </c>
      <c r="F216" s="120" t="s">
        <v>14</v>
      </c>
      <c r="G216" s="120">
        <v>7</v>
      </c>
      <c r="H216">
        <v>0</v>
      </c>
      <c r="I216" s="120" t="s">
        <v>47</v>
      </c>
      <c r="J216">
        <v>7</v>
      </c>
      <c r="K216">
        <v>0</v>
      </c>
      <c r="L216">
        <v>0</v>
      </c>
      <c r="M216">
        <v>0</v>
      </c>
      <c r="N216">
        <v>0</v>
      </c>
    </row>
    <row r="217" spans="1:14" hidden="1" x14ac:dyDescent="0.25">
      <c r="A217" s="120" t="s">
        <v>3463</v>
      </c>
      <c r="B217" s="120" t="s">
        <v>3464</v>
      </c>
      <c r="C217" s="120" t="s">
        <v>301</v>
      </c>
      <c r="D217" s="120" t="s">
        <v>715</v>
      </c>
      <c r="E217" s="120" t="s">
        <v>29</v>
      </c>
      <c r="F217" s="120" t="s">
        <v>18</v>
      </c>
      <c r="G217" s="120">
        <v>0</v>
      </c>
      <c r="H217">
        <v>86</v>
      </c>
      <c r="I217" s="120" t="s">
        <v>11</v>
      </c>
      <c r="J217">
        <v>-86</v>
      </c>
      <c r="K217">
        <v>0</v>
      </c>
      <c r="L217">
        <v>78</v>
      </c>
      <c r="M217">
        <v>0</v>
      </c>
      <c r="N217">
        <v>6708</v>
      </c>
    </row>
    <row r="218" spans="1:14" hidden="1" x14ac:dyDescent="0.25">
      <c r="A218" s="120" t="s">
        <v>3463</v>
      </c>
      <c r="B218" s="120" t="s">
        <v>3464</v>
      </c>
      <c r="C218" s="120" t="s">
        <v>301</v>
      </c>
      <c r="D218" s="120" t="s">
        <v>3471</v>
      </c>
      <c r="E218" s="120" t="s">
        <v>30</v>
      </c>
      <c r="F218" s="120" t="s">
        <v>10</v>
      </c>
      <c r="G218" s="120">
        <v>54</v>
      </c>
      <c r="H218">
        <v>0</v>
      </c>
      <c r="I218" s="120" t="s">
        <v>11</v>
      </c>
      <c r="J218">
        <v>54</v>
      </c>
      <c r="K218">
        <v>0</v>
      </c>
      <c r="L218">
        <v>0</v>
      </c>
      <c r="M218">
        <v>0</v>
      </c>
      <c r="N218">
        <v>0</v>
      </c>
    </row>
    <row r="219" spans="1:14" hidden="1" x14ac:dyDescent="0.25">
      <c r="A219" s="120" t="s">
        <v>3591</v>
      </c>
      <c r="B219" s="120" t="s">
        <v>3592</v>
      </c>
      <c r="C219" s="120" t="s">
        <v>301</v>
      </c>
      <c r="D219" s="120" t="s">
        <v>3661</v>
      </c>
      <c r="E219" s="120" t="s">
        <v>475</v>
      </c>
      <c r="F219" s="120" t="s">
        <v>10</v>
      </c>
      <c r="G219" s="120">
        <v>0</v>
      </c>
      <c r="H219">
        <v>0</v>
      </c>
      <c r="I219" s="120" t="s">
        <v>57</v>
      </c>
      <c r="J219">
        <v>0</v>
      </c>
      <c r="K219">
        <v>1</v>
      </c>
      <c r="L219" s="121">
        <v>0</v>
      </c>
      <c r="M219" s="121">
        <v>0</v>
      </c>
      <c r="N219" s="121">
        <v>0</v>
      </c>
    </row>
    <row r="220" spans="1:14" hidden="1" x14ac:dyDescent="0.25">
      <c r="A220" s="120" t="s">
        <v>3591</v>
      </c>
      <c r="B220" s="120" t="s">
        <v>3592</v>
      </c>
      <c r="C220" s="120" t="s">
        <v>301</v>
      </c>
      <c r="D220" s="120" t="s">
        <v>3665</v>
      </c>
      <c r="E220" s="120" t="s">
        <v>479</v>
      </c>
      <c r="F220" s="120" t="s">
        <v>18</v>
      </c>
      <c r="G220" s="120">
        <v>0</v>
      </c>
      <c r="H220">
        <v>0</v>
      </c>
      <c r="I220" s="120" t="s">
        <v>57</v>
      </c>
      <c r="J220">
        <v>0</v>
      </c>
      <c r="K220">
        <v>1</v>
      </c>
      <c r="L220" s="121">
        <v>0</v>
      </c>
      <c r="M220" s="121">
        <v>0</v>
      </c>
      <c r="N220" s="121">
        <v>0</v>
      </c>
    </row>
    <row r="221" spans="1:14" hidden="1" x14ac:dyDescent="0.25">
      <c r="A221" s="120" t="s">
        <v>3463</v>
      </c>
      <c r="B221" s="120" t="s">
        <v>3528</v>
      </c>
      <c r="C221" s="120" t="s">
        <v>301</v>
      </c>
      <c r="D221" s="120" t="s">
        <v>3471</v>
      </c>
      <c r="E221" s="120" t="s">
        <v>30</v>
      </c>
      <c r="F221" s="120" t="s">
        <v>10</v>
      </c>
      <c r="G221" s="120">
        <v>1</v>
      </c>
      <c r="H221">
        <v>0</v>
      </c>
      <c r="I221" s="120" t="s">
        <v>11</v>
      </c>
      <c r="J221">
        <v>1</v>
      </c>
      <c r="K221">
        <v>0</v>
      </c>
      <c r="L221">
        <v>0</v>
      </c>
      <c r="M221">
        <v>0</v>
      </c>
      <c r="N221">
        <v>0</v>
      </c>
    </row>
    <row r="222" spans="1:14" hidden="1" x14ac:dyDescent="0.25">
      <c r="A222" s="120" t="s">
        <v>3463</v>
      </c>
      <c r="B222" s="120" t="s">
        <v>3588</v>
      </c>
      <c r="C222" s="120" t="s">
        <v>301</v>
      </c>
      <c r="D222" s="120" t="s">
        <v>3471</v>
      </c>
      <c r="E222" s="120" t="s">
        <v>323</v>
      </c>
      <c r="F222" s="120" t="s">
        <v>18</v>
      </c>
      <c r="G222" s="120">
        <v>22</v>
      </c>
      <c r="H222">
        <v>0</v>
      </c>
      <c r="I222" s="120" t="s">
        <v>47</v>
      </c>
      <c r="J222">
        <v>22</v>
      </c>
      <c r="K222">
        <v>0</v>
      </c>
      <c r="L222">
        <v>0</v>
      </c>
      <c r="M222">
        <v>0</v>
      </c>
      <c r="N222">
        <v>0</v>
      </c>
    </row>
    <row r="223" spans="1:14" hidden="1" x14ac:dyDescent="0.25">
      <c r="A223" s="120" t="s">
        <v>3463</v>
      </c>
      <c r="B223" s="120" t="s">
        <v>3464</v>
      </c>
      <c r="C223" s="120" t="s">
        <v>301</v>
      </c>
      <c r="D223" s="120" t="s">
        <v>721</v>
      </c>
      <c r="E223" s="120" t="s">
        <v>31</v>
      </c>
      <c r="F223" s="120" t="s">
        <v>18</v>
      </c>
      <c r="G223" s="120">
        <v>26</v>
      </c>
      <c r="H223">
        <v>55</v>
      </c>
      <c r="I223" s="120" t="s">
        <v>11</v>
      </c>
      <c r="J223">
        <v>-29</v>
      </c>
      <c r="K223">
        <v>0</v>
      </c>
      <c r="L223">
        <v>60</v>
      </c>
      <c r="M223">
        <v>1560</v>
      </c>
      <c r="N223">
        <v>3300</v>
      </c>
    </row>
    <row r="224" spans="1:14" hidden="1" x14ac:dyDescent="0.25">
      <c r="A224" s="120" t="s">
        <v>3463</v>
      </c>
      <c r="B224" s="120" t="s">
        <v>3816</v>
      </c>
      <c r="C224" s="120" t="s">
        <v>301</v>
      </c>
      <c r="D224" s="120" t="s">
        <v>721</v>
      </c>
      <c r="E224" s="120" t="s">
        <v>31</v>
      </c>
      <c r="F224" s="120" t="s">
        <v>18</v>
      </c>
      <c r="G224" s="120">
        <v>0</v>
      </c>
      <c r="H224">
        <v>6</v>
      </c>
      <c r="I224" s="120" t="s">
        <v>11</v>
      </c>
      <c r="J224">
        <v>-6</v>
      </c>
      <c r="K224">
        <v>0</v>
      </c>
      <c r="L224">
        <v>60</v>
      </c>
      <c r="M224">
        <v>0</v>
      </c>
      <c r="N224">
        <v>360</v>
      </c>
    </row>
    <row r="225" spans="1:14" hidden="1" x14ac:dyDescent="0.25">
      <c r="A225" s="120" t="s">
        <v>3463</v>
      </c>
      <c r="B225" s="120" t="s">
        <v>3818</v>
      </c>
      <c r="C225" s="120" t="s">
        <v>301</v>
      </c>
      <c r="D225" s="120" t="s">
        <v>721</v>
      </c>
      <c r="E225" s="120" t="s">
        <v>31</v>
      </c>
      <c r="F225" s="120" t="s">
        <v>18</v>
      </c>
      <c r="G225" s="120">
        <v>26</v>
      </c>
      <c r="H225">
        <v>3</v>
      </c>
      <c r="I225" s="120" t="s">
        <v>47</v>
      </c>
      <c r="J225">
        <v>23</v>
      </c>
      <c r="K225">
        <v>0</v>
      </c>
      <c r="L225">
        <v>60</v>
      </c>
      <c r="M225">
        <v>1560</v>
      </c>
      <c r="N225">
        <v>180</v>
      </c>
    </row>
    <row r="226" spans="1:14" hidden="1" x14ac:dyDescent="0.25">
      <c r="A226" s="120" t="s">
        <v>3463</v>
      </c>
      <c r="B226" s="120" t="s">
        <v>3528</v>
      </c>
      <c r="C226" s="120" t="s">
        <v>301</v>
      </c>
      <c r="D226" s="120" t="s">
        <v>721</v>
      </c>
      <c r="E226" s="120" t="s">
        <v>202</v>
      </c>
      <c r="F226" s="120" t="s">
        <v>18</v>
      </c>
      <c r="G226" s="120">
        <v>3</v>
      </c>
      <c r="H226">
        <v>6</v>
      </c>
      <c r="I226" s="120" t="s">
        <v>11</v>
      </c>
      <c r="J226">
        <v>-3</v>
      </c>
      <c r="K226">
        <v>0</v>
      </c>
      <c r="L226">
        <v>60</v>
      </c>
      <c r="M226">
        <v>180</v>
      </c>
      <c r="N226">
        <v>360</v>
      </c>
    </row>
    <row r="227" spans="1:14" hidden="1" x14ac:dyDescent="0.25">
      <c r="A227" s="120" t="s">
        <v>3463</v>
      </c>
      <c r="B227" s="120" t="s">
        <v>3588</v>
      </c>
      <c r="C227" s="120" t="s">
        <v>301</v>
      </c>
      <c r="D227" s="120" t="s">
        <v>721</v>
      </c>
      <c r="E227" s="120" t="s">
        <v>324</v>
      </c>
      <c r="F227" s="120" t="s">
        <v>18</v>
      </c>
      <c r="G227" s="120">
        <v>13</v>
      </c>
      <c r="H227">
        <v>17</v>
      </c>
      <c r="I227" s="120" t="s">
        <v>47</v>
      </c>
      <c r="J227">
        <v>-4</v>
      </c>
      <c r="K227">
        <v>0</v>
      </c>
      <c r="L227">
        <v>60</v>
      </c>
      <c r="M227">
        <v>780</v>
      </c>
      <c r="N227">
        <v>1020</v>
      </c>
    </row>
    <row r="228" spans="1:14" hidden="1" x14ac:dyDescent="0.25">
      <c r="A228" s="120" t="s">
        <v>3463</v>
      </c>
      <c r="B228" s="120" t="s">
        <v>3464</v>
      </c>
      <c r="C228" s="120" t="s">
        <v>301</v>
      </c>
      <c r="D228" s="120" t="s">
        <v>3472</v>
      </c>
      <c r="E228" s="120" t="s">
        <v>32</v>
      </c>
      <c r="F228" s="120" t="s">
        <v>10</v>
      </c>
      <c r="G228" s="120">
        <v>101</v>
      </c>
      <c r="H228">
        <v>0</v>
      </c>
      <c r="I228" s="120" t="s">
        <v>11</v>
      </c>
      <c r="J228">
        <v>101</v>
      </c>
      <c r="K228">
        <v>0</v>
      </c>
      <c r="L228">
        <v>0</v>
      </c>
      <c r="M228">
        <v>0</v>
      </c>
      <c r="N228">
        <v>0</v>
      </c>
    </row>
    <row r="229" spans="1:14" hidden="1" x14ac:dyDescent="0.25">
      <c r="A229" s="120" t="s">
        <v>3463</v>
      </c>
      <c r="B229" s="120" t="s">
        <v>3871</v>
      </c>
      <c r="C229" s="120" t="s">
        <v>301</v>
      </c>
      <c r="D229" s="120" t="s">
        <v>3472</v>
      </c>
      <c r="E229" s="120" t="s">
        <v>32</v>
      </c>
      <c r="F229" s="120" t="s">
        <v>10</v>
      </c>
      <c r="G229" s="120">
        <v>3</v>
      </c>
      <c r="H229">
        <v>0</v>
      </c>
      <c r="I229" s="120" t="s">
        <v>11</v>
      </c>
      <c r="J229">
        <v>3</v>
      </c>
      <c r="K229">
        <v>0</v>
      </c>
      <c r="L229">
        <v>0</v>
      </c>
      <c r="M229">
        <v>0</v>
      </c>
      <c r="N229">
        <v>0</v>
      </c>
    </row>
    <row r="230" spans="1:14" hidden="1" x14ac:dyDescent="0.25">
      <c r="A230" s="120" t="s">
        <v>3591</v>
      </c>
      <c r="B230" s="120" t="s">
        <v>3592</v>
      </c>
      <c r="C230" s="120" t="s">
        <v>301</v>
      </c>
      <c r="D230" s="120" t="s">
        <v>3666</v>
      </c>
      <c r="E230" s="120" t="s">
        <v>481</v>
      </c>
      <c r="F230" s="120" t="s">
        <v>10</v>
      </c>
      <c r="G230" s="120">
        <v>0</v>
      </c>
      <c r="H230">
        <v>0</v>
      </c>
      <c r="I230" s="120" t="s">
        <v>57</v>
      </c>
      <c r="J230">
        <v>0</v>
      </c>
      <c r="K230">
        <v>1</v>
      </c>
      <c r="L230" s="121">
        <v>0</v>
      </c>
      <c r="M230" s="121">
        <v>0</v>
      </c>
      <c r="N230" s="121">
        <v>0</v>
      </c>
    </row>
    <row r="231" spans="1:14" hidden="1" x14ac:dyDescent="0.25">
      <c r="A231" s="120" t="s">
        <v>3463</v>
      </c>
      <c r="B231" s="120" t="s">
        <v>3510</v>
      </c>
      <c r="C231" s="120" t="s">
        <v>301</v>
      </c>
      <c r="D231" s="120" t="s">
        <v>3472</v>
      </c>
      <c r="E231" s="120" t="s">
        <v>32</v>
      </c>
      <c r="F231" s="120" t="s">
        <v>10</v>
      </c>
      <c r="G231" s="120">
        <v>2</v>
      </c>
      <c r="H231">
        <v>0</v>
      </c>
      <c r="I231" s="120" t="s">
        <v>11</v>
      </c>
      <c r="J231">
        <v>2</v>
      </c>
      <c r="K231">
        <v>0</v>
      </c>
      <c r="L231">
        <v>0</v>
      </c>
      <c r="M231">
        <v>0</v>
      </c>
      <c r="N231">
        <v>0</v>
      </c>
    </row>
    <row r="232" spans="1:14" hidden="1" x14ac:dyDescent="0.25">
      <c r="A232" s="120" t="s">
        <v>3463</v>
      </c>
      <c r="B232" s="120" t="s">
        <v>3818</v>
      </c>
      <c r="C232" s="120" t="s">
        <v>301</v>
      </c>
      <c r="D232" s="120" t="s">
        <v>3472</v>
      </c>
      <c r="E232" s="120" t="s">
        <v>32</v>
      </c>
      <c r="F232" s="120" t="s">
        <v>10</v>
      </c>
      <c r="G232" s="120">
        <v>101</v>
      </c>
      <c r="H232">
        <v>0</v>
      </c>
      <c r="I232" s="120" t="s">
        <v>11</v>
      </c>
      <c r="J232">
        <v>101</v>
      </c>
      <c r="K232">
        <v>0</v>
      </c>
      <c r="L232">
        <v>0</v>
      </c>
      <c r="M232">
        <v>0</v>
      </c>
      <c r="N232">
        <v>0</v>
      </c>
    </row>
    <row r="233" spans="1:14" hidden="1" x14ac:dyDescent="0.25">
      <c r="A233" s="120" t="s">
        <v>3591</v>
      </c>
      <c r="B233" s="120" t="s">
        <v>3592</v>
      </c>
      <c r="C233" s="120" t="s">
        <v>301</v>
      </c>
      <c r="D233" s="120" t="s">
        <v>3667</v>
      </c>
      <c r="E233" s="120" t="s">
        <v>482</v>
      </c>
      <c r="F233" s="120" t="s">
        <v>18</v>
      </c>
      <c r="G233" s="120">
        <v>0</v>
      </c>
      <c r="H233">
        <v>0</v>
      </c>
      <c r="I233" s="120" t="s">
        <v>57</v>
      </c>
      <c r="J233">
        <v>0</v>
      </c>
      <c r="K233">
        <v>1</v>
      </c>
      <c r="L233" s="121">
        <v>0</v>
      </c>
      <c r="M233" s="121">
        <v>0</v>
      </c>
      <c r="N233" s="121">
        <v>0</v>
      </c>
    </row>
    <row r="234" spans="1:14" hidden="1" x14ac:dyDescent="0.25">
      <c r="A234" s="120" t="s">
        <v>3463</v>
      </c>
      <c r="B234" s="120" t="s">
        <v>3464</v>
      </c>
      <c r="C234" s="120" t="s">
        <v>301</v>
      </c>
      <c r="D234" s="120" t="s">
        <v>722</v>
      </c>
      <c r="E234" s="120" t="s">
        <v>33</v>
      </c>
      <c r="F234" s="120" t="s">
        <v>14</v>
      </c>
      <c r="G234" s="120">
        <v>47</v>
      </c>
      <c r="H234">
        <v>42</v>
      </c>
      <c r="I234" s="120" t="s">
        <v>11</v>
      </c>
      <c r="J234">
        <v>5</v>
      </c>
      <c r="K234">
        <v>0</v>
      </c>
      <c r="L234">
        <v>95</v>
      </c>
      <c r="M234">
        <v>4465</v>
      </c>
      <c r="N234">
        <v>3990</v>
      </c>
    </row>
    <row r="235" spans="1:14" hidden="1" x14ac:dyDescent="0.25">
      <c r="A235" s="120" t="s">
        <v>3463</v>
      </c>
      <c r="B235" s="120" t="s">
        <v>3816</v>
      </c>
      <c r="C235" s="120" t="s">
        <v>301</v>
      </c>
      <c r="D235" s="120" t="s">
        <v>722</v>
      </c>
      <c r="E235" s="120" t="s">
        <v>33</v>
      </c>
      <c r="F235" s="120" t="s">
        <v>14</v>
      </c>
      <c r="G235" s="120">
        <v>0</v>
      </c>
      <c r="H235">
        <v>6</v>
      </c>
      <c r="I235" s="120" t="s">
        <v>11</v>
      </c>
      <c r="J235">
        <v>-6</v>
      </c>
      <c r="K235">
        <v>0</v>
      </c>
      <c r="L235">
        <v>95</v>
      </c>
      <c r="M235">
        <v>0</v>
      </c>
      <c r="N235">
        <v>570</v>
      </c>
    </row>
    <row r="236" spans="1:14" hidden="1" x14ac:dyDescent="0.25">
      <c r="A236" s="120" t="s">
        <v>3463</v>
      </c>
      <c r="B236" s="120" t="s">
        <v>3818</v>
      </c>
      <c r="C236" s="120" t="s">
        <v>301</v>
      </c>
      <c r="D236" s="120" t="s">
        <v>722</v>
      </c>
      <c r="E236" s="120" t="s">
        <v>33</v>
      </c>
      <c r="F236" s="120" t="s">
        <v>14</v>
      </c>
      <c r="G236" s="120">
        <v>0</v>
      </c>
      <c r="H236">
        <v>6</v>
      </c>
      <c r="I236" s="120" t="s">
        <v>47</v>
      </c>
      <c r="J236">
        <v>-6</v>
      </c>
      <c r="K236">
        <v>0</v>
      </c>
      <c r="L236">
        <v>95</v>
      </c>
      <c r="M236">
        <v>0</v>
      </c>
      <c r="N236">
        <v>570</v>
      </c>
    </row>
    <row r="237" spans="1:14" hidden="1" x14ac:dyDescent="0.25">
      <c r="A237" s="120" t="s">
        <v>3463</v>
      </c>
      <c r="B237" s="120" t="s">
        <v>3528</v>
      </c>
      <c r="C237" s="120" t="s">
        <v>301</v>
      </c>
      <c r="D237" s="120" t="s">
        <v>722</v>
      </c>
      <c r="E237" s="120" t="s">
        <v>33</v>
      </c>
      <c r="F237" s="120" t="s">
        <v>14</v>
      </c>
      <c r="G237" s="120">
        <v>5</v>
      </c>
      <c r="H237">
        <v>8</v>
      </c>
      <c r="I237" s="120" t="s">
        <v>11</v>
      </c>
      <c r="J237">
        <v>-3</v>
      </c>
      <c r="K237">
        <v>0</v>
      </c>
      <c r="L237">
        <v>95</v>
      </c>
      <c r="M237">
        <v>475</v>
      </c>
      <c r="N237">
        <v>760</v>
      </c>
    </row>
    <row r="238" spans="1:14" hidden="1" x14ac:dyDescent="0.25">
      <c r="A238" s="120" t="s">
        <v>3463</v>
      </c>
      <c r="B238" s="120" t="s">
        <v>3588</v>
      </c>
      <c r="C238" s="120" t="s">
        <v>301</v>
      </c>
      <c r="D238" s="120" t="s">
        <v>722</v>
      </c>
      <c r="E238" s="120" t="s">
        <v>326</v>
      </c>
      <c r="F238" s="120" t="s">
        <v>18</v>
      </c>
      <c r="G238" s="120">
        <v>5</v>
      </c>
      <c r="H238">
        <v>10</v>
      </c>
      <c r="I238" s="120" t="s">
        <v>11</v>
      </c>
      <c r="J238">
        <v>-5</v>
      </c>
      <c r="K238">
        <v>0</v>
      </c>
      <c r="L238">
        <v>95</v>
      </c>
      <c r="M238">
        <v>475</v>
      </c>
      <c r="N238">
        <v>950</v>
      </c>
    </row>
    <row r="239" spans="1:14" hidden="1" x14ac:dyDescent="0.25">
      <c r="A239" s="120" t="s">
        <v>3463</v>
      </c>
      <c r="B239" s="120" t="s">
        <v>3464</v>
      </c>
      <c r="C239" s="120" t="s">
        <v>69</v>
      </c>
      <c r="D239" s="120" t="s">
        <v>593</v>
      </c>
      <c r="E239" s="120" t="s">
        <v>76</v>
      </c>
      <c r="F239" s="120" t="s">
        <v>71</v>
      </c>
      <c r="G239" s="120">
        <v>15</v>
      </c>
      <c r="H239">
        <v>4</v>
      </c>
      <c r="I239" s="120" t="s">
        <v>11</v>
      </c>
      <c r="J239">
        <v>11</v>
      </c>
      <c r="K239">
        <v>0</v>
      </c>
      <c r="L239">
        <v>54</v>
      </c>
      <c r="M239">
        <v>810</v>
      </c>
      <c r="N239">
        <v>216</v>
      </c>
    </row>
    <row r="240" spans="1:14" hidden="1" x14ac:dyDescent="0.25">
      <c r="A240" s="120" t="s">
        <v>3463</v>
      </c>
      <c r="B240" s="120" t="s">
        <v>3464</v>
      </c>
      <c r="C240" s="120" t="s">
        <v>301</v>
      </c>
      <c r="D240" s="120" t="s">
        <v>1077</v>
      </c>
      <c r="E240" s="120" t="s">
        <v>34</v>
      </c>
      <c r="F240" s="120" t="s">
        <v>18</v>
      </c>
      <c r="G240" s="120">
        <v>24</v>
      </c>
      <c r="H240">
        <v>21</v>
      </c>
      <c r="I240" s="120" t="s">
        <v>11</v>
      </c>
      <c r="J240">
        <v>3</v>
      </c>
      <c r="K240">
        <v>0</v>
      </c>
      <c r="L240">
        <v>189</v>
      </c>
      <c r="M240">
        <v>4536</v>
      </c>
      <c r="N240">
        <v>3969</v>
      </c>
    </row>
    <row r="241" spans="1:14" hidden="1" x14ac:dyDescent="0.25">
      <c r="A241" s="120" t="s">
        <v>3463</v>
      </c>
      <c r="B241" s="120" t="s">
        <v>3871</v>
      </c>
      <c r="C241" s="120" t="s">
        <v>301</v>
      </c>
      <c r="D241" s="120" t="s">
        <v>1077</v>
      </c>
      <c r="E241" s="120" t="s">
        <v>34</v>
      </c>
      <c r="F241" s="120" t="s">
        <v>18</v>
      </c>
      <c r="G241" s="120">
        <v>4</v>
      </c>
      <c r="H241">
        <v>7</v>
      </c>
      <c r="I241" s="120" t="s">
        <v>11</v>
      </c>
      <c r="J241">
        <v>-3</v>
      </c>
      <c r="K241">
        <v>0</v>
      </c>
      <c r="L241">
        <v>189</v>
      </c>
      <c r="M241">
        <v>756</v>
      </c>
      <c r="N241">
        <v>1323</v>
      </c>
    </row>
    <row r="242" spans="1:14" hidden="1" x14ac:dyDescent="0.25">
      <c r="A242" s="120" t="s">
        <v>3463</v>
      </c>
      <c r="B242" s="120" t="s">
        <v>3816</v>
      </c>
      <c r="C242" s="120" t="s">
        <v>301</v>
      </c>
      <c r="D242" s="120" t="s">
        <v>1077</v>
      </c>
      <c r="E242" s="120" t="s">
        <v>34</v>
      </c>
      <c r="F242" s="120" t="s">
        <v>18</v>
      </c>
      <c r="G242" s="120">
        <v>0</v>
      </c>
      <c r="H242">
        <v>3</v>
      </c>
      <c r="I242" s="120" t="s">
        <v>11</v>
      </c>
      <c r="J242">
        <v>-3</v>
      </c>
      <c r="K242">
        <v>0</v>
      </c>
      <c r="L242">
        <v>189</v>
      </c>
      <c r="M242">
        <v>0</v>
      </c>
      <c r="N242">
        <v>567</v>
      </c>
    </row>
    <row r="243" spans="1:14" hidden="1" x14ac:dyDescent="0.25">
      <c r="A243" s="120" t="s">
        <v>3591</v>
      </c>
      <c r="B243" s="120" t="s">
        <v>3592</v>
      </c>
      <c r="C243" s="120" t="s">
        <v>301</v>
      </c>
      <c r="D243" s="120" t="s">
        <v>3668</v>
      </c>
      <c r="E243" s="120" t="s">
        <v>484</v>
      </c>
      <c r="F243" s="120" t="s">
        <v>18</v>
      </c>
      <c r="G243" s="120">
        <v>0</v>
      </c>
      <c r="H243">
        <v>0</v>
      </c>
      <c r="I243" s="120" t="s">
        <v>57</v>
      </c>
      <c r="J243">
        <v>0</v>
      </c>
      <c r="K243">
        <v>1</v>
      </c>
      <c r="L243" s="121">
        <v>0</v>
      </c>
      <c r="M243" s="121">
        <v>0</v>
      </c>
      <c r="N243" s="121">
        <v>0</v>
      </c>
    </row>
    <row r="244" spans="1:14" hidden="1" x14ac:dyDescent="0.25">
      <c r="A244" s="120" t="s">
        <v>3463</v>
      </c>
      <c r="B244" s="120" t="s">
        <v>3818</v>
      </c>
      <c r="C244" s="120" t="s">
        <v>301</v>
      </c>
      <c r="D244" s="120" t="s">
        <v>1077</v>
      </c>
      <c r="E244" s="120" t="s">
        <v>34</v>
      </c>
      <c r="F244" s="120" t="s">
        <v>18</v>
      </c>
      <c r="G244" s="120">
        <v>0</v>
      </c>
      <c r="H244">
        <v>5</v>
      </c>
      <c r="I244" s="120" t="s">
        <v>11</v>
      </c>
      <c r="J244">
        <v>-5</v>
      </c>
      <c r="K244">
        <v>0</v>
      </c>
      <c r="L244">
        <v>189</v>
      </c>
      <c r="M244">
        <v>0</v>
      </c>
      <c r="N244">
        <v>945</v>
      </c>
    </row>
    <row r="245" spans="1:14" hidden="1" x14ac:dyDescent="0.25">
      <c r="A245" s="120" t="s">
        <v>3591</v>
      </c>
      <c r="B245" s="120" t="s">
        <v>3592</v>
      </c>
      <c r="C245" s="120" t="s">
        <v>301</v>
      </c>
      <c r="D245" s="120" t="s">
        <v>3670</v>
      </c>
      <c r="E245" s="120" t="s">
        <v>487</v>
      </c>
      <c r="F245" s="120" t="s">
        <v>18</v>
      </c>
      <c r="G245" s="120">
        <v>0</v>
      </c>
      <c r="H245">
        <v>0</v>
      </c>
      <c r="I245" s="120" t="s">
        <v>57</v>
      </c>
      <c r="J245">
        <v>0</v>
      </c>
      <c r="K245">
        <v>1</v>
      </c>
      <c r="L245" s="121">
        <v>0</v>
      </c>
      <c r="M245" s="121">
        <v>0</v>
      </c>
      <c r="N245" s="121">
        <v>0</v>
      </c>
    </row>
    <row r="246" spans="1:14" hidden="1" x14ac:dyDescent="0.25">
      <c r="A246" s="120" t="s">
        <v>3591</v>
      </c>
      <c r="B246" s="120" t="s">
        <v>3592</v>
      </c>
      <c r="C246" s="120" t="s">
        <v>301</v>
      </c>
      <c r="D246" s="120" t="s">
        <v>3677</v>
      </c>
      <c r="E246" s="120" t="s">
        <v>498</v>
      </c>
      <c r="F246" s="120" t="s">
        <v>18</v>
      </c>
      <c r="G246" s="120">
        <v>0</v>
      </c>
      <c r="H246">
        <v>0</v>
      </c>
      <c r="I246" s="120" t="s">
        <v>57</v>
      </c>
      <c r="J246">
        <v>0</v>
      </c>
      <c r="K246">
        <v>1</v>
      </c>
      <c r="L246" s="121">
        <v>0</v>
      </c>
      <c r="M246" s="121">
        <v>0</v>
      </c>
      <c r="N246" s="121">
        <v>0</v>
      </c>
    </row>
    <row r="247" spans="1:14" hidden="1" x14ac:dyDescent="0.25">
      <c r="A247" s="120" t="s">
        <v>3463</v>
      </c>
      <c r="B247" s="120" t="s">
        <v>3871</v>
      </c>
      <c r="C247" s="120" t="s">
        <v>69</v>
      </c>
      <c r="D247" s="120" t="s">
        <v>594</v>
      </c>
      <c r="E247" s="120" t="s">
        <v>171</v>
      </c>
      <c r="F247" s="120" t="s">
        <v>71</v>
      </c>
      <c r="G247" s="120">
        <v>3</v>
      </c>
      <c r="H247">
        <v>4</v>
      </c>
      <c r="I247" s="120" t="s">
        <v>11</v>
      </c>
      <c r="J247">
        <v>-1</v>
      </c>
      <c r="K247">
        <v>0</v>
      </c>
      <c r="L247">
        <v>54</v>
      </c>
      <c r="M247">
        <v>162</v>
      </c>
      <c r="N247">
        <v>216</v>
      </c>
    </row>
    <row r="248" spans="1:14" hidden="1" x14ac:dyDescent="0.25">
      <c r="A248" s="120" t="s">
        <v>3463</v>
      </c>
      <c r="B248" s="120" t="s">
        <v>3464</v>
      </c>
      <c r="C248" s="120" t="s">
        <v>301</v>
      </c>
      <c r="D248" s="120" t="s">
        <v>3473</v>
      </c>
      <c r="E248" s="120" t="s">
        <v>35</v>
      </c>
      <c r="F248" s="120" t="s">
        <v>10</v>
      </c>
      <c r="G248" s="120">
        <v>27</v>
      </c>
      <c r="H248">
        <v>0</v>
      </c>
      <c r="I248" s="120" t="s">
        <v>11</v>
      </c>
      <c r="J248">
        <v>27</v>
      </c>
      <c r="K248">
        <v>0</v>
      </c>
      <c r="L248">
        <v>0</v>
      </c>
      <c r="M248">
        <v>0</v>
      </c>
      <c r="N248">
        <v>0</v>
      </c>
    </row>
    <row r="249" spans="1:14" hidden="1" x14ac:dyDescent="0.25">
      <c r="A249" s="120" t="s">
        <v>3463</v>
      </c>
      <c r="B249" s="120" t="s">
        <v>3871</v>
      </c>
      <c r="C249" s="120" t="s">
        <v>301</v>
      </c>
      <c r="D249" s="120" t="s">
        <v>3473</v>
      </c>
      <c r="E249" s="120" t="s">
        <v>35</v>
      </c>
      <c r="F249" s="120" t="s">
        <v>10</v>
      </c>
      <c r="G249" s="120">
        <v>1</v>
      </c>
      <c r="H249">
        <v>0</v>
      </c>
      <c r="I249" s="120" t="s">
        <v>11</v>
      </c>
      <c r="J249">
        <v>1</v>
      </c>
      <c r="K249">
        <v>0</v>
      </c>
      <c r="L249">
        <v>0</v>
      </c>
      <c r="M249">
        <v>0</v>
      </c>
      <c r="N249">
        <v>0</v>
      </c>
    </row>
    <row r="250" spans="1:14" hidden="1" x14ac:dyDescent="0.25">
      <c r="A250" s="120" t="s">
        <v>3591</v>
      </c>
      <c r="B250" s="120" t="s">
        <v>3592</v>
      </c>
      <c r="C250" s="120" t="s">
        <v>301</v>
      </c>
      <c r="D250" s="120" t="s">
        <v>3678</v>
      </c>
      <c r="E250" s="120" t="s">
        <v>499</v>
      </c>
      <c r="F250" s="120" t="s">
        <v>18</v>
      </c>
      <c r="G250" s="120">
        <v>0</v>
      </c>
      <c r="H250">
        <v>0</v>
      </c>
      <c r="I250" s="120" t="s">
        <v>57</v>
      </c>
      <c r="J250">
        <v>0</v>
      </c>
      <c r="K250">
        <v>1</v>
      </c>
      <c r="L250" s="121">
        <v>0</v>
      </c>
      <c r="M250" s="121">
        <v>0</v>
      </c>
      <c r="N250" s="121">
        <v>0</v>
      </c>
    </row>
    <row r="251" spans="1:14" hidden="1" x14ac:dyDescent="0.25">
      <c r="A251" s="120" t="s">
        <v>3463</v>
      </c>
      <c r="B251" s="120" t="s">
        <v>3510</v>
      </c>
      <c r="C251" s="120" t="s">
        <v>301</v>
      </c>
      <c r="D251" s="120" t="s">
        <v>3473</v>
      </c>
      <c r="E251" s="120" t="s">
        <v>35</v>
      </c>
      <c r="F251" s="120" t="s">
        <v>10</v>
      </c>
      <c r="G251" s="120">
        <v>2</v>
      </c>
      <c r="H251">
        <v>0</v>
      </c>
      <c r="I251" s="120" t="s">
        <v>57</v>
      </c>
      <c r="J251">
        <v>2</v>
      </c>
      <c r="K251">
        <v>0</v>
      </c>
      <c r="L251">
        <v>0</v>
      </c>
      <c r="M251">
        <v>0</v>
      </c>
      <c r="N251">
        <v>0</v>
      </c>
    </row>
    <row r="252" spans="1:14" hidden="1" x14ac:dyDescent="0.25">
      <c r="A252" s="120" t="s">
        <v>3591</v>
      </c>
      <c r="B252" s="120" t="s">
        <v>3592</v>
      </c>
      <c r="C252" s="120" t="s">
        <v>301</v>
      </c>
      <c r="D252" s="120" t="s">
        <v>3679</v>
      </c>
      <c r="E252" s="120" t="s">
        <v>500</v>
      </c>
      <c r="F252" s="120" t="s">
        <v>10</v>
      </c>
      <c r="G252" s="120">
        <v>0</v>
      </c>
      <c r="H252">
        <v>0</v>
      </c>
      <c r="I252" s="120" t="s">
        <v>57</v>
      </c>
      <c r="J252">
        <v>0</v>
      </c>
      <c r="K252">
        <v>1</v>
      </c>
      <c r="L252" s="121">
        <v>0</v>
      </c>
      <c r="M252" s="121">
        <v>0</v>
      </c>
      <c r="N252" s="121">
        <v>0</v>
      </c>
    </row>
    <row r="253" spans="1:14" hidden="1" x14ac:dyDescent="0.25">
      <c r="A253" s="120" t="s">
        <v>3591</v>
      </c>
      <c r="B253" s="120" t="s">
        <v>3592</v>
      </c>
      <c r="C253" s="120" t="s">
        <v>301</v>
      </c>
      <c r="D253" s="120" t="s">
        <v>3473</v>
      </c>
      <c r="E253" s="120" t="s">
        <v>35</v>
      </c>
      <c r="F253" s="120" t="s">
        <v>10</v>
      </c>
      <c r="G253" s="120">
        <v>10</v>
      </c>
      <c r="H253">
        <v>0</v>
      </c>
      <c r="I253" s="120" t="s">
        <v>47</v>
      </c>
      <c r="J253">
        <v>10</v>
      </c>
      <c r="K253">
        <v>0</v>
      </c>
      <c r="L253" s="121">
        <v>0</v>
      </c>
      <c r="M253" s="121">
        <v>0</v>
      </c>
      <c r="N253" s="121">
        <v>0</v>
      </c>
    </row>
    <row r="254" spans="1:14" hidden="1" x14ac:dyDescent="0.25">
      <c r="A254" s="120" t="s">
        <v>3591</v>
      </c>
      <c r="B254" s="120" t="s">
        <v>3701</v>
      </c>
      <c r="C254" s="120" t="s">
        <v>301</v>
      </c>
      <c r="D254" s="120" t="s">
        <v>3473</v>
      </c>
      <c r="E254" s="120" t="s">
        <v>35</v>
      </c>
      <c r="F254" s="120" t="s">
        <v>10</v>
      </c>
      <c r="G254" s="120">
        <v>3</v>
      </c>
      <c r="H254">
        <v>0</v>
      </c>
      <c r="I254" s="120" t="s">
        <v>11</v>
      </c>
      <c r="J254">
        <v>3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 s="120" t="s">
        <v>3758</v>
      </c>
      <c r="B255" s="120" t="s">
        <v>3759</v>
      </c>
      <c r="C255" s="120" t="s">
        <v>301</v>
      </c>
      <c r="D255" s="120" t="s">
        <v>3473</v>
      </c>
      <c r="E255" s="120" t="s">
        <v>35</v>
      </c>
      <c r="F255" s="120" t="s">
        <v>10</v>
      </c>
      <c r="G255" s="120">
        <v>24</v>
      </c>
      <c r="H255">
        <v>0</v>
      </c>
      <c r="I255" s="120" t="s">
        <v>11</v>
      </c>
      <c r="J255">
        <v>24</v>
      </c>
      <c r="K255">
        <v>0</v>
      </c>
      <c r="L255">
        <v>0</v>
      </c>
      <c r="M255">
        <v>0</v>
      </c>
      <c r="N255">
        <v>0</v>
      </c>
    </row>
    <row r="256" spans="1:14" hidden="1" x14ac:dyDescent="0.25">
      <c r="A256" s="120" t="s">
        <v>3463</v>
      </c>
      <c r="B256" s="120" t="s">
        <v>3528</v>
      </c>
      <c r="C256" s="120" t="s">
        <v>301</v>
      </c>
      <c r="D256" s="120" t="s">
        <v>542</v>
      </c>
      <c r="E256" s="120" t="s">
        <v>9</v>
      </c>
      <c r="F256" s="120" t="s">
        <v>10</v>
      </c>
      <c r="G256" s="120">
        <v>3</v>
      </c>
      <c r="H256">
        <v>3</v>
      </c>
      <c r="I256" s="120" t="s">
        <v>11</v>
      </c>
      <c r="J256">
        <v>0</v>
      </c>
      <c r="K256">
        <v>1</v>
      </c>
      <c r="L256" s="121">
        <v>35</v>
      </c>
      <c r="M256" s="121">
        <v>105</v>
      </c>
      <c r="N256" s="121">
        <v>105</v>
      </c>
    </row>
    <row r="257" spans="1:14" hidden="1" x14ac:dyDescent="0.25">
      <c r="A257" s="120" t="s">
        <v>3591</v>
      </c>
      <c r="B257" s="120" t="s">
        <v>3698</v>
      </c>
      <c r="C257" s="120" t="s">
        <v>301</v>
      </c>
      <c r="D257" s="120" t="s">
        <v>1078</v>
      </c>
      <c r="E257" s="120" t="s">
        <v>449</v>
      </c>
      <c r="F257" s="120" t="s">
        <v>14</v>
      </c>
      <c r="G257" s="120">
        <v>1</v>
      </c>
      <c r="H257">
        <v>4</v>
      </c>
      <c r="I257" s="120" t="s">
        <v>11</v>
      </c>
      <c r="J257">
        <v>-3</v>
      </c>
      <c r="K257">
        <v>0</v>
      </c>
      <c r="L257">
        <v>760</v>
      </c>
      <c r="M257">
        <v>760</v>
      </c>
      <c r="N257">
        <v>3040</v>
      </c>
    </row>
    <row r="258" spans="1:14" hidden="1" x14ac:dyDescent="0.25">
      <c r="A258" s="120" t="s">
        <v>3591</v>
      </c>
      <c r="B258" s="120" t="s">
        <v>3592</v>
      </c>
      <c r="C258" s="120" t="s">
        <v>301</v>
      </c>
      <c r="D258" s="120" t="s">
        <v>1078</v>
      </c>
      <c r="E258" s="120" t="s">
        <v>449</v>
      </c>
      <c r="F258" s="120" t="s">
        <v>18</v>
      </c>
      <c r="G258" s="120">
        <v>0</v>
      </c>
      <c r="H258">
        <v>10</v>
      </c>
      <c r="I258" s="120" t="s">
        <v>11</v>
      </c>
      <c r="J258">
        <v>-10</v>
      </c>
      <c r="K258">
        <v>0</v>
      </c>
      <c r="L258">
        <v>760</v>
      </c>
      <c r="M258">
        <v>0</v>
      </c>
      <c r="N258">
        <v>7600</v>
      </c>
    </row>
    <row r="259" spans="1:14" hidden="1" x14ac:dyDescent="0.25">
      <c r="A259" s="120" t="s">
        <v>3463</v>
      </c>
      <c r="B259" s="120" t="s">
        <v>3528</v>
      </c>
      <c r="C259" s="120" t="s">
        <v>301</v>
      </c>
      <c r="D259" s="120" t="s">
        <v>538</v>
      </c>
      <c r="E259" s="120" t="s">
        <v>193</v>
      </c>
      <c r="F259" s="120" t="s">
        <v>10</v>
      </c>
      <c r="G259" s="120">
        <v>0</v>
      </c>
      <c r="H259">
        <v>0</v>
      </c>
      <c r="I259" s="120" t="s">
        <v>11</v>
      </c>
      <c r="J259">
        <v>0</v>
      </c>
      <c r="K259">
        <v>1</v>
      </c>
      <c r="L259" s="121">
        <v>21</v>
      </c>
      <c r="M259" s="121">
        <v>0</v>
      </c>
      <c r="N259" s="121">
        <v>0</v>
      </c>
    </row>
    <row r="260" spans="1:14" hidden="1" x14ac:dyDescent="0.25">
      <c r="A260" s="120" t="s">
        <v>3591</v>
      </c>
      <c r="B260" s="120" t="s">
        <v>3701</v>
      </c>
      <c r="C260" s="120" t="s">
        <v>301</v>
      </c>
      <c r="D260" s="120" t="s">
        <v>1078</v>
      </c>
      <c r="E260" s="120" t="s">
        <v>449</v>
      </c>
      <c r="F260" s="120" t="s">
        <v>14</v>
      </c>
      <c r="G260" s="120">
        <v>2</v>
      </c>
      <c r="H260">
        <v>1</v>
      </c>
      <c r="I260" s="120" t="s">
        <v>11</v>
      </c>
      <c r="J260">
        <v>1</v>
      </c>
      <c r="K260">
        <v>0</v>
      </c>
      <c r="L260">
        <v>760</v>
      </c>
      <c r="M260">
        <v>1520</v>
      </c>
      <c r="N260">
        <v>760</v>
      </c>
    </row>
    <row r="261" spans="1:14" hidden="1" x14ac:dyDescent="0.25">
      <c r="A261" s="120" t="s">
        <v>3463</v>
      </c>
      <c r="B261" s="120" t="s">
        <v>3528</v>
      </c>
      <c r="C261" s="120" t="s">
        <v>301</v>
      </c>
      <c r="D261" s="120" t="s">
        <v>558</v>
      </c>
      <c r="E261" s="120" t="s">
        <v>16</v>
      </c>
      <c r="F261" s="120" t="s">
        <v>10</v>
      </c>
      <c r="G261" s="120">
        <v>3</v>
      </c>
      <c r="H261">
        <v>3</v>
      </c>
      <c r="I261" s="120" t="s">
        <v>11</v>
      </c>
      <c r="J261">
        <v>0</v>
      </c>
      <c r="K261">
        <v>1</v>
      </c>
      <c r="L261" s="121">
        <v>35</v>
      </c>
      <c r="M261" s="121">
        <v>105</v>
      </c>
      <c r="N261" s="121">
        <v>105</v>
      </c>
    </row>
    <row r="262" spans="1:14" hidden="1" x14ac:dyDescent="0.25">
      <c r="A262" s="120" t="s">
        <v>3463</v>
      </c>
      <c r="B262" s="120" t="s">
        <v>3464</v>
      </c>
      <c r="C262" s="120" t="s">
        <v>301</v>
      </c>
      <c r="D262" s="120" t="s">
        <v>3474</v>
      </c>
      <c r="E262" s="120" t="s">
        <v>36</v>
      </c>
      <c r="F262" s="120" t="s">
        <v>14</v>
      </c>
      <c r="G262" s="120">
        <v>37</v>
      </c>
      <c r="H262">
        <v>0</v>
      </c>
      <c r="I262" s="120" t="s">
        <v>11</v>
      </c>
      <c r="J262">
        <v>37</v>
      </c>
      <c r="K262">
        <v>0</v>
      </c>
      <c r="L262">
        <v>0</v>
      </c>
      <c r="M262">
        <v>0</v>
      </c>
      <c r="N262">
        <v>0</v>
      </c>
    </row>
    <row r="263" spans="1:14" hidden="1" x14ac:dyDescent="0.25">
      <c r="A263" s="120" t="s">
        <v>3463</v>
      </c>
      <c r="B263" s="120" t="s">
        <v>3528</v>
      </c>
      <c r="C263" s="120" t="s">
        <v>301</v>
      </c>
      <c r="D263" s="120" t="s">
        <v>3478</v>
      </c>
      <c r="E263" s="120" t="s">
        <v>48</v>
      </c>
      <c r="F263" s="120" t="s">
        <v>10</v>
      </c>
      <c r="G263" s="120">
        <v>0</v>
      </c>
      <c r="H263">
        <v>0</v>
      </c>
      <c r="I263" s="120" t="s">
        <v>11</v>
      </c>
      <c r="J263">
        <v>0</v>
      </c>
      <c r="K263">
        <v>1</v>
      </c>
      <c r="L263" s="121">
        <v>0</v>
      </c>
      <c r="M263" s="121">
        <v>0</v>
      </c>
      <c r="N263" s="121">
        <v>0</v>
      </c>
    </row>
    <row r="264" spans="1:14" hidden="1" x14ac:dyDescent="0.25">
      <c r="A264" s="120" t="s">
        <v>3463</v>
      </c>
      <c r="B264" s="120" t="s">
        <v>3510</v>
      </c>
      <c r="C264" s="120" t="s">
        <v>301</v>
      </c>
      <c r="D264" s="120" t="s">
        <v>3474</v>
      </c>
      <c r="E264" s="120" t="s">
        <v>36</v>
      </c>
      <c r="F264" s="120" t="s">
        <v>14</v>
      </c>
      <c r="G264" s="120">
        <v>1</v>
      </c>
      <c r="H264">
        <v>0</v>
      </c>
      <c r="I264" s="120" t="s">
        <v>47</v>
      </c>
      <c r="J264">
        <v>1</v>
      </c>
      <c r="K264">
        <v>0</v>
      </c>
      <c r="L264">
        <v>0</v>
      </c>
      <c r="M264">
        <v>0</v>
      </c>
      <c r="N264">
        <v>0</v>
      </c>
    </row>
    <row r="265" spans="1:14" hidden="1" x14ac:dyDescent="0.25">
      <c r="A265" s="120" t="s">
        <v>3463</v>
      </c>
      <c r="B265" s="120" t="s">
        <v>3588</v>
      </c>
      <c r="C265" s="120" t="s">
        <v>301</v>
      </c>
      <c r="D265" s="120" t="s">
        <v>3474</v>
      </c>
      <c r="E265" s="120" t="s">
        <v>318</v>
      </c>
      <c r="F265" s="120" t="s">
        <v>18</v>
      </c>
      <c r="G265" s="120">
        <v>7</v>
      </c>
      <c r="H265">
        <v>0</v>
      </c>
      <c r="I265" s="120" t="s">
        <v>47</v>
      </c>
      <c r="J265">
        <v>7</v>
      </c>
      <c r="K265">
        <v>0</v>
      </c>
      <c r="L265">
        <v>0</v>
      </c>
      <c r="M265">
        <v>0</v>
      </c>
      <c r="N265">
        <v>0</v>
      </c>
    </row>
    <row r="266" spans="1:14" hidden="1" x14ac:dyDescent="0.25">
      <c r="A266" s="120" t="s">
        <v>3591</v>
      </c>
      <c r="B266" s="120" t="s">
        <v>3592</v>
      </c>
      <c r="C266" s="120" t="s">
        <v>301</v>
      </c>
      <c r="D266" s="120" t="s">
        <v>3474</v>
      </c>
      <c r="E266" s="120" t="s">
        <v>36</v>
      </c>
      <c r="F266" s="120" t="s">
        <v>18</v>
      </c>
      <c r="G266" s="120">
        <v>17</v>
      </c>
      <c r="H266">
        <v>0</v>
      </c>
      <c r="I266" s="120" t="s">
        <v>47</v>
      </c>
      <c r="J266">
        <v>17</v>
      </c>
      <c r="K266">
        <v>0</v>
      </c>
      <c r="L266" s="121">
        <v>0</v>
      </c>
      <c r="M266" s="121">
        <v>0</v>
      </c>
      <c r="N266" s="121">
        <v>0</v>
      </c>
    </row>
    <row r="267" spans="1:14" hidden="1" x14ac:dyDescent="0.25">
      <c r="A267" s="120" t="s">
        <v>3591</v>
      </c>
      <c r="B267" s="120" t="s">
        <v>3701</v>
      </c>
      <c r="C267" s="120" t="s">
        <v>301</v>
      </c>
      <c r="D267" s="120" t="s">
        <v>3474</v>
      </c>
      <c r="E267" s="120" t="s">
        <v>36</v>
      </c>
      <c r="F267" s="120" t="s">
        <v>14</v>
      </c>
      <c r="G267" s="120">
        <v>1</v>
      </c>
      <c r="H267">
        <v>0</v>
      </c>
      <c r="I267" s="120" t="s">
        <v>57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 hidden="1" x14ac:dyDescent="0.25">
      <c r="A268" s="120" t="s">
        <v>3463</v>
      </c>
      <c r="B268" s="120" t="s">
        <v>3528</v>
      </c>
      <c r="C268" s="120" t="s">
        <v>301</v>
      </c>
      <c r="D268" s="120" t="s">
        <v>714</v>
      </c>
      <c r="E268" s="120" t="s">
        <v>52</v>
      </c>
      <c r="F268" s="120" t="s">
        <v>14</v>
      </c>
      <c r="G268" s="120">
        <v>3</v>
      </c>
      <c r="H268">
        <v>3</v>
      </c>
      <c r="I268" s="120" t="s">
        <v>11</v>
      </c>
      <c r="J268">
        <v>0</v>
      </c>
      <c r="K268">
        <v>1</v>
      </c>
      <c r="L268" s="121">
        <v>3</v>
      </c>
      <c r="M268" s="121">
        <v>9</v>
      </c>
      <c r="N268" s="121">
        <v>9</v>
      </c>
    </row>
    <row r="269" spans="1:14" hidden="1" x14ac:dyDescent="0.25">
      <c r="A269" s="120" t="s">
        <v>3463</v>
      </c>
      <c r="B269" s="120" t="s">
        <v>3464</v>
      </c>
      <c r="C269" s="120" t="s">
        <v>301</v>
      </c>
      <c r="D269" s="120" t="s">
        <v>1149</v>
      </c>
      <c r="E269" s="120" t="s">
        <v>41</v>
      </c>
      <c r="F269" s="120" t="s">
        <v>10</v>
      </c>
      <c r="G269" s="120">
        <v>19</v>
      </c>
      <c r="H269">
        <v>42</v>
      </c>
      <c r="I269" s="120" t="s">
        <v>11</v>
      </c>
      <c r="J269">
        <v>-23</v>
      </c>
      <c r="K269">
        <v>0</v>
      </c>
      <c r="L269">
        <v>20</v>
      </c>
      <c r="M269">
        <v>380</v>
      </c>
      <c r="N269">
        <v>840</v>
      </c>
    </row>
    <row r="270" spans="1:14" hidden="1" x14ac:dyDescent="0.25">
      <c r="A270" s="120" t="s">
        <v>3463</v>
      </c>
      <c r="B270" s="120" t="s">
        <v>3816</v>
      </c>
      <c r="C270" s="120" t="s">
        <v>301</v>
      </c>
      <c r="D270" s="120" t="s">
        <v>1149</v>
      </c>
      <c r="E270" s="120" t="s">
        <v>41</v>
      </c>
      <c r="F270" s="120" t="s">
        <v>10</v>
      </c>
      <c r="G270" s="120">
        <v>0</v>
      </c>
      <c r="H270">
        <v>2</v>
      </c>
      <c r="I270" s="120" t="s">
        <v>47</v>
      </c>
      <c r="J270">
        <v>-2</v>
      </c>
      <c r="K270">
        <v>0</v>
      </c>
      <c r="L270">
        <v>20</v>
      </c>
      <c r="M270">
        <v>0</v>
      </c>
      <c r="N270">
        <v>40</v>
      </c>
    </row>
    <row r="271" spans="1:14" hidden="1" x14ac:dyDescent="0.25">
      <c r="A271" s="120" t="s">
        <v>3463</v>
      </c>
      <c r="B271" s="120" t="s">
        <v>3510</v>
      </c>
      <c r="C271" s="120" t="s">
        <v>301</v>
      </c>
      <c r="D271" s="120" t="s">
        <v>1149</v>
      </c>
      <c r="E271" s="120" t="s">
        <v>41</v>
      </c>
      <c r="F271" s="120" t="s">
        <v>10</v>
      </c>
      <c r="G271" s="120">
        <v>2</v>
      </c>
      <c r="H271">
        <v>1</v>
      </c>
      <c r="I271" s="120" t="s">
        <v>57</v>
      </c>
      <c r="J271">
        <v>1</v>
      </c>
      <c r="K271">
        <v>0</v>
      </c>
      <c r="L271">
        <v>20</v>
      </c>
      <c r="M271">
        <v>40</v>
      </c>
      <c r="N271">
        <v>20</v>
      </c>
    </row>
    <row r="272" spans="1:14" hidden="1" x14ac:dyDescent="0.25">
      <c r="A272" s="120" t="s">
        <v>3463</v>
      </c>
      <c r="B272" s="120" t="s">
        <v>3528</v>
      </c>
      <c r="C272" s="120" t="s">
        <v>301</v>
      </c>
      <c r="D272" s="120" t="s">
        <v>1149</v>
      </c>
      <c r="E272" s="120" t="s">
        <v>41</v>
      </c>
      <c r="F272" s="120" t="s">
        <v>10</v>
      </c>
      <c r="G272" s="120">
        <v>1</v>
      </c>
      <c r="H272">
        <v>3</v>
      </c>
      <c r="I272" s="120" t="s">
        <v>57</v>
      </c>
      <c r="J272">
        <v>-2</v>
      </c>
      <c r="K272">
        <v>0</v>
      </c>
      <c r="L272">
        <v>20</v>
      </c>
      <c r="M272">
        <v>20</v>
      </c>
      <c r="N272">
        <v>60</v>
      </c>
    </row>
    <row r="273" spans="1:14" hidden="1" x14ac:dyDescent="0.25">
      <c r="A273" s="120" t="s">
        <v>3463</v>
      </c>
      <c r="B273" s="120" t="s">
        <v>3588</v>
      </c>
      <c r="C273" s="120" t="s">
        <v>301</v>
      </c>
      <c r="D273" s="120" t="s">
        <v>1149</v>
      </c>
      <c r="E273" s="120" t="s">
        <v>321</v>
      </c>
      <c r="F273" s="120" t="s">
        <v>18</v>
      </c>
      <c r="G273" s="120">
        <v>14</v>
      </c>
      <c r="H273">
        <v>15</v>
      </c>
      <c r="I273" s="120" t="s">
        <v>47</v>
      </c>
      <c r="J273">
        <v>-1</v>
      </c>
      <c r="K273">
        <v>0</v>
      </c>
      <c r="L273">
        <v>20</v>
      </c>
      <c r="M273">
        <v>280</v>
      </c>
      <c r="N273">
        <v>300</v>
      </c>
    </row>
    <row r="274" spans="1:14" hidden="1" x14ac:dyDescent="0.25">
      <c r="A274" s="120" t="s">
        <v>3591</v>
      </c>
      <c r="B274" s="120" t="s">
        <v>3698</v>
      </c>
      <c r="C274" s="120" t="s">
        <v>301</v>
      </c>
      <c r="D274" s="120" t="s">
        <v>1149</v>
      </c>
      <c r="E274" s="120" t="s">
        <v>41</v>
      </c>
      <c r="F274" s="120" t="s">
        <v>10</v>
      </c>
      <c r="G274" s="120">
        <v>0</v>
      </c>
      <c r="H274">
        <v>1</v>
      </c>
      <c r="I274" s="120" t="s">
        <v>11</v>
      </c>
      <c r="J274">
        <v>-1</v>
      </c>
      <c r="K274">
        <v>0</v>
      </c>
      <c r="L274">
        <v>20</v>
      </c>
      <c r="M274">
        <v>0</v>
      </c>
      <c r="N274">
        <v>20</v>
      </c>
    </row>
    <row r="275" spans="1:14" hidden="1" x14ac:dyDescent="0.25">
      <c r="A275" s="120" t="s">
        <v>3591</v>
      </c>
      <c r="B275" s="120" t="s">
        <v>3592</v>
      </c>
      <c r="C275" s="120" t="s">
        <v>301</v>
      </c>
      <c r="D275" s="120" t="s">
        <v>1149</v>
      </c>
      <c r="E275" s="120" t="s">
        <v>41</v>
      </c>
      <c r="F275" s="120" t="s">
        <v>10</v>
      </c>
      <c r="G275" s="120">
        <v>0</v>
      </c>
      <c r="H275">
        <v>13</v>
      </c>
      <c r="I275" s="120" t="s">
        <v>11</v>
      </c>
      <c r="J275">
        <v>-13</v>
      </c>
      <c r="K275">
        <v>0</v>
      </c>
      <c r="L275">
        <v>20</v>
      </c>
      <c r="M275">
        <v>0</v>
      </c>
      <c r="N275">
        <v>260</v>
      </c>
    </row>
    <row r="276" spans="1:14" hidden="1" x14ac:dyDescent="0.25">
      <c r="A276" s="120" t="s">
        <v>3591</v>
      </c>
      <c r="B276" s="120" t="s">
        <v>3693</v>
      </c>
      <c r="C276" s="120" t="s">
        <v>301</v>
      </c>
      <c r="D276" s="120" t="s">
        <v>1149</v>
      </c>
      <c r="E276" s="120" t="s">
        <v>41</v>
      </c>
      <c r="F276" s="120" t="s">
        <v>10</v>
      </c>
      <c r="G276" s="120">
        <v>1</v>
      </c>
      <c r="H276">
        <v>3</v>
      </c>
      <c r="I276" s="120" t="s">
        <v>11</v>
      </c>
      <c r="J276">
        <v>-2</v>
      </c>
      <c r="K276">
        <v>0</v>
      </c>
      <c r="L276">
        <v>20</v>
      </c>
      <c r="M276">
        <v>20</v>
      </c>
      <c r="N276">
        <v>60</v>
      </c>
    </row>
    <row r="277" spans="1:14" hidden="1" x14ac:dyDescent="0.25">
      <c r="A277" s="120" t="s">
        <v>3591</v>
      </c>
      <c r="B277" s="120" t="s">
        <v>3709</v>
      </c>
      <c r="C277" s="120" t="s">
        <v>301</v>
      </c>
      <c r="D277" s="120" t="s">
        <v>1149</v>
      </c>
      <c r="E277" s="120" t="s">
        <v>41</v>
      </c>
      <c r="F277" s="120" t="s">
        <v>14</v>
      </c>
      <c r="G277" s="120">
        <v>1</v>
      </c>
      <c r="H277">
        <v>2</v>
      </c>
      <c r="I277" s="120" t="s">
        <v>11</v>
      </c>
      <c r="J277">
        <v>-1</v>
      </c>
      <c r="K277">
        <v>0</v>
      </c>
      <c r="L277">
        <v>20</v>
      </c>
      <c r="M277">
        <v>20</v>
      </c>
      <c r="N277">
        <v>40</v>
      </c>
    </row>
    <row r="278" spans="1:14" hidden="1" x14ac:dyDescent="0.25">
      <c r="A278" s="120" t="s">
        <v>3591</v>
      </c>
      <c r="B278" s="120" t="s">
        <v>3701</v>
      </c>
      <c r="C278" s="120" t="s">
        <v>301</v>
      </c>
      <c r="D278" s="120" t="s">
        <v>1149</v>
      </c>
      <c r="E278" s="120" t="s">
        <v>41</v>
      </c>
      <c r="F278" s="120" t="s">
        <v>10</v>
      </c>
      <c r="G278" s="120">
        <v>2</v>
      </c>
      <c r="H278">
        <v>3</v>
      </c>
      <c r="I278" s="120" t="s">
        <v>11</v>
      </c>
      <c r="J278">
        <v>-1</v>
      </c>
      <c r="K278">
        <v>0</v>
      </c>
      <c r="L278">
        <v>20</v>
      </c>
      <c r="M278">
        <v>40</v>
      </c>
      <c r="N278">
        <v>60</v>
      </c>
    </row>
    <row r="279" spans="1:14" hidden="1" x14ac:dyDescent="0.25">
      <c r="A279" s="120" t="s">
        <v>3463</v>
      </c>
      <c r="B279" s="120" t="s">
        <v>3464</v>
      </c>
      <c r="C279" s="120" t="s">
        <v>301</v>
      </c>
      <c r="D279" s="120" t="s">
        <v>1115</v>
      </c>
      <c r="E279" s="120" t="s">
        <v>39</v>
      </c>
      <c r="F279" s="120" t="s">
        <v>18</v>
      </c>
      <c r="G279" s="120">
        <v>20</v>
      </c>
      <c r="H279">
        <v>36</v>
      </c>
      <c r="I279" s="120" t="s">
        <v>11</v>
      </c>
      <c r="J279">
        <v>-16</v>
      </c>
      <c r="K279">
        <v>0</v>
      </c>
      <c r="L279">
        <v>140</v>
      </c>
      <c r="M279">
        <v>2800</v>
      </c>
      <c r="N279">
        <v>5040</v>
      </c>
    </row>
    <row r="280" spans="1:14" hidden="1" x14ac:dyDescent="0.25">
      <c r="A280" s="120" t="s">
        <v>3463</v>
      </c>
      <c r="B280" s="120" t="s">
        <v>3464</v>
      </c>
      <c r="C280" s="120" t="s">
        <v>301</v>
      </c>
      <c r="D280" s="120" t="s">
        <v>1128</v>
      </c>
      <c r="E280" s="120" t="s">
        <v>40</v>
      </c>
      <c r="F280" s="120" t="s">
        <v>18</v>
      </c>
      <c r="G280" s="120">
        <v>3</v>
      </c>
      <c r="H280">
        <v>12</v>
      </c>
      <c r="I280" s="120" t="s">
        <v>11</v>
      </c>
      <c r="J280">
        <v>-9</v>
      </c>
      <c r="K280">
        <v>0</v>
      </c>
      <c r="L280">
        <v>69</v>
      </c>
      <c r="M280">
        <v>207</v>
      </c>
      <c r="N280">
        <v>828</v>
      </c>
    </row>
    <row r="281" spans="1:14" hidden="1" x14ac:dyDescent="0.25">
      <c r="A281" s="120" t="s">
        <v>3463</v>
      </c>
      <c r="B281" s="120" t="s">
        <v>3816</v>
      </c>
      <c r="C281" s="120" t="s">
        <v>301</v>
      </c>
      <c r="D281" s="120" t="s">
        <v>1128</v>
      </c>
      <c r="E281" s="120" t="s">
        <v>40</v>
      </c>
      <c r="F281" s="120" t="s">
        <v>18</v>
      </c>
      <c r="G281" s="120">
        <v>0</v>
      </c>
      <c r="H281">
        <v>5</v>
      </c>
      <c r="I281" s="120" t="s">
        <v>47</v>
      </c>
      <c r="J281">
        <v>-5</v>
      </c>
      <c r="K281">
        <v>0</v>
      </c>
      <c r="L281">
        <v>69</v>
      </c>
      <c r="M281">
        <v>0</v>
      </c>
      <c r="N281">
        <v>345</v>
      </c>
    </row>
    <row r="282" spans="1:14" hidden="1" x14ac:dyDescent="0.25">
      <c r="A282" s="120" t="s">
        <v>3463</v>
      </c>
      <c r="B282" s="120" t="s">
        <v>3528</v>
      </c>
      <c r="C282" s="120" t="s">
        <v>301</v>
      </c>
      <c r="D282" s="120" t="s">
        <v>697</v>
      </c>
      <c r="E282" s="120" t="s">
        <v>27</v>
      </c>
      <c r="F282" s="120" t="s">
        <v>10</v>
      </c>
      <c r="G282" s="120">
        <v>9</v>
      </c>
      <c r="H282">
        <v>9</v>
      </c>
      <c r="I282" s="120" t="s">
        <v>11</v>
      </c>
      <c r="J282">
        <v>0</v>
      </c>
      <c r="K282">
        <v>1</v>
      </c>
      <c r="L282" s="121">
        <v>15</v>
      </c>
      <c r="M282" s="121">
        <v>135</v>
      </c>
      <c r="N282" s="121">
        <v>135</v>
      </c>
    </row>
    <row r="283" spans="1:14" hidden="1" x14ac:dyDescent="0.25">
      <c r="A283" s="120" t="s">
        <v>3463</v>
      </c>
      <c r="B283" s="120" t="s">
        <v>3818</v>
      </c>
      <c r="C283" s="120" t="s">
        <v>301</v>
      </c>
      <c r="D283" s="120" t="s">
        <v>1128</v>
      </c>
      <c r="E283" s="120" t="s">
        <v>40</v>
      </c>
      <c r="F283" s="120" t="s">
        <v>18</v>
      </c>
      <c r="G283" s="120">
        <v>3</v>
      </c>
      <c r="H283">
        <v>6</v>
      </c>
      <c r="I283" s="120" t="s">
        <v>47</v>
      </c>
      <c r="J283">
        <v>-3</v>
      </c>
      <c r="K283">
        <v>0</v>
      </c>
      <c r="L283">
        <v>69</v>
      </c>
      <c r="M283">
        <v>207</v>
      </c>
      <c r="N283">
        <v>414</v>
      </c>
    </row>
    <row r="284" spans="1:14" hidden="1" x14ac:dyDescent="0.25">
      <c r="A284" s="120" t="s">
        <v>3463</v>
      </c>
      <c r="B284" s="120" t="s">
        <v>3528</v>
      </c>
      <c r="C284" s="120" t="s">
        <v>301</v>
      </c>
      <c r="D284" s="120" t="s">
        <v>1128</v>
      </c>
      <c r="E284" s="120" t="s">
        <v>40</v>
      </c>
      <c r="F284" s="120" t="s">
        <v>18</v>
      </c>
      <c r="G284" s="120">
        <v>4</v>
      </c>
      <c r="H284">
        <v>2</v>
      </c>
      <c r="I284" s="120" t="s">
        <v>11</v>
      </c>
      <c r="J284">
        <v>2</v>
      </c>
      <c r="K284">
        <v>0</v>
      </c>
      <c r="L284">
        <v>69</v>
      </c>
      <c r="M284">
        <v>276</v>
      </c>
      <c r="N284">
        <v>138</v>
      </c>
    </row>
    <row r="285" spans="1:14" hidden="1" x14ac:dyDescent="0.25">
      <c r="A285" s="120" t="s">
        <v>3463</v>
      </c>
      <c r="B285" s="120" t="s">
        <v>3528</v>
      </c>
      <c r="C285" s="120" t="s">
        <v>301</v>
      </c>
      <c r="D285" s="120" t="s">
        <v>3472</v>
      </c>
      <c r="E285" s="120" t="s">
        <v>32</v>
      </c>
      <c r="F285" s="120" t="s">
        <v>10</v>
      </c>
      <c r="G285" s="120">
        <v>0</v>
      </c>
      <c r="H285">
        <v>0</v>
      </c>
      <c r="I285" s="120" t="s">
        <v>11</v>
      </c>
      <c r="J285">
        <v>0</v>
      </c>
      <c r="K285">
        <v>1</v>
      </c>
      <c r="L285" s="121">
        <v>0</v>
      </c>
      <c r="M285" s="121">
        <v>0</v>
      </c>
      <c r="N285" s="121">
        <v>0</v>
      </c>
    </row>
    <row r="286" spans="1:14" hidden="1" x14ac:dyDescent="0.25">
      <c r="A286" s="120" t="s">
        <v>3463</v>
      </c>
      <c r="B286" s="120" t="s">
        <v>3871</v>
      </c>
      <c r="C286" s="120" t="s">
        <v>301</v>
      </c>
      <c r="D286" s="120" t="s">
        <v>3479</v>
      </c>
      <c r="E286" s="120" t="s">
        <v>50</v>
      </c>
      <c r="F286" s="120" t="s">
        <v>18</v>
      </c>
      <c r="G286" s="120">
        <v>2</v>
      </c>
      <c r="H286">
        <v>0</v>
      </c>
      <c r="I286" s="120" t="s">
        <v>11</v>
      </c>
      <c r="J286">
        <v>2</v>
      </c>
      <c r="K286">
        <v>0</v>
      </c>
      <c r="L286">
        <v>0</v>
      </c>
      <c r="M286">
        <v>0</v>
      </c>
      <c r="N286">
        <v>0</v>
      </c>
    </row>
    <row r="287" spans="1:14" hidden="1" x14ac:dyDescent="0.25">
      <c r="A287" s="120" t="s">
        <v>3463</v>
      </c>
      <c r="B287" s="120" t="s">
        <v>3464</v>
      </c>
      <c r="C287" s="120" t="s">
        <v>301</v>
      </c>
      <c r="D287" s="120" t="s">
        <v>3479</v>
      </c>
      <c r="E287" s="120" t="s">
        <v>50</v>
      </c>
      <c r="F287" s="120" t="s">
        <v>18</v>
      </c>
      <c r="G287" s="120">
        <v>10</v>
      </c>
      <c r="H287">
        <v>0</v>
      </c>
      <c r="I287" s="120" t="s">
        <v>57</v>
      </c>
      <c r="J287">
        <v>10</v>
      </c>
      <c r="K287">
        <v>0</v>
      </c>
      <c r="L287">
        <v>0</v>
      </c>
      <c r="M287">
        <v>0</v>
      </c>
      <c r="N287">
        <v>0</v>
      </c>
    </row>
    <row r="288" spans="1:14" hidden="1" x14ac:dyDescent="0.25">
      <c r="A288" s="120" t="s">
        <v>3463</v>
      </c>
      <c r="B288" s="120" t="s">
        <v>3464</v>
      </c>
      <c r="C288" s="120" t="s">
        <v>301</v>
      </c>
      <c r="D288" s="120" t="s">
        <v>621</v>
      </c>
      <c r="E288" s="120" t="s">
        <v>49</v>
      </c>
      <c r="F288" s="120" t="s">
        <v>18</v>
      </c>
      <c r="G288" s="120">
        <v>5</v>
      </c>
      <c r="H288">
        <v>50</v>
      </c>
      <c r="I288" s="120" t="s">
        <v>47</v>
      </c>
      <c r="J288">
        <v>-45</v>
      </c>
      <c r="K288">
        <v>0</v>
      </c>
      <c r="L288">
        <v>11</v>
      </c>
      <c r="M288">
        <v>55</v>
      </c>
      <c r="N288">
        <v>550</v>
      </c>
    </row>
    <row r="289" spans="1:14" hidden="1" x14ac:dyDescent="0.25">
      <c r="A289" s="120" t="s">
        <v>3463</v>
      </c>
      <c r="B289" s="120" t="s">
        <v>3816</v>
      </c>
      <c r="C289" s="120" t="s">
        <v>301</v>
      </c>
      <c r="D289" s="120" t="s">
        <v>621</v>
      </c>
      <c r="E289" s="120" t="s">
        <v>49</v>
      </c>
      <c r="F289" s="120" t="s">
        <v>18</v>
      </c>
      <c r="G289" s="120">
        <v>5</v>
      </c>
      <c r="H289">
        <v>4</v>
      </c>
      <c r="I289" s="120" t="s">
        <v>47</v>
      </c>
      <c r="J289">
        <v>1</v>
      </c>
      <c r="K289">
        <v>0</v>
      </c>
      <c r="L289">
        <v>11</v>
      </c>
      <c r="M289">
        <v>55</v>
      </c>
      <c r="N289">
        <v>44</v>
      </c>
    </row>
    <row r="290" spans="1:14" hidden="1" x14ac:dyDescent="0.25">
      <c r="A290" s="120" t="s">
        <v>3463</v>
      </c>
      <c r="B290" s="120" t="s">
        <v>3528</v>
      </c>
      <c r="C290" s="120" t="s">
        <v>301</v>
      </c>
      <c r="D290" s="120" t="s">
        <v>621</v>
      </c>
      <c r="E290" s="120" t="s">
        <v>49</v>
      </c>
      <c r="F290" s="120" t="s">
        <v>18</v>
      </c>
      <c r="G290" s="120">
        <v>2</v>
      </c>
      <c r="H290">
        <v>4</v>
      </c>
      <c r="I290" s="120" t="s">
        <v>47</v>
      </c>
      <c r="J290">
        <v>-2</v>
      </c>
      <c r="K290">
        <v>0</v>
      </c>
      <c r="L290">
        <v>11</v>
      </c>
      <c r="M290">
        <v>22</v>
      </c>
      <c r="N290">
        <v>44</v>
      </c>
    </row>
    <row r="291" spans="1:14" hidden="1" x14ac:dyDescent="0.25">
      <c r="A291" s="120" t="s">
        <v>3463</v>
      </c>
      <c r="B291" s="120" t="s">
        <v>3528</v>
      </c>
      <c r="C291" s="120" t="s">
        <v>301</v>
      </c>
      <c r="D291" s="120" t="s">
        <v>1077</v>
      </c>
      <c r="E291" s="120" t="s">
        <v>34</v>
      </c>
      <c r="F291" s="120" t="s">
        <v>18</v>
      </c>
      <c r="G291" s="120">
        <v>2</v>
      </c>
      <c r="H291">
        <v>2</v>
      </c>
      <c r="I291" s="120" t="s">
        <v>11</v>
      </c>
      <c r="J291">
        <v>0</v>
      </c>
      <c r="K291">
        <v>1</v>
      </c>
      <c r="L291" s="121">
        <v>189</v>
      </c>
      <c r="M291" s="121">
        <v>378</v>
      </c>
      <c r="N291" s="121">
        <v>378</v>
      </c>
    </row>
    <row r="292" spans="1:14" hidden="1" x14ac:dyDescent="0.25">
      <c r="A292" s="120" t="s">
        <v>3463</v>
      </c>
      <c r="B292" s="120" t="s">
        <v>3464</v>
      </c>
      <c r="C292" s="120" t="s">
        <v>301</v>
      </c>
      <c r="D292" s="120" t="s">
        <v>1178</v>
      </c>
      <c r="E292" s="120" t="s">
        <v>43</v>
      </c>
      <c r="F292" s="120" t="s">
        <v>10</v>
      </c>
      <c r="G292" s="120">
        <v>67</v>
      </c>
      <c r="H292">
        <v>90</v>
      </c>
      <c r="I292" s="120" t="s">
        <v>11</v>
      </c>
      <c r="J292">
        <v>-23</v>
      </c>
      <c r="K292">
        <v>0</v>
      </c>
      <c r="L292">
        <v>17</v>
      </c>
      <c r="M292">
        <v>1139</v>
      </c>
      <c r="N292">
        <v>1530</v>
      </c>
    </row>
    <row r="293" spans="1:14" hidden="1" x14ac:dyDescent="0.25">
      <c r="A293" s="120" t="s">
        <v>3463</v>
      </c>
      <c r="B293" s="120" t="s">
        <v>3816</v>
      </c>
      <c r="C293" s="120" t="s">
        <v>301</v>
      </c>
      <c r="D293" s="120" t="s">
        <v>1178</v>
      </c>
      <c r="E293" s="120" t="s">
        <v>43</v>
      </c>
      <c r="F293" s="120" t="s">
        <v>10</v>
      </c>
      <c r="G293" s="120">
        <v>0</v>
      </c>
      <c r="H293">
        <v>2</v>
      </c>
      <c r="I293" s="120" t="s">
        <v>11</v>
      </c>
      <c r="J293">
        <v>-2</v>
      </c>
      <c r="K293">
        <v>0</v>
      </c>
      <c r="L293">
        <v>17</v>
      </c>
      <c r="M293">
        <v>0</v>
      </c>
      <c r="N293">
        <v>34</v>
      </c>
    </row>
    <row r="294" spans="1:14" hidden="1" x14ac:dyDescent="0.25">
      <c r="A294" s="120" t="s">
        <v>3463</v>
      </c>
      <c r="B294" s="120" t="s">
        <v>3818</v>
      </c>
      <c r="C294" s="120" t="s">
        <v>301</v>
      </c>
      <c r="D294" s="120" t="s">
        <v>1178</v>
      </c>
      <c r="E294" s="120" t="s">
        <v>43</v>
      </c>
      <c r="F294" s="120" t="s">
        <v>10</v>
      </c>
      <c r="G294" s="120">
        <v>0</v>
      </c>
      <c r="H294">
        <v>4</v>
      </c>
      <c r="I294" s="120" t="s">
        <v>11</v>
      </c>
      <c r="J294">
        <v>-4</v>
      </c>
      <c r="K294">
        <v>0</v>
      </c>
      <c r="L294">
        <v>17</v>
      </c>
      <c r="M294">
        <v>0</v>
      </c>
      <c r="N294">
        <v>68</v>
      </c>
    </row>
    <row r="295" spans="1:14" hidden="1" x14ac:dyDescent="0.25">
      <c r="A295" s="120" t="s">
        <v>3463</v>
      </c>
      <c r="B295" s="120" t="s">
        <v>3805</v>
      </c>
      <c r="C295" s="120" t="s">
        <v>301</v>
      </c>
      <c r="D295" s="120" t="s">
        <v>751</v>
      </c>
      <c r="E295" s="120" t="s">
        <v>149</v>
      </c>
      <c r="F295" s="120" t="s">
        <v>14</v>
      </c>
      <c r="G295" s="120">
        <v>5</v>
      </c>
      <c r="H295">
        <v>5</v>
      </c>
      <c r="I295" s="120" t="s">
        <v>11</v>
      </c>
      <c r="J295">
        <v>0</v>
      </c>
      <c r="K295">
        <v>1</v>
      </c>
      <c r="L295" s="121">
        <v>15</v>
      </c>
      <c r="M295" s="121">
        <v>75</v>
      </c>
      <c r="N295" s="121">
        <v>75</v>
      </c>
    </row>
    <row r="296" spans="1:14" hidden="1" x14ac:dyDescent="0.25">
      <c r="A296" s="120" t="s">
        <v>3463</v>
      </c>
      <c r="B296" s="120" t="s">
        <v>3528</v>
      </c>
      <c r="C296" s="120" t="s">
        <v>301</v>
      </c>
      <c r="D296" s="120" t="s">
        <v>1178</v>
      </c>
      <c r="E296" s="120" t="s">
        <v>43</v>
      </c>
      <c r="F296" s="120" t="s">
        <v>10</v>
      </c>
      <c r="G296" s="120">
        <v>1</v>
      </c>
      <c r="H296">
        <v>3</v>
      </c>
      <c r="I296" s="120" t="s">
        <v>11</v>
      </c>
      <c r="J296">
        <v>-2</v>
      </c>
      <c r="K296">
        <v>0</v>
      </c>
      <c r="L296">
        <v>17</v>
      </c>
      <c r="M296">
        <v>17</v>
      </c>
      <c r="N296">
        <v>51</v>
      </c>
    </row>
    <row r="297" spans="1:14" hidden="1" x14ac:dyDescent="0.25">
      <c r="A297" s="120" t="s">
        <v>3463</v>
      </c>
      <c r="B297" s="120" t="s">
        <v>3588</v>
      </c>
      <c r="C297" s="120" t="s">
        <v>301</v>
      </c>
      <c r="D297" s="120" t="s">
        <v>1178</v>
      </c>
      <c r="E297" s="120" t="s">
        <v>319</v>
      </c>
      <c r="F297" s="120" t="s">
        <v>18</v>
      </c>
      <c r="G297" s="120">
        <v>13</v>
      </c>
      <c r="H297">
        <v>23</v>
      </c>
      <c r="I297" s="120" t="s">
        <v>11</v>
      </c>
      <c r="J297">
        <v>-10</v>
      </c>
      <c r="K297">
        <v>0</v>
      </c>
      <c r="L297">
        <v>17</v>
      </c>
      <c r="M297">
        <v>221</v>
      </c>
      <c r="N297">
        <v>391</v>
      </c>
    </row>
    <row r="298" spans="1:14" hidden="1" x14ac:dyDescent="0.25">
      <c r="A298" s="120" t="s">
        <v>3463</v>
      </c>
      <c r="B298" s="120" t="s">
        <v>3805</v>
      </c>
      <c r="C298" s="120" t="s">
        <v>301</v>
      </c>
      <c r="D298" s="120" t="s">
        <v>3806</v>
      </c>
      <c r="E298" s="120" t="s">
        <v>1782</v>
      </c>
      <c r="F298" s="120"/>
      <c r="G298" s="120">
        <v>0</v>
      </c>
      <c r="H298">
        <v>0</v>
      </c>
      <c r="I298" s="120" t="s">
        <v>11</v>
      </c>
      <c r="J298">
        <v>0</v>
      </c>
      <c r="K298">
        <v>1</v>
      </c>
      <c r="L298" s="121">
        <v>0</v>
      </c>
      <c r="M298" s="121">
        <v>0</v>
      </c>
      <c r="N298" s="121">
        <v>0</v>
      </c>
    </row>
    <row r="299" spans="1:14" hidden="1" x14ac:dyDescent="0.25">
      <c r="A299" s="120" t="s">
        <v>3591</v>
      </c>
      <c r="B299" s="120" t="s">
        <v>3592</v>
      </c>
      <c r="C299" s="120" t="s">
        <v>301</v>
      </c>
      <c r="D299" s="120" t="s">
        <v>1178</v>
      </c>
      <c r="E299" s="120" t="s">
        <v>43</v>
      </c>
      <c r="F299" s="120" t="s">
        <v>10</v>
      </c>
      <c r="G299" s="120">
        <v>0</v>
      </c>
      <c r="H299">
        <v>15</v>
      </c>
      <c r="I299" s="120" t="s">
        <v>11</v>
      </c>
      <c r="J299">
        <v>-15</v>
      </c>
      <c r="K299">
        <v>0</v>
      </c>
      <c r="L299">
        <v>17</v>
      </c>
      <c r="M299">
        <v>0</v>
      </c>
      <c r="N299">
        <v>255</v>
      </c>
    </row>
    <row r="300" spans="1:14" hidden="1" x14ac:dyDescent="0.25">
      <c r="A300" s="120" t="s">
        <v>3463</v>
      </c>
      <c r="B300" s="120" t="s">
        <v>3805</v>
      </c>
      <c r="C300" s="120" t="s">
        <v>301</v>
      </c>
      <c r="D300" s="120" t="s">
        <v>3470</v>
      </c>
      <c r="E300" s="120" t="s">
        <v>26</v>
      </c>
      <c r="F300" s="120" t="s">
        <v>18</v>
      </c>
      <c r="G300" s="120">
        <v>0</v>
      </c>
      <c r="H300">
        <v>0</v>
      </c>
      <c r="I300" s="120" t="s">
        <v>47</v>
      </c>
      <c r="J300">
        <v>0</v>
      </c>
      <c r="K300">
        <v>1</v>
      </c>
      <c r="L300" s="121">
        <v>0</v>
      </c>
      <c r="M300" s="121">
        <v>0</v>
      </c>
      <c r="N300" s="121">
        <v>0</v>
      </c>
    </row>
    <row r="301" spans="1:14" hidden="1" x14ac:dyDescent="0.25">
      <c r="A301" s="120" t="s">
        <v>3463</v>
      </c>
      <c r="B301" s="120" t="s">
        <v>3805</v>
      </c>
      <c r="C301" s="120" t="s">
        <v>301</v>
      </c>
      <c r="D301" s="120" t="s">
        <v>1133</v>
      </c>
      <c r="E301" s="120" t="s">
        <v>155</v>
      </c>
      <c r="F301" s="120" t="s">
        <v>14</v>
      </c>
      <c r="G301" s="120">
        <v>4</v>
      </c>
      <c r="H301">
        <v>4</v>
      </c>
      <c r="I301" s="120" t="s">
        <v>47</v>
      </c>
      <c r="J301">
        <v>0</v>
      </c>
      <c r="K301">
        <v>1</v>
      </c>
      <c r="L301" s="121">
        <v>69</v>
      </c>
      <c r="M301" s="121">
        <v>276</v>
      </c>
      <c r="N301" s="121">
        <v>276</v>
      </c>
    </row>
    <row r="302" spans="1:14" x14ac:dyDescent="0.25">
      <c r="A302" s="120" t="s">
        <v>3758</v>
      </c>
      <c r="B302" s="120" t="s">
        <v>3759</v>
      </c>
      <c r="C302" s="120" t="s">
        <v>301</v>
      </c>
      <c r="D302" s="120" t="s">
        <v>1178</v>
      </c>
      <c r="E302" s="120" t="s">
        <v>43</v>
      </c>
      <c r="F302" s="120" t="s">
        <v>10</v>
      </c>
      <c r="G302" s="120">
        <v>22</v>
      </c>
      <c r="H302">
        <v>18</v>
      </c>
      <c r="I302" s="120" t="s">
        <v>11</v>
      </c>
      <c r="J302">
        <v>4</v>
      </c>
      <c r="K302">
        <v>0</v>
      </c>
      <c r="L302">
        <v>17</v>
      </c>
      <c r="M302">
        <v>374</v>
      </c>
      <c r="N302">
        <v>306</v>
      </c>
    </row>
    <row r="303" spans="1:14" hidden="1" x14ac:dyDescent="0.25">
      <c r="A303" s="120" t="s">
        <v>3463</v>
      </c>
      <c r="B303" s="120" t="s">
        <v>3464</v>
      </c>
      <c r="C303" s="120" t="s">
        <v>301</v>
      </c>
      <c r="D303" s="120" t="s">
        <v>627</v>
      </c>
      <c r="E303" s="120" t="s">
        <v>58</v>
      </c>
      <c r="F303" s="120" t="s">
        <v>59</v>
      </c>
      <c r="G303" s="120">
        <v>49</v>
      </c>
      <c r="H303">
        <v>132</v>
      </c>
      <c r="I303" s="120" t="s">
        <v>11</v>
      </c>
      <c r="J303">
        <v>-83</v>
      </c>
      <c r="K303">
        <v>0</v>
      </c>
      <c r="L303">
        <v>3.8</v>
      </c>
      <c r="M303">
        <v>186.2</v>
      </c>
      <c r="N303">
        <v>501.59999999999997</v>
      </c>
    </row>
    <row r="304" spans="1:14" hidden="1" x14ac:dyDescent="0.25">
      <c r="A304" s="120" t="s">
        <v>3463</v>
      </c>
      <c r="B304" s="120" t="s">
        <v>3816</v>
      </c>
      <c r="C304" s="120" t="s">
        <v>301</v>
      </c>
      <c r="D304" s="120" t="s">
        <v>627</v>
      </c>
      <c r="E304" s="120" t="s">
        <v>58</v>
      </c>
      <c r="F304" s="120" t="s">
        <v>59</v>
      </c>
      <c r="G304" s="120">
        <v>0</v>
      </c>
      <c r="H304">
        <v>2</v>
      </c>
      <c r="I304" s="120" t="s">
        <v>11</v>
      </c>
      <c r="J304">
        <v>-2</v>
      </c>
      <c r="K304">
        <v>0</v>
      </c>
      <c r="L304">
        <v>3.8</v>
      </c>
      <c r="M304">
        <v>0</v>
      </c>
      <c r="N304">
        <v>7.6</v>
      </c>
    </row>
    <row r="305" spans="1:14" hidden="1" x14ac:dyDescent="0.25">
      <c r="A305" s="120" t="s">
        <v>3463</v>
      </c>
      <c r="B305" s="120" t="s">
        <v>3818</v>
      </c>
      <c r="C305" s="120" t="s">
        <v>301</v>
      </c>
      <c r="D305" s="120" t="s">
        <v>627</v>
      </c>
      <c r="E305" s="120" t="s">
        <v>58</v>
      </c>
      <c r="F305" s="120" t="s">
        <v>59</v>
      </c>
      <c r="G305" s="120">
        <v>0</v>
      </c>
      <c r="H305">
        <v>5</v>
      </c>
      <c r="I305" s="120" t="s">
        <v>47</v>
      </c>
      <c r="J305">
        <v>-5</v>
      </c>
      <c r="K305">
        <v>0</v>
      </c>
      <c r="L305">
        <v>3.8</v>
      </c>
      <c r="M305">
        <v>0</v>
      </c>
      <c r="N305">
        <v>19</v>
      </c>
    </row>
    <row r="306" spans="1:14" hidden="1" x14ac:dyDescent="0.25">
      <c r="A306" s="120" t="s">
        <v>3463</v>
      </c>
      <c r="B306" s="120" t="s">
        <v>3871</v>
      </c>
      <c r="C306" s="120" t="s">
        <v>301</v>
      </c>
      <c r="D306" s="120" t="s">
        <v>3477</v>
      </c>
      <c r="E306" s="120" t="s">
        <v>45</v>
      </c>
      <c r="F306" s="120" t="s">
        <v>18</v>
      </c>
      <c r="G306" s="120">
        <v>8</v>
      </c>
      <c r="H306">
        <v>0</v>
      </c>
      <c r="I306" s="120" t="s">
        <v>11</v>
      </c>
      <c r="J306">
        <v>8</v>
      </c>
      <c r="K306">
        <v>0</v>
      </c>
      <c r="L306">
        <v>0</v>
      </c>
      <c r="M306">
        <v>0</v>
      </c>
      <c r="N306">
        <v>0</v>
      </c>
    </row>
    <row r="307" spans="1:14" hidden="1" x14ac:dyDescent="0.25">
      <c r="A307" s="120" t="s">
        <v>3463</v>
      </c>
      <c r="B307" s="120" t="s">
        <v>3464</v>
      </c>
      <c r="C307" s="120" t="s">
        <v>301</v>
      </c>
      <c r="D307" s="120" t="s">
        <v>3477</v>
      </c>
      <c r="E307" s="120" t="s">
        <v>45</v>
      </c>
      <c r="F307" s="120" t="s">
        <v>18</v>
      </c>
      <c r="G307" s="120">
        <v>164</v>
      </c>
      <c r="H307">
        <v>0</v>
      </c>
      <c r="I307" s="120" t="s">
        <v>11</v>
      </c>
      <c r="J307">
        <v>164</v>
      </c>
      <c r="K307">
        <v>0</v>
      </c>
      <c r="L307">
        <v>0</v>
      </c>
      <c r="M307">
        <v>0</v>
      </c>
      <c r="N307">
        <v>0</v>
      </c>
    </row>
    <row r="308" spans="1:14" hidden="1" x14ac:dyDescent="0.25">
      <c r="A308" s="120" t="s">
        <v>3463</v>
      </c>
      <c r="B308" s="120" t="s">
        <v>3805</v>
      </c>
      <c r="C308" s="120" t="s">
        <v>301</v>
      </c>
      <c r="D308" s="120" t="s">
        <v>638</v>
      </c>
      <c r="E308" s="120" t="s">
        <v>60</v>
      </c>
      <c r="F308" s="120" t="s">
        <v>10</v>
      </c>
      <c r="G308" s="120">
        <v>7</v>
      </c>
      <c r="H308">
        <v>7</v>
      </c>
      <c r="I308" s="120" t="s">
        <v>57</v>
      </c>
      <c r="J308">
        <v>0</v>
      </c>
      <c r="K308">
        <v>1</v>
      </c>
      <c r="L308" s="121">
        <v>3.5</v>
      </c>
      <c r="M308" s="121">
        <v>24.5</v>
      </c>
      <c r="N308" s="121">
        <v>24.5</v>
      </c>
    </row>
    <row r="309" spans="1:14" hidden="1" x14ac:dyDescent="0.25">
      <c r="A309" s="120" t="s">
        <v>3463</v>
      </c>
      <c r="B309" s="120" t="s">
        <v>3510</v>
      </c>
      <c r="C309" s="120" t="s">
        <v>301</v>
      </c>
      <c r="D309" s="120" t="s">
        <v>3477</v>
      </c>
      <c r="E309" s="120" t="s">
        <v>165</v>
      </c>
      <c r="F309" s="120" t="s">
        <v>18</v>
      </c>
      <c r="G309" s="120">
        <v>6</v>
      </c>
      <c r="H309">
        <v>0</v>
      </c>
      <c r="I309" s="120" t="s">
        <v>11</v>
      </c>
      <c r="J309">
        <v>6</v>
      </c>
      <c r="K309">
        <v>0</v>
      </c>
      <c r="L309">
        <v>0</v>
      </c>
      <c r="M309">
        <v>0</v>
      </c>
      <c r="N309">
        <v>0</v>
      </c>
    </row>
    <row r="310" spans="1:14" hidden="1" x14ac:dyDescent="0.25">
      <c r="A310" s="120" t="s">
        <v>3463</v>
      </c>
      <c r="B310" s="120" t="s">
        <v>3818</v>
      </c>
      <c r="C310" s="120" t="s">
        <v>301</v>
      </c>
      <c r="D310" s="120" t="s">
        <v>3477</v>
      </c>
      <c r="E310" s="120" t="s">
        <v>45</v>
      </c>
      <c r="F310" s="120" t="s">
        <v>18</v>
      </c>
      <c r="G310" s="120">
        <v>164</v>
      </c>
      <c r="H310">
        <v>0</v>
      </c>
      <c r="I310" s="120" t="s">
        <v>11</v>
      </c>
      <c r="J310">
        <v>164</v>
      </c>
      <c r="K310">
        <v>0</v>
      </c>
      <c r="L310">
        <v>0</v>
      </c>
      <c r="M310">
        <v>0</v>
      </c>
      <c r="N310">
        <v>0</v>
      </c>
    </row>
    <row r="311" spans="1:14" hidden="1" x14ac:dyDescent="0.25">
      <c r="A311" s="120" t="s">
        <v>3463</v>
      </c>
      <c r="B311" s="120" t="s">
        <v>3528</v>
      </c>
      <c r="C311" s="120" t="s">
        <v>301</v>
      </c>
      <c r="D311" s="120" t="s">
        <v>3477</v>
      </c>
      <c r="E311" s="120" t="s">
        <v>210</v>
      </c>
      <c r="F311" s="120" t="s">
        <v>18</v>
      </c>
      <c r="G311" s="120">
        <v>7</v>
      </c>
      <c r="H311">
        <v>0</v>
      </c>
      <c r="I311" s="120" t="s">
        <v>11</v>
      </c>
      <c r="J311">
        <v>7</v>
      </c>
      <c r="K311">
        <v>0</v>
      </c>
      <c r="L311">
        <v>0</v>
      </c>
      <c r="M311">
        <v>0</v>
      </c>
      <c r="N311">
        <v>0</v>
      </c>
    </row>
    <row r="312" spans="1:14" hidden="1" x14ac:dyDescent="0.25">
      <c r="A312" s="120" t="s">
        <v>3463</v>
      </c>
      <c r="B312" s="120" t="s">
        <v>3588</v>
      </c>
      <c r="C312" s="120" t="s">
        <v>301</v>
      </c>
      <c r="D312" s="120" t="s">
        <v>3477</v>
      </c>
      <c r="E312" s="120" t="s">
        <v>165</v>
      </c>
      <c r="F312" s="120" t="s">
        <v>18</v>
      </c>
      <c r="G312" s="120">
        <v>10</v>
      </c>
      <c r="H312">
        <v>0</v>
      </c>
      <c r="I312" s="120" t="s">
        <v>47</v>
      </c>
      <c r="J312">
        <v>10</v>
      </c>
      <c r="K312">
        <v>0</v>
      </c>
      <c r="L312">
        <v>0</v>
      </c>
      <c r="M312">
        <v>0</v>
      </c>
      <c r="N312">
        <v>0</v>
      </c>
    </row>
    <row r="313" spans="1:14" hidden="1" x14ac:dyDescent="0.25">
      <c r="A313" s="120" t="s">
        <v>3463</v>
      </c>
      <c r="B313" s="120" t="s">
        <v>3805</v>
      </c>
      <c r="C313" s="120" t="s">
        <v>301</v>
      </c>
      <c r="D313" s="120" t="s">
        <v>3606</v>
      </c>
      <c r="E313" s="120" t="s">
        <v>397</v>
      </c>
      <c r="F313" s="120" t="s">
        <v>14</v>
      </c>
      <c r="G313" s="120">
        <v>0</v>
      </c>
      <c r="H313">
        <v>0</v>
      </c>
      <c r="I313" s="120" t="s">
        <v>57</v>
      </c>
      <c r="J313">
        <v>0</v>
      </c>
      <c r="K313">
        <v>1</v>
      </c>
      <c r="L313" s="121">
        <v>0</v>
      </c>
      <c r="M313" s="121">
        <v>0</v>
      </c>
      <c r="N313" s="121">
        <v>0</v>
      </c>
    </row>
    <row r="314" spans="1:14" hidden="1" x14ac:dyDescent="0.25">
      <c r="A314" s="120" t="s">
        <v>3463</v>
      </c>
      <c r="B314" s="120" t="s">
        <v>3464</v>
      </c>
      <c r="C314" s="120" t="s">
        <v>301</v>
      </c>
      <c r="D314" s="120" t="s">
        <v>638</v>
      </c>
      <c r="E314" s="120" t="s">
        <v>60</v>
      </c>
      <c r="F314" s="120" t="s">
        <v>10</v>
      </c>
      <c r="G314" s="120">
        <v>122</v>
      </c>
      <c r="H314">
        <v>243</v>
      </c>
      <c r="I314" s="120" t="s">
        <v>47</v>
      </c>
      <c r="J314">
        <v>-121</v>
      </c>
      <c r="K314">
        <v>0</v>
      </c>
      <c r="L314">
        <v>3.5</v>
      </c>
      <c r="M314">
        <v>427</v>
      </c>
      <c r="N314">
        <v>850.5</v>
      </c>
    </row>
    <row r="315" spans="1:14" hidden="1" x14ac:dyDescent="0.25">
      <c r="A315" s="120" t="s">
        <v>3463</v>
      </c>
      <c r="B315" s="120" t="s">
        <v>3816</v>
      </c>
      <c r="C315" s="120" t="s">
        <v>301</v>
      </c>
      <c r="D315" s="120" t="s">
        <v>639</v>
      </c>
      <c r="E315" s="120" t="s">
        <v>137</v>
      </c>
      <c r="F315" s="120" t="s">
        <v>18</v>
      </c>
      <c r="G315" s="120">
        <v>0</v>
      </c>
      <c r="H315">
        <v>2</v>
      </c>
      <c r="I315" s="120" t="s">
        <v>57</v>
      </c>
      <c r="J315">
        <v>-2</v>
      </c>
      <c r="K315">
        <v>0</v>
      </c>
      <c r="L315">
        <v>3.8</v>
      </c>
      <c r="M315">
        <v>0</v>
      </c>
      <c r="N315">
        <v>7.6</v>
      </c>
    </row>
    <row r="316" spans="1:14" hidden="1" x14ac:dyDescent="0.25">
      <c r="A316" s="120" t="s">
        <v>3463</v>
      </c>
      <c r="B316" s="120" t="s">
        <v>3464</v>
      </c>
      <c r="C316" s="120" t="s">
        <v>301</v>
      </c>
      <c r="D316" s="120" t="s">
        <v>1143</v>
      </c>
      <c r="E316" s="120" t="s">
        <v>54</v>
      </c>
      <c r="F316" s="120" t="s">
        <v>14</v>
      </c>
      <c r="G316" s="120">
        <v>56</v>
      </c>
      <c r="H316">
        <v>87</v>
      </c>
      <c r="I316" s="120" t="s">
        <v>11</v>
      </c>
      <c r="J316">
        <v>-31</v>
      </c>
      <c r="K316">
        <v>0</v>
      </c>
      <c r="L316">
        <v>17</v>
      </c>
      <c r="M316">
        <v>952</v>
      </c>
      <c r="N316">
        <v>1479</v>
      </c>
    </row>
    <row r="317" spans="1:14" hidden="1" x14ac:dyDescent="0.25">
      <c r="A317" s="120" t="s">
        <v>3463</v>
      </c>
      <c r="B317" s="120" t="s">
        <v>3805</v>
      </c>
      <c r="C317" s="120" t="s">
        <v>301</v>
      </c>
      <c r="D317" s="120" t="s">
        <v>718</v>
      </c>
      <c r="E317" s="120" t="s">
        <v>719</v>
      </c>
      <c r="F317" s="120" t="s">
        <v>14</v>
      </c>
      <c r="G317" s="120">
        <v>1</v>
      </c>
      <c r="H317">
        <v>1</v>
      </c>
      <c r="I317" s="120" t="s">
        <v>47</v>
      </c>
      <c r="J317">
        <v>0</v>
      </c>
      <c r="K317">
        <v>1</v>
      </c>
      <c r="L317" s="121">
        <v>9</v>
      </c>
      <c r="M317" s="121">
        <v>9</v>
      </c>
      <c r="N317" s="121">
        <v>9</v>
      </c>
    </row>
    <row r="318" spans="1:14" hidden="1" x14ac:dyDescent="0.25">
      <c r="A318" s="120" t="s">
        <v>3463</v>
      </c>
      <c r="B318" s="120" t="s">
        <v>3816</v>
      </c>
      <c r="C318" s="120" t="s">
        <v>301</v>
      </c>
      <c r="D318" s="120" t="s">
        <v>1143</v>
      </c>
      <c r="E318" s="120" t="s">
        <v>54</v>
      </c>
      <c r="F318" s="120" t="s">
        <v>14</v>
      </c>
      <c r="G318" s="120">
        <v>0</v>
      </c>
      <c r="H318">
        <v>3</v>
      </c>
      <c r="I318" s="120" t="s">
        <v>47</v>
      </c>
      <c r="J318">
        <v>-3</v>
      </c>
      <c r="K318">
        <v>0</v>
      </c>
      <c r="L318">
        <v>17</v>
      </c>
      <c r="M318">
        <v>0</v>
      </c>
      <c r="N318">
        <v>51</v>
      </c>
    </row>
    <row r="319" spans="1:14" hidden="1" x14ac:dyDescent="0.25">
      <c r="A319" s="120" t="s">
        <v>3463</v>
      </c>
      <c r="B319" s="120" t="s">
        <v>3818</v>
      </c>
      <c r="C319" s="120" t="s">
        <v>301</v>
      </c>
      <c r="D319" s="120" t="s">
        <v>1143</v>
      </c>
      <c r="E319" s="120" t="s">
        <v>54</v>
      </c>
      <c r="F319" s="120" t="s">
        <v>14</v>
      </c>
      <c r="G319" s="120">
        <v>56</v>
      </c>
      <c r="H319">
        <v>4</v>
      </c>
      <c r="I319" s="120" t="s">
        <v>11</v>
      </c>
      <c r="J319">
        <v>52</v>
      </c>
      <c r="K319">
        <v>0</v>
      </c>
      <c r="L319">
        <v>17</v>
      </c>
      <c r="M319">
        <v>952</v>
      </c>
      <c r="N319">
        <v>68</v>
      </c>
    </row>
    <row r="320" spans="1:14" hidden="1" x14ac:dyDescent="0.25">
      <c r="A320" s="120" t="s">
        <v>3463</v>
      </c>
      <c r="B320" s="120" t="s">
        <v>3528</v>
      </c>
      <c r="C320" s="120" t="s">
        <v>69</v>
      </c>
      <c r="D320" s="120" t="s">
        <v>1143</v>
      </c>
      <c r="E320" s="120" t="s">
        <v>54</v>
      </c>
      <c r="F320" s="120" t="s">
        <v>14</v>
      </c>
      <c r="G320" s="120">
        <v>0</v>
      </c>
      <c r="H320">
        <v>0</v>
      </c>
      <c r="I320" s="120" t="s">
        <v>47</v>
      </c>
      <c r="J320">
        <v>0</v>
      </c>
      <c r="K320">
        <v>1</v>
      </c>
      <c r="L320" s="121">
        <v>17</v>
      </c>
      <c r="M320" s="121">
        <v>0</v>
      </c>
      <c r="N320" s="121">
        <v>0</v>
      </c>
    </row>
    <row r="321" spans="1:14" hidden="1" x14ac:dyDescent="0.25">
      <c r="A321" s="120" t="s">
        <v>3591</v>
      </c>
      <c r="B321" s="120" t="s">
        <v>3698</v>
      </c>
      <c r="C321" s="120" t="s">
        <v>301</v>
      </c>
      <c r="D321" s="120" t="s">
        <v>1143</v>
      </c>
      <c r="E321" s="120" t="s">
        <v>54</v>
      </c>
      <c r="F321" s="120" t="s">
        <v>14</v>
      </c>
      <c r="G321" s="120">
        <v>0</v>
      </c>
      <c r="H321">
        <v>2</v>
      </c>
      <c r="I321" s="120" t="s">
        <v>11</v>
      </c>
      <c r="J321">
        <v>-2</v>
      </c>
      <c r="K321">
        <v>0</v>
      </c>
      <c r="L321">
        <v>17</v>
      </c>
      <c r="M321">
        <v>0</v>
      </c>
      <c r="N321">
        <v>34</v>
      </c>
    </row>
    <row r="322" spans="1:14" hidden="1" x14ac:dyDescent="0.25">
      <c r="A322" s="120" t="s">
        <v>3591</v>
      </c>
      <c r="B322" s="120" t="s">
        <v>3592</v>
      </c>
      <c r="C322" s="120" t="s">
        <v>301</v>
      </c>
      <c r="D322" s="120" t="s">
        <v>1143</v>
      </c>
      <c r="E322" s="120" t="s">
        <v>54</v>
      </c>
      <c r="F322" s="120" t="s">
        <v>18</v>
      </c>
      <c r="G322" s="120">
        <v>0</v>
      </c>
      <c r="H322">
        <v>8</v>
      </c>
      <c r="I322" s="120" t="s">
        <v>11</v>
      </c>
      <c r="J322">
        <v>-8</v>
      </c>
      <c r="K322">
        <v>0</v>
      </c>
      <c r="L322">
        <v>17</v>
      </c>
      <c r="M322">
        <v>0</v>
      </c>
      <c r="N322">
        <v>136</v>
      </c>
    </row>
    <row r="323" spans="1:14" hidden="1" x14ac:dyDescent="0.25">
      <c r="A323" s="120" t="s">
        <v>3591</v>
      </c>
      <c r="B323" s="120" t="s">
        <v>3693</v>
      </c>
      <c r="C323" s="120" t="s">
        <v>301</v>
      </c>
      <c r="D323" s="120" t="s">
        <v>1143</v>
      </c>
      <c r="E323" s="120" t="s">
        <v>54</v>
      </c>
      <c r="F323" s="120" t="s">
        <v>14</v>
      </c>
      <c r="G323" s="120">
        <v>3</v>
      </c>
      <c r="H323">
        <v>5</v>
      </c>
      <c r="I323" s="120" t="s">
        <v>11</v>
      </c>
      <c r="J323">
        <v>-2</v>
      </c>
      <c r="K323">
        <v>0</v>
      </c>
      <c r="L323">
        <v>17</v>
      </c>
      <c r="M323">
        <v>51</v>
      </c>
      <c r="N323">
        <v>85</v>
      </c>
    </row>
    <row r="324" spans="1:14" hidden="1" x14ac:dyDescent="0.25">
      <c r="A324" s="120" t="s">
        <v>3591</v>
      </c>
      <c r="B324" s="120" t="s">
        <v>3709</v>
      </c>
      <c r="C324" s="120" t="s">
        <v>301</v>
      </c>
      <c r="D324" s="120" t="s">
        <v>1143</v>
      </c>
      <c r="E324" s="120" t="s">
        <v>54</v>
      </c>
      <c r="F324" s="120" t="s">
        <v>10</v>
      </c>
      <c r="G324" s="120">
        <v>5</v>
      </c>
      <c r="H324">
        <v>4</v>
      </c>
      <c r="I324" s="120" t="s">
        <v>11</v>
      </c>
      <c r="J324">
        <v>1</v>
      </c>
      <c r="K324">
        <v>0</v>
      </c>
      <c r="L324">
        <v>17</v>
      </c>
      <c r="M324">
        <v>85</v>
      </c>
      <c r="N324">
        <v>68</v>
      </c>
    </row>
    <row r="325" spans="1:14" hidden="1" x14ac:dyDescent="0.25">
      <c r="A325" s="120" t="s">
        <v>3463</v>
      </c>
      <c r="B325" s="120" t="s">
        <v>3805</v>
      </c>
      <c r="C325" s="120" t="s">
        <v>301</v>
      </c>
      <c r="D325" s="120" t="s">
        <v>634</v>
      </c>
      <c r="E325" s="120" t="s">
        <v>136</v>
      </c>
      <c r="F325" s="120" t="s">
        <v>18</v>
      </c>
      <c r="G325" s="120">
        <v>2</v>
      </c>
      <c r="H325">
        <v>2</v>
      </c>
      <c r="I325" s="120" t="s">
        <v>11</v>
      </c>
      <c r="J325">
        <v>0</v>
      </c>
      <c r="K325">
        <v>1</v>
      </c>
      <c r="L325" s="121">
        <v>6.9</v>
      </c>
      <c r="M325" s="121">
        <v>13.8</v>
      </c>
      <c r="N325" s="121">
        <v>13.8</v>
      </c>
    </row>
    <row r="326" spans="1:14" hidden="1" x14ac:dyDescent="0.25">
      <c r="A326" s="120" t="s">
        <v>3463</v>
      </c>
      <c r="B326" s="120" t="s">
        <v>3464</v>
      </c>
      <c r="C326" s="120" t="s">
        <v>301</v>
      </c>
      <c r="D326" s="120" t="s">
        <v>3481</v>
      </c>
      <c r="E326" s="120" t="s">
        <v>55</v>
      </c>
      <c r="F326" s="120" t="s">
        <v>18</v>
      </c>
      <c r="G326" s="120">
        <v>13</v>
      </c>
      <c r="H326">
        <v>0</v>
      </c>
      <c r="I326" s="120" t="s">
        <v>47</v>
      </c>
      <c r="J326">
        <v>13</v>
      </c>
      <c r="K326">
        <v>0</v>
      </c>
      <c r="L326">
        <v>0</v>
      </c>
      <c r="M326">
        <v>0</v>
      </c>
      <c r="N326">
        <v>0</v>
      </c>
    </row>
    <row r="327" spans="1:14" hidden="1" x14ac:dyDescent="0.25">
      <c r="A327" s="120" t="s">
        <v>3463</v>
      </c>
      <c r="B327" s="120" t="s">
        <v>3805</v>
      </c>
      <c r="C327" s="120" t="s">
        <v>301</v>
      </c>
      <c r="D327" s="120" t="s">
        <v>1129</v>
      </c>
      <c r="E327" s="120" t="s">
        <v>154</v>
      </c>
      <c r="F327" s="120" t="s">
        <v>14</v>
      </c>
      <c r="G327" s="120">
        <v>4</v>
      </c>
      <c r="H327">
        <v>4</v>
      </c>
      <c r="I327" s="120" t="s">
        <v>57</v>
      </c>
      <c r="J327">
        <v>0</v>
      </c>
      <c r="K327">
        <v>1</v>
      </c>
      <c r="L327" s="121">
        <v>13.6</v>
      </c>
      <c r="M327" s="121">
        <v>54.4</v>
      </c>
      <c r="N327" s="121">
        <v>54.4</v>
      </c>
    </row>
    <row r="328" spans="1:14" hidden="1" x14ac:dyDescent="0.25">
      <c r="A328" s="120" t="s">
        <v>3463</v>
      </c>
      <c r="B328" s="120" t="s">
        <v>3464</v>
      </c>
      <c r="C328" s="120" t="s">
        <v>301</v>
      </c>
      <c r="D328" s="120" t="s">
        <v>692</v>
      </c>
      <c r="E328" s="120" t="s">
        <v>61</v>
      </c>
      <c r="F328" s="120" t="s">
        <v>10</v>
      </c>
      <c r="G328" s="120">
        <v>11</v>
      </c>
      <c r="H328">
        <v>3</v>
      </c>
      <c r="I328" s="120" t="s">
        <v>57</v>
      </c>
      <c r="J328">
        <v>8</v>
      </c>
      <c r="K328">
        <v>0</v>
      </c>
      <c r="L328">
        <v>15</v>
      </c>
      <c r="M328">
        <v>165</v>
      </c>
      <c r="N328">
        <v>45</v>
      </c>
    </row>
    <row r="329" spans="1:14" hidden="1" x14ac:dyDescent="0.25">
      <c r="A329" s="120" t="s">
        <v>3591</v>
      </c>
      <c r="B329" s="120" t="s">
        <v>3592</v>
      </c>
      <c r="C329" s="120" t="s">
        <v>301</v>
      </c>
      <c r="D329" s="120" t="s">
        <v>692</v>
      </c>
      <c r="E329" s="120" t="s">
        <v>61</v>
      </c>
      <c r="F329" s="120" t="s">
        <v>10</v>
      </c>
      <c r="G329" s="120">
        <v>4</v>
      </c>
      <c r="H329">
        <v>5</v>
      </c>
      <c r="I329" s="120" t="s">
        <v>57</v>
      </c>
      <c r="J329">
        <v>-1</v>
      </c>
      <c r="K329">
        <v>0</v>
      </c>
      <c r="L329" s="121">
        <v>15</v>
      </c>
      <c r="M329" s="121">
        <v>60</v>
      </c>
      <c r="N329" s="121">
        <v>75</v>
      </c>
    </row>
    <row r="330" spans="1:14" hidden="1" x14ac:dyDescent="0.25">
      <c r="A330" s="120" t="s">
        <v>3463</v>
      </c>
      <c r="B330" s="120" t="s">
        <v>3464</v>
      </c>
      <c r="C330" s="120" t="s">
        <v>301</v>
      </c>
      <c r="D330" s="120" t="s">
        <v>695</v>
      </c>
      <c r="E330" s="120" t="s">
        <v>62</v>
      </c>
      <c r="F330" s="120" t="s">
        <v>10</v>
      </c>
      <c r="G330" s="120">
        <v>31</v>
      </c>
      <c r="H330">
        <v>19</v>
      </c>
      <c r="I330" s="120" t="s">
        <v>11</v>
      </c>
      <c r="J330">
        <v>12</v>
      </c>
      <c r="K330">
        <v>0</v>
      </c>
      <c r="L330">
        <v>15.9</v>
      </c>
      <c r="M330">
        <v>492.90000000000003</v>
      </c>
      <c r="N330">
        <v>302.10000000000002</v>
      </c>
    </row>
    <row r="331" spans="1:14" hidden="1" x14ac:dyDescent="0.25">
      <c r="A331" s="120" t="s">
        <v>3463</v>
      </c>
      <c r="B331" s="120" t="s">
        <v>3805</v>
      </c>
      <c r="C331" s="120" t="s">
        <v>301</v>
      </c>
      <c r="D331" s="120" t="s">
        <v>3810</v>
      </c>
      <c r="E331" s="120" t="s">
        <v>2523</v>
      </c>
      <c r="F331" s="120"/>
      <c r="G331" s="120">
        <v>0</v>
      </c>
      <c r="H331">
        <v>0</v>
      </c>
      <c r="I331" s="120" t="s">
        <v>57</v>
      </c>
      <c r="J331">
        <v>0</v>
      </c>
      <c r="K331">
        <v>1</v>
      </c>
      <c r="L331" s="121">
        <v>0</v>
      </c>
      <c r="M331" s="121">
        <v>0</v>
      </c>
      <c r="N331" s="121">
        <v>0</v>
      </c>
    </row>
    <row r="332" spans="1:14" hidden="1" x14ac:dyDescent="0.25">
      <c r="A332" s="120" t="s">
        <v>3591</v>
      </c>
      <c r="B332" s="120" t="s">
        <v>3698</v>
      </c>
      <c r="C332" s="120" t="s">
        <v>301</v>
      </c>
      <c r="D332" s="120" t="s">
        <v>695</v>
      </c>
      <c r="E332" s="120" t="s">
        <v>62</v>
      </c>
      <c r="F332" s="120" t="s">
        <v>10</v>
      </c>
      <c r="G332" s="120">
        <v>0</v>
      </c>
      <c r="H332">
        <v>1</v>
      </c>
      <c r="I332" s="120" t="s">
        <v>47</v>
      </c>
      <c r="J332">
        <v>-1</v>
      </c>
      <c r="K332">
        <v>0</v>
      </c>
      <c r="L332">
        <v>15.9</v>
      </c>
      <c r="M332">
        <v>0</v>
      </c>
      <c r="N332">
        <v>15.9</v>
      </c>
    </row>
    <row r="333" spans="1:14" hidden="1" x14ac:dyDescent="0.25">
      <c r="A333" s="120" t="s">
        <v>3591</v>
      </c>
      <c r="B333" s="120" t="s">
        <v>3592</v>
      </c>
      <c r="C333" s="120" t="s">
        <v>301</v>
      </c>
      <c r="D333" s="120" t="s">
        <v>695</v>
      </c>
      <c r="E333" s="120" t="s">
        <v>62</v>
      </c>
      <c r="F333" s="120" t="s">
        <v>10</v>
      </c>
      <c r="G333" s="120">
        <v>0</v>
      </c>
      <c r="H333">
        <v>1</v>
      </c>
      <c r="I333" s="120" t="s">
        <v>47</v>
      </c>
      <c r="J333">
        <v>-1</v>
      </c>
      <c r="K333">
        <v>0</v>
      </c>
      <c r="L333">
        <v>15.9</v>
      </c>
      <c r="M333">
        <v>0</v>
      </c>
      <c r="N333">
        <v>15.9</v>
      </c>
    </row>
    <row r="334" spans="1:14" hidden="1" x14ac:dyDescent="0.25">
      <c r="A334" s="120" t="s">
        <v>3463</v>
      </c>
      <c r="B334" s="120" t="s">
        <v>3464</v>
      </c>
      <c r="C334" s="120" t="s">
        <v>301</v>
      </c>
      <c r="D334" s="120" t="s">
        <v>3482</v>
      </c>
      <c r="E334" s="120" t="s">
        <v>63</v>
      </c>
      <c r="F334" s="120" t="s">
        <v>14</v>
      </c>
      <c r="G334" s="120">
        <v>24</v>
      </c>
      <c r="H334">
        <v>0</v>
      </c>
      <c r="I334" s="120" t="s">
        <v>11</v>
      </c>
      <c r="J334">
        <v>24</v>
      </c>
      <c r="K334">
        <v>0</v>
      </c>
      <c r="L334">
        <v>0</v>
      </c>
      <c r="M334">
        <v>0</v>
      </c>
      <c r="N334">
        <v>0</v>
      </c>
    </row>
    <row r="335" spans="1:14" hidden="1" x14ac:dyDescent="0.25">
      <c r="A335" s="120" t="s">
        <v>3463</v>
      </c>
      <c r="B335" s="120" t="s">
        <v>3464</v>
      </c>
      <c r="C335" s="120" t="s">
        <v>301</v>
      </c>
      <c r="D335" s="120" t="s">
        <v>3485</v>
      </c>
      <c r="E335" s="120" t="s">
        <v>66</v>
      </c>
      <c r="F335" s="120" t="s">
        <v>14</v>
      </c>
      <c r="G335" s="120">
        <v>107</v>
      </c>
      <c r="H335">
        <v>0</v>
      </c>
      <c r="I335" s="120" t="s">
        <v>57</v>
      </c>
      <c r="J335">
        <v>107</v>
      </c>
      <c r="K335">
        <v>0</v>
      </c>
      <c r="L335">
        <v>0</v>
      </c>
      <c r="M335">
        <v>0</v>
      </c>
      <c r="N335">
        <v>0</v>
      </c>
    </row>
    <row r="336" spans="1:14" hidden="1" x14ac:dyDescent="0.25">
      <c r="A336" s="120" t="s">
        <v>3463</v>
      </c>
      <c r="B336" s="120" t="s">
        <v>3805</v>
      </c>
      <c r="C336" s="120" t="s">
        <v>301</v>
      </c>
      <c r="D336" s="120" t="s">
        <v>3811</v>
      </c>
      <c r="E336" s="120" t="s">
        <v>1821</v>
      </c>
      <c r="F336" s="120"/>
      <c r="G336" s="120">
        <v>0</v>
      </c>
      <c r="H336">
        <v>0</v>
      </c>
      <c r="I336" s="120" t="s">
        <v>57</v>
      </c>
      <c r="J336">
        <v>0</v>
      </c>
      <c r="K336">
        <v>1</v>
      </c>
      <c r="L336" s="121">
        <v>0</v>
      </c>
      <c r="M336" s="121">
        <v>0</v>
      </c>
      <c r="N336" s="121">
        <v>0</v>
      </c>
    </row>
    <row r="337" spans="1:14" hidden="1" x14ac:dyDescent="0.25">
      <c r="A337" s="120" t="s">
        <v>3463</v>
      </c>
      <c r="B337" s="120" t="s">
        <v>3464</v>
      </c>
      <c r="C337" s="120" t="s">
        <v>301</v>
      </c>
      <c r="D337" s="120" t="s">
        <v>1776</v>
      </c>
      <c r="E337" s="120" t="s">
        <v>67</v>
      </c>
      <c r="F337" s="120" t="s">
        <v>10</v>
      </c>
      <c r="G337" s="120">
        <v>74</v>
      </c>
      <c r="H337">
        <v>70</v>
      </c>
      <c r="I337" s="120" t="s">
        <v>11</v>
      </c>
      <c r="J337">
        <v>4</v>
      </c>
      <c r="K337">
        <v>0</v>
      </c>
      <c r="L337">
        <v>26.9</v>
      </c>
      <c r="M337">
        <v>1990.6</v>
      </c>
      <c r="N337">
        <v>1883</v>
      </c>
    </row>
    <row r="338" spans="1:14" hidden="1" x14ac:dyDescent="0.25">
      <c r="A338" s="120" t="s">
        <v>3591</v>
      </c>
      <c r="B338" s="120" t="s">
        <v>3709</v>
      </c>
      <c r="C338" s="120" t="s">
        <v>301</v>
      </c>
      <c r="D338" s="120" t="s">
        <v>558</v>
      </c>
      <c r="E338" s="120" t="s">
        <v>16</v>
      </c>
      <c r="F338" s="120" t="s">
        <v>10</v>
      </c>
      <c r="G338" s="120">
        <v>2</v>
      </c>
      <c r="H338">
        <v>2</v>
      </c>
      <c r="I338" s="120" t="s">
        <v>11</v>
      </c>
      <c r="J338">
        <v>0</v>
      </c>
      <c r="K338">
        <v>1</v>
      </c>
      <c r="L338" s="121">
        <v>35</v>
      </c>
      <c r="M338" s="121">
        <v>70</v>
      </c>
      <c r="N338" s="121">
        <v>70</v>
      </c>
    </row>
    <row r="339" spans="1:14" hidden="1" x14ac:dyDescent="0.25">
      <c r="A339" s="120" t="s">
        <v>3591</v>
      </c>
      <c r="B339" s="120" t="s">
        <v>3592</v>
      </c>
      <c r="C339" s="120" t="s">
        <v>301</v>
      </c>
      <c r="D339" s="120" t="s">
        <v>1776</v>
      </c>
      <c r="E339" s="120" t="s">
        <v>67</v>
      </c>
      <c r="F339" s="120" t="s">
        <v>10</v>
      </c>
      <c r="G339" s="120">
        <v>0</v>
      </c>
      <c r="H339">
        <v>21</v>
      </c>
      <c r="I339" s="120" t="s">
        <v>11</v>
      </c>
      <c r="J339">
        <v>-21</v>
      </c>
      <c r="K339">
        <v>0</v>
      </c>
      <c r="L339">
        <v>26.9</v>
      </c>
      <c r="M339">
        <v>0</v>
      </c>
      <c r="N339">
        <v>564.9</v>
      </c>
    </row>
    <row r="340" spans="1:14" hidden="1" x14ac:dyDescent="0.25">
      <c r="A340" s="120" t="s">
        <v>3591</v>
      </c>
      <c r="B340" s="120" t="s">
        <v>3693</v>
      </c>
      <c r="C340" s="120" t="s">
        <v>301</v>
      </c>
      <c r="D340" s="120" t="s">
        <v>1776</v>
      </c>
      <c r="E340" s="120" t="s">
        <v>67</v>
      </c>
      <c r="F340" s="120" t="s">
        <v>10</v>
      </c>
      <c r="G340" s="120">
        <v>2</v>
      </c>
      <c r="H340">
        <v>1</v>
      </c>
      <c r="I340" s="120" t="s">
        <v>47</v>
      </c>
      <c r="J340">
        <v>1</v>
      </c>
      <c r="K340">
        <v>0</v>
      </c>
      <c r="L340">
        <v>26.9</v>
      </c>
      <c r="M340">
        <v>53.8</v>
      </c>
      <c r="N340">
        <v>26.9</v>
      </c>
    </row>
    <row r="341" spans="1:14" hidden="1" x14ac:dyDescent="0.25">
      <c r="A341" s="120" t="s">
        <v>3463</v>
      </c>
      <c r="B341" s="120" t="s">
        <v>3464</v>
      </c>
      <c r="C341" s="120" t="s">
        <v>301</v>
      </c>
      <c r="D341" s="120" t="s">
        <v>3486</v>
      </c>
      <c r="E341" s="120" t="s">
        <v>68</v>
      </c>
      <c r="F341" s="120" t="s">
        <v>10</v>
      </c>
      <c r="G341" s="120">
        <v>30</v>
      </c>
      <c r="H341">
        <v>0</v>
      </c>
      <c r="I341" s="120" t="s">
        <v>11</v>
      </c>
      <c r="J341">
        <v>30</v>
      </c>
      <c r="K341">
        <v>0</v>
      </c>
      <c r="L341">
        <v>0</v>
      </c>
      <c r="M341">
        <v>0</v>
      </c>
      <c r="N341">
        <v>0</v>
      </c>
    </row>
    <row r="342" spans="1:14" hidden="1" x14ac:dyDescent="0.25">
      <c r="A342" s="120" t="s">
        <v>3591</v>
      </c>
      <c r="B342" s="120" t="s">
        <v>3592</v>
      </c>
      <c r="C342" s="120" t="s">
        <v>301</v>
      </c>
      <c r="D342" s="120" t="s">
        <v>688</v>
      </c>
      <c r="E342" s="120" t="s">
        <v>411</v>
      </c>
      <c r="F342" s="120" t="s">
        <v>18</v>
      </c>
      <c r="G342" s="120">
        <v>0</v>
      </c>
      <c r="H342">
        <v>4</v>
      </c>
      <c r="I342" s="120" t="s">
        <v>47</v>
      </c>
      <c r="J342">
        <v>-4</v>
      </c>
      <c r="K342">
        <v>0</v>
      </c>
      <c r="L342">
        <v>13.3</v>
      </c>
      <c r="M342">
        <v>0</v>
      </c>
      <c r="N342">
        <v>53.2</v>
      </c>
    </row>
    <row r="343" spans="1:14" hidden="1" x14ac:dyDescent="0.25">
      <c r="A343" s="120" t="s">
        <v>3591</v>
      </c>
      <c r="B343" s="120" t="s">
        <v>3709</v>
      </c>
      <c r="C343" s="120" t="s">
        <v>301</v>
      </c>
      <c r="D343" s="120" t="s">
        <v>688</v>
      </c>
      <c r="E343" s="120" t="s">
        <v>411</v>
      </c>
      <c r="F343" s="120" t="s">
        <v>14</v>
      </c>
      <c r="G343" s="120">
        <v>4</v>
      </c>
      <c r="H343">
        <v>3</v>
      </c>
      <c r="I343" s="120" t="s">
        <v>47</v>
      </c>
      <c r="J343">
        <v>1</v>
      </c>
      <c r="K343">
        <v>0</v>
      </c>
      <c r="L343">
        <v>13.3</v>
      </c>
      <c r="M343">
        <v>53.2</v>
      </c>
      <c r="N343">
        <v>39.900000000000006</v>
      </c>
    </row>
    <row r="344" spans="1:14" hidden="1" x14ac:dyDescent="0.25">
      <c r="A344" s="120" t="s">
        <v>3591</v>
      </c>
      <c r="B344" s="120" t="s">
        <v>3709</v>
      </c>
      <c r="C344" s="120" t="s">
        <v>301</v>
      </c>
      <c r="D344" s="120" t="s">
        <v>561</v>
      </c>
      <c r="E344" s="120" t="s">
        <v>384</v>
      </c>
      <c r="F344" s="120" t="s">
        <v>14</v>
      </c>
      <c r="G344" s="120">
        <v>1</v>
      </c>
      <c r="H344">
        <v>1</v>
      </c>
      <c r="I344" s="120" t="s">
        <v>11</v>
      </c>
      <c r="J344">
        <v>0</v>
      </c>
      <c r="K344">
        <v>1</v>
      </c>
      <c r="L344" s="121">
        <v>18</v>
      </c>
      <c r="M344" s="121">
        <v>18</v>
      </c>
      <c r="N344" s="121">
        <v>18</v>
      </c>
    </row>
    <row r="345" spans="1:14" hidden="1" x14ac:dyDescent="0.25">
      <c r="A345" s="120" t="s">
        <v>3591</v>
      </c>
      <c r="B345" s="120" t="s">
        <v>3709</v>
      </c>
      <c r="C345" s="120" t="s">
        <v>301</v>
      </c>
      <c r="D345" s="120" t="s">
        <v>707</v>
      </c>
      <c r="E345" s="120" t="s">
        <v>429</v>
      </c>
      <c r="F345" s="120" t="s">
        <v>10</v>
      </c>
      <c r="G345" s="120">
        <v>2</v>
      </c>
      <c r="H345">
        <v>2</v>
      </c>
      <c r="I345" s="120" t="s">
        <v>11</v>
      </c>
      <c r="J345">
        <v>0</v>
      </c>
      <c r="K345">
        <v>1</v>
      </c>
      <c r="L345" s="121">
        <v>5.9</v>
      </c>
      <c r="M345" s="121">
        <v>11.8</v>
      </c>
      <c r="N345" s="121">
        <v>11.8</v>
      </c>
    </row>
    <row r="346" spans="1:14" hidden="1" x14ac:dyDescent="0.25">
      <c r="A346" s="120" t="s">
        <v>3591</v>
      </c>
      <c r="B346" s="120" t="s">
        <v>3709</v>
      </c>
      <c r="C346" s="120" t="s">
        <v>301</v>
      </c>
      <c r="D346" s="120" t="s">
        <v>3694</v>
      </c>
      <c r="E346" s="120" t="s">
        <v>1783</v>
      </c>
      <c r="F346" s="120" t="s">
        <v>14</v>
      </c>
      <c r="G346" s="120">
        <v>0</v>
      </c>
      <c r="H346">
        <v>0</v>
      </c>
      <c r="I346" s="120" t="s">
        <v>11</v>
      </c>
      <c r="J346">
        <v>0</v>
      </c>
      <c r="K346">
        <v>1</v>
      </c>
      <c r="L346" s="121">
        <v>0</v>
      </c>
      <c r="M346" s="121">
        <v>0</v>
      </c>
      <c r="N346" s="121">
        <v>0</v>
      </c>
    </row>
    <row r="347" spans="1:14" hidden="1" x14ac:dyDescent="0.25">
      <c r="A347" s="120" t="s">
        <v>3591</v>
      </c>
      <c r="B347" s="120" t="s">
        <v>3592</v>
      </c>
      <c r="C347" s="120" t="s">
        <v>301</v>
      </c>
      <c r="D347" s="120" t="s">
        <v>689</v>
      </c>
      <c r="E347" s="120" t="s">
        <v>412</v>
      </c>
      <c r="F347" s="120" t="s">
        <v>10</v>
      </c>
      <c r="G347" s="120">
        <v>2</v>
      </c>
      <c r="H347">
        <v>4</v>
      </c>
      <c r="I347" s="120" t="s">
        <v>57</v>
      </c>
      <c r="J347">
        <v>-2</v>
      </c>
      <c r="K347">
        <v>0</v>
      </c>
      <c r="L347" s="121">
        <v>17.399999999999999</v>
      </c>
      <c r="M347" s="121">
        <v>34.799999999999997</v>
      </c>
      <c r="N347" s="121">
        <v>69.599999999999994</v>
      </c>
    </row>
    <row r="348" spans="1:14" hidden="1" x14ac:dyDescent="0.25">
      <c r="A348" s="120" t="s">
        <v>3591</v>
      </c>
      <c r="B348" s="120" t="s">
        <v>3701</v>
      </c>
      <c r="C348" s="120" t="s">
        <v>301</v>
      </c>
      <c r="D348" s="120" t="s">
        <v>689</v>
      </c>
      <c r="E348" s="120" t="s">
        <v>412</v>
      </c>
      <c r="F348" s="120" t="s">
        <v>10</v>
      </c>
      <c r="G348" s="120">
        <v>3</v>
      </c>
      <c r="H348">
        <v>1</v>
      </c>
      <c r="I348" s="120" t="s">
        <v>57</v>
      </c>
      <c r="J348">
        <v>2</v>
      </c>
      <c r="K348">
        <v>0</v>
      </c>
      <c r="L348">
        <v>17.399999999999999</v>
      </c>
      <c r="M348">
        <v>52.199999999999996</v>
      </c>
      <c r="N348">
        <v>17.399999999999999</v>
      </c>
    </row>
    <row r="349" spans="1:14" hidden="1" x14ac:dyDescent="0.25">
      <c r="A349" s="120" t="s">
        <v>3591</v>
      </c>
      <c r="B349" s="120" t="s">
        <v>3592</v>
      </c>
      <c r="C349" s="120" t="s">
        <v>301</v>
      </c>
      <c r="D349" s="120" t="s">
        <v>690</v>
      </c>
      <c r="E349" s="120" t="s">
        <v>413</v>
      </c>
      <c r="F349" s="120" t="s">
        <v>18</v>
      </c>
      <c r="G349" s="120">
        <v>0</v>
      </c>
      <c r="H349">
        <v>5</v>
      </c>
      <c r="I349" s="120" t="s">
        <v>47</v>
      </c>
      <c r="J349">
        <v>-5</v>
      </c>
      <c r="K349">
        <v>0</v>
      </c>
      <c r="L349">
        <v>19</v>
      </c>
      <c r="M349">
        <v>0</v>
      </c>
      <c r="N349">
        <v>95</v>
      </c>
    </row>
    <row r="350" spans="1:14" hidden="1" x14ac:dyDescent="0.25">
      <c r="A350" s="120" t="s">
        <v>3591</v>
      </c>
      <c r="B350" s="120" t="s">
        <v>3709</v>
      </c>
      <c r="C350" s="120" t="s">
        <v>301</v>
      </c>
      <c r="D350" s="120" t="s">
        <v>1186</v>
      </c>
      <c r="E350" s="120" t="s">
        <v>160</v>
      </c>
      <c r="F350" s="120" t="s">
        <v>10</v>
      </c>
      <c r="G350" s="120">
        <v>1</v>
      </c>
      <c r="H350">
        <v>1</v>
      </c>
      <c r="I350" s="120" t="s">
        <v>47</v>
      </c>
      <c r="J350">
        <v>0</v>
      </c>
      <c r="K350">
        <v>1</v>
      </c>
      <c r="L350" s="121">
        <v>14.8</v>
      </c>
      <c r="M350" s="121">
        <v>14.8</v>
      </c>
      <c r="N350" s="121">
        <v>14.8</v>
      </c>
    </row>
    <row r="351" spans="1:14" hidden="1" x14ac:dyDescent="0.25">
      <c r="A351" s="120" t="s">
        <v>3591</v>
      </c>
      <c r="B351" s="120" t="s">
        <v>3592</v>
      </c>
      <c r="C351" s="120" t="s">
        <v>301</v>
      </c>
      <c r="D351" s="120" t="s">
        <v>691</v>
      </c>
      <c r="E351" s="120" t="s">
        <v>414</v>
      </c>
      <c r="F351" s="120" t="s">
        <v>10</v>
      </c>
      <c r="G351" s="120">
        <v>0</v>
      </c>
      <c r="H351">
        <v>2</v>
      </c>
      <c r="I351" s="120" t="s">
        <v>57</v>
      </c>
      <c r="J351">
        <v>-2</v>
      </c>
      <c r="K351">
        <v>0</v>
      </c>
      <c r="L351">
        <v>19</v>
      </c>
      <c r="M351">
        <v>0</v>
      </c>
      <c r="N351">
        <v>38</v>
      </c>
    </row>
    <row r="352" spans="1:14" hidden="1" x14ac:dyDescent="0.25">
      <c r="A352" s="120" t="s">
        <v>3463</v>
      </c>
      <c r="B352" s="120" t="s">
        <v>3871</v>
      </c>
      <c r="C352" s="120" t="s">
        <v>301</v>
      </c>
      <c r="D352" s="120" t="s">
        <v>3604</v>
      </c>
      <c r="E352" s="120" t="s">
        <v>395</v>
      </c>
      <c r="F352" s="120" t="s">
        <v>14</v>
      </c>
      <c r="G352" s="120">
        <v>3</v>
      </c>
      <c r="H352">
        <v>0</v>
      </c>
      <c r="I352" s="120" t="s">
        <v>47</v>
      </c>
      <c r="J352">
        <v>3</v>
      </c>
      <c r="K352">
        <v>0</v>
      </c>
      <c r="L352">
        <v>0</v>
      </c>
      <c r="M352">
        <v>0</v>
      </c>
      <c r="N352">
        <v>0</v>
      </c>
    </row>
    <row r="353" spans="1:14" hidden="1" x14ac:dyDescent="0.25">
      <c r="A353" s="120" t="s">
        <v>3591</v>
      </c>
      <c r="B353" s="120" t="s">
        <v>3709</v>
      </c>
      <c r="C353" s="120" t="s">
        <v>301</v>
      </c>
      <c r="D353" s="120" t="s">
        <v>1082</v>
      </c>
      <c r="E353" s="120" t="s">
        <v>150</v>
      </c>
      <c r="F353" s="120" t="s">
        <v>14</v>
      </c>
      <c r="G353" s="120">
        <v>3</v>
      </c>
      <c r="H353">
        <v>3</v>
      </c>
      <c r="I353" s="120" t="s">
        <v>11</v>
      </c>
      <c r="J353">
        <v>0</v>
      </c>
      <c r="K353">
        <v>1</v>
      </c>
      <c r="L353" s="121">
        <v>560</v>
      </c>
      <c r="M353" s="121">
        <v>1680</v>
      </c>
      <c r="N353" s="121">
        <v>1680</v>
      </c>
    </row>
    <row r="354" spans="1:14" hidden="1" x14ac:dyDescent="0.25">
      <c r="A354" s="120" t="s">
        <v>3591</v>
      </c>
      <c r="B354" s="120" t="s">
        <v>3698</v>
      </c>
      <c r="C354" s="120" t="s">
        <v>301</v>
      </c>
      <c r="D354" s="120" t="s">
        <v>3604</v>
      </c>
      <c r="E354" s="120" t="s">
        <v>395</v>
      </c>
      <c r="F354" s="120" t="s">
        <v>14</v>
      </c>
      <c r="G354" s="120">
        <v>1</v>
      </c>
      <c r="H354">
        <v>0</v>
      </c>
      <c r="I354" s="120" t="s">
        <v>47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 s="120" t="s">
        <v>3758</v>
      </c>
      <c r="B355" s="120" t="s">
        <v>3759</v>
      </c>
      <c r="C355" s="120" t="s">
        <v>301</v>
      </c>
      <c r="D355" s="120" t="s">
        <v>3604</v>
      </c>
      <c r="E355" s="120" t="s">
        <v>395</v>
      </c>
      <c r="F355" s="120" t="s">
        <v>14</v>
      </c>
      <c r="G355" s="120">
        <v>7</v>
      </c>
      <c r="H355">
        <v>0</v>
      </c>
      <c r="I355" s="120" t="s">
        <v>11</v>
      </c>
      <c r="J355">
        <v>7</v>
      </c>
      <c r="K355">
        <v>0</v>
      </c>
      <c r="L355">
        <v>0</v>
      </c>
      <c r="M355">
        <v>0</v>
      </c>
      <c r="N355">
        <v>0</v>
      </c>
    </row>
    <row r="356" spans="1:14" hidden="1" x14ac:dyDescent="0.25">
      <c r="A356" s="120" t="s">
        <v>3591</v>
      </c>
      <c r="B356" s="120" t="s">
        <v>3592</v>
      </c>
      <c r="C356" s="120" t="s">
        <v>301</v>
      </c>
      <c r="D356" s="120" t="s">
        <v>696</v>
      </c>
      <c r="E356" s="120" t="s">
        <v>423</v>
      </c>
      <c r="F356" s="120" t="s">
        <v>18</v>
      </c>
      <c r="G356" s="120">
        <v>0</v>
      </c>
      <c r="H356">
        <v>7</v>
      </c>
      <c r="I356" s="120" t="s">
        <v>57</v>
      </c>
      <c r="J356">
        <v>-7</v>
      </c>
      <c r="K356">
        <v>0</v>
      </c>
      <c r="L356">
        <v>11.48</v>
      </c>
      <c r="M356">
        <v>0</v>
      </c>
      <c r="N356">
        <v>80.36</v>
      </c>
    </row>
    <row r="357" spans="1:14" hidden="1" x14ac:dyDescent="0.25">
      <c r="A357" s="120" t="s">
        <v>3463</v>
      </c>
      <c r="B357" s="120" t="s">
        <v>3871</v>
      </c>
      <c r="C357" s="120" t="s">
        <v>301</v>
      </c>
      <c r="D357" s="120" t="s">
        <v>3609</v>
      </c>
      <c r="E357" s="120" t="s">
        <v>400</v>
      </c>
      <c r="F357" s="120" t="s">
        <v>10</v>
      </c>
      <c r="G357" s="120">
        <v>2</v>
      </c>
      <c r="H357">
        <v>0</v>
      </c>
      <c r="I357" s="120" t="s">
        <v>47</v>
      </c>
      <c r="J357">
        <v>2</v>
      </c>
      <c r="K357">
        <v>0</v>
      </c>
      <c r="L357">
        <v>0</v>
      </c>
      <c r="M357">
        <v>0</v>
      </c>
      <c r="N357">
        <v>0</v>
      </c>
    </row>
    <row r="358" spans="1:14" hidden="1" x14ac:dyDescent="0.25">
      <c r="A358" s="120" t="s">
        <v>3591</v>
      </c>
      <c r="B358" s="120" t="s">
        <v>3592</v>
      </c>
      <c r="C358" s="120" t="s">
        <v>301</v>
      </c>
      <c r="D358" s="120" t="s">
        <v>3609</v>
      </c>
      <c r="E358" s="120" t="s">
        <v>400</v>
      </c>
      <c r="F358" s="120" t="s">
        <v>10</v>
      </c>
      <c r="G358" s="120">
        <v>6</v>
      </c>
      <c r="H358">
        <v>0</v>
      </c>
      <c r="I358" s="120" t="s">
        <v>57</v>
      </c>
      <c r="J358">
        <v>6</v>
      </c>
      <c r="K358">
        <v>0</v>
      </c>
      <c r="L358" s="121">
        <v>0</v>
      </c>
      <c r="M358" s="121">
        <v>0</v>
      </c>
      <c r="N358" s="121">
        <v>0</v>
      </c>
    </row>
    <row r="359" spans="1:14" hidden="1" x14ac:dyDescent="0.25">
      <c r="A359" s="120" t="s">
        <v>3591</v>
      </c>
      <c r="B359" s="120" t="s">
        <v>3698</v>
      </c>
      <c r="C359" s="120" t="s">
        <v>301</v>
      </c>
      <c r="D359" s="120" t="s">
        <v>3609</v>
      </c>
      <c r="E359" s="120" t="s">
        <v>400</v>
      </c>
      <c r="F359" s="120" t="s">
        <v>10</v>
      </c>
      <c r="G359" s="120">
        <v>5</v>
      </c>
      <c r="H359">
        <v>0</v>
      </c>
      <c r="I359" s="120" t="s">
        <v>11</v>
      </c>
      <c r="J359">
        <v>5</v>
      </c>
      <c r="K359">
        <v>0</v>
      </c>
      <c r="L359">
        <v>0</v>
      </c>
      <c r="M359">
        <v>0</v>
      </c>
      <c r="N359">
        <v>0</v>
      </c>
    </row>
    <row r="360" spans="1:14" hidden="1" x14ac:dyDescent="0.25">
      <c r="A360" s="120" t="s">
        <v>3591</v>
      </c>
      <c r="B360" s="120" t="s">
        <v>3701</v>
      </c>
      <c r="C360" s="120" t="s">
        <v>301</v>
      </c>
      <c r="D360" s="120" t="s">
        <v>3609</v>
      </c>
      <c r="E360" s="120" t="s">
        <v>400</v>
      </c>
      <c r="F360" s="120" t="s">
        <v>10</v>
      </c>
      <c r="G360" s="120">
        <v>3</v>
      </c>
      <c r="H360">
        <v>0</v>
      </c>
      <c r="I360" s="120" t="s">
        <v>47</v>
      </c>
      <c r="J360">
        <v>3</v>
      </c>
      <c r="K360">
        <v>0</v>
      </c>
      <c r="L360">
        <v>0</v>
      </c>
      <c r="M360">
        <v>0</v>
      </c>
      <c r="N360">
        <v>0</v>
      </c>
    </row>
    <row r="361" spans="1:14" hidden="1" x14ac:dyDescent="0.25">
      <c r="A361" s="120" t="s">
        <v>3591</v>
      </c>
      <c r="B361" s="120" t="s">
        <v>3592</v>
      </c>
      <c r="C361" s="120" t="s">
        <v>301</v>
      </c>
      <c r="D361" s="120" t="s">
        <v>705</v>
      </c>
      <c r="E361" s="120" t="s">
        <v>427</v>
      </c>
      <c r="F361" s="120" t="s">
        <v>10</v>
      </c>
      <c r="G361" s="120">
        <v>0</v>
      </c>
      <c r="H361">
        <v>13</v>
      </c>
      <c r="I361" s="120" t="s">
        <v>11</v>
      </c>
      <c r="J361">
        <v>-13</v>
      </c>
      <c r="K361">
        <v>0</v>
      </c>
      <c r="L361">
        <v>5.9</v>
      </c>
      <c r="M361">
        <v>0</v>
      </c>
      <c r="N361">
        <v>76.7</v>
      </c>
    </row>
    <row r="362" spans="1:14" hidden="1" x14ac:dyDescent="0.25">
      <c r="A362" s="120" t="s">
        <v>3591</v>
      </c>
      <c r="B362" s="120" t="s">
        <v>3709</v>
      </c>
      <c r="C362" s="120" t="s">
        <v>301</v>
      </c>
      <c r="D362" s="120" t="s">
        <v>705</v>
      </c>
      <c r="E362" s="120" t="s">
        <v>427</v>
      </c>
      <c r="F362" s="120" t="s">
        <v>10</v>
      </c>
      <c r="G362" s="120">
        <v>2</v>
      </c>
      <c r="H362">
        <v>1</v>
      </c>
      <c r="I362" s="120" t="s">
        <v>11</v>
      </c>
      <c r="J362">
        <v>1</v>
      </c>
      <c r="K362">
        <v>0</v>
      </c>
      <c r="L362">
        <v>5.9</v>
      </c>
      <c r="M362">
        <v>11.8</v>
      </c>
      <c r="N362">
        <v>5.9</v>
      </c>
    </row>
    <row r="363" spans="1:14" hidden="1" x14ac:dyDescent="0.25">
      <c r="A363" s="120" t="s">
        <v>3591</v>
      </c>
      <c r="B363" s="120" t="s">
        <v>3709</v>
      </c>
      <c r="C363" s="120" t="s">
        <v>301</v>
      </c>
      <c r="D363" s="120" t="s">
        <v>3599</v>
      </c>
      <c r="E363" s="120" t="s">
        <v>386</v>
      </c>
      <c r="F363" s="120" t="s">
        <v>10</v>
      </c>
      <c r="G363" s="120">
        <v>0</v>
      </c>
      <c r="H363">
        <v>0</v>
      </c>
      <c r="I363" s="120" t="s">
        <v>11</v>
      </c>
      <c r="J363">
        <v>0</v>
      </c>
      <c r="K363">
        <v>1</v>
      </c>
      <c r="L363" s="121">
        <v>0</v>
      </c>
      <c r="M363" s="121">
        <v>0</v>
      </c>
      <c r="N363" s="121">
        <v>0</v>
      </c>
    </row>
    <row r="364" spans="1:14" hidden="1" x14ac:dyDescent="0.25">
      <c r="A364" s="120" t="s">
        <v>3591</v>
      </c>
      <c r="B364" s="120" t="s">
        <v>3701</v>
      </c>
      <c r="C364" s="120" t="s">
        <v>301</v>
      </c>
      <c r="D364" s="120" t="s">
        <v>705</v>
      </c>
      <c r="E364" s="120" t="s">
        <v>427</v>
      </c>
      <c r="F364" s="120" t="s">
        <v>10</v>
      </c>
      <c r="G364" s="120">
        <v>4</v>
      </c>
      <c r="H364">
        <v>6</v>
      </c>
      <c r="I364" s="120" t="s">
        <v>11</v>
      </c>
      <c r="J364">
        <v>-2</v>
      </c>
      <c r="K364">
        <v>0</v>
      </c>
      <c r="L364">
        <v>5.9</v>
      </c>
      <c r="M364">
        <v>23.6</v>
      </c>
      <c r="N364">
        <v>35.400000000000006</v>
      </c>
    </row>
    <row r="365" spans="1:14" hidden="1" x14ac:dyDescent="0.25">
      <c r="A365" s="120" t="s">
        <v>3591</v>
      </c>
      <c r="B365" s="120" t="s">
        <v>3709</v>
      </c>
      <c r="C365" s="120" t="s">
        <v>301</v>
      </c>
      <c r="D365" s="120" t="s">
        <v>1777</v>
      </c>
      <c r="E365" s="120" t="s">
        <v>497</v>
      </c>
      <c r="F365" s="120" t="s">
        <v>10</v>
      </c>
      <c r="G365" s="120">
        <v>1</v>
      </c>
      <c r="H365">
        <v>1</v>
      </c>
      <c r="I365" s="120" t="s">
        <v>11</v>
      </c>
      <c r="J365">
        <v>0</v>
      </c>
      <c r="K365">
        <v>1</v>
      </c>
      <c r="L365" s="121">
        <v>200</v>
      </c>
      <c r="M365" s="121">
        <v>200</v>
      </c>
      <c r="N365" s="121">
        <v>200</v>
      </c>
    </row>
    <row r="366" spans="1:14" x14ac:dyDescent="0.25">
      <c r="A366" s="120" t="s">
        <v>3758</v>
      </c>
      <c r="B366" s="120" t="s">
        <v>3759</v>
      </c>
      <c r="C366" s="120" t="s">
        <v>301</v>
      </c>
      <c r="D366" s="120" t="s">
        <v>705</v>
      </c>
      <c r="E366" s="120" t="s">
        <v>427</v>
      </c>
      <c r="F366" s="120" t="s">
        <v>10</v>
      </c>
      <c r="G366" s="120">
        <v>84</v>
      </c>
      <c r="H366">
        <v>61</v>
      </c>
      <c r="I366" s="120" t="s">
        <v>11</v>
      </c>
      <c r="J366">
        <v>23</v>
      </c>
      <c r="K366">
        <v>0</v>
      </c>
      <c r="L366">
        <v>5.9</v>
      </c>
      <c r="M366">
        <v>495.6</v>
      </c>
      <c r="N366">
        <v>359.90000000000003</v>
      </c>
    </row>
    <row r="367" spans="1:14" hidden="1" x14ac:dyDescent="0.25">
      <c r="A367" s="120" t="s">
        <v>3591</v>
      </c>
      <c r="B367" s="120" t="s">
        <v>3698</v>
      </c>
      <c r="C367" s="120" t="s">
        <v>301</v>
      </c>
      <c r="D367" s="120" t="s">
        <v>706</v>
      </c>
      <c r="E367" s="120" t="s">
        <v>428</v>
      </c>
      <c r="F367" s="120" t="s">
        <v>10</v>
      </c>
      <c r="G367" s="120">
        <v>0</v>
      </c>
      <c r="H367">
        <v>5</v>
      </c>
      <c r="I367" s="120" t="s">
        <v>11</v>
      </c>
      <c r="J367">
        <v>-5</v>
      </c>
      <c r="K367">
        <v>0</v>
      </c>
      <c r="L367">
        <v>2.9</v>
      </c>
      <c r="M367">
        <v>0</v>
      </c>
      <c r="N367">
        <v>14.5</v>
      </c>
    </row>
    <row r="368" spans="1:14" hidden="1" x14ac:dyDescent="0.25">
      <c r="A368" s="120" t="s">
        <v>3591</v>
      </c>
      <c r="B368" s="120" t="s">
        <v>3592</v>
      </c>
      <c r="C368" s="120" t="s">
        <v>301</v>
      </c>
      <c r="D368" s="120" t="s">
        <v>706</v>
      </c>
      <c r="E368" s="120" t="s">
        <v>428</v>
      </c>
      <c r="F368" s="120" t="s">
        <v>10</v>
      </c>
      <c r="G368" s="120">
        <v>0</v>
      </c>
      <c r="H368">
        <v>25</v>
      </c>
      <c r="I368" s="120" t="s">
        <v>11</v>
      </c>
      <c r="J368">
        <v>-25</v>
      </c>
      <c r="K368">
        <v>0</v>
      </c>
      <c r="L368">
        <v>2.9</v>
      </c>
      <c r="M368">
        <v>0</v>
      </c>
      <c r="N368">
        <v>72.5</v>
      </c>
    </row>
    <row r="369" spans="1:14" hidden="1" x14ac:dyDescent="0.25">
      <c r="A369" s="120" t="s">
        <v>3591</v>
      </c>
      <c r="B369" s="120" t="s">
        <v>3709</v>
      </c>
      <c r="C369" s="120" t="s">
        <v>301</v>
      </c>
      <c r="D369" s="120" t="s">
        <v>706</v>
      </c>
      <c r="E369" s="120" t="s">
        <v>428</v>
      </c>
      <c r="F369" s="120" t="s">
        <v>10</v>
      </c>
      <c r="G369" s="120">
        <v>4</v>
      </c>
      <c r="H369">
        <v>3</v>
      </c>
      <c r="I369" s="120" t="s">
        <v>11</v>
      </c>
      <c r="J369">
        <v>1</v>
      </c>
      <c r="K369">
        <v>0</v>
      </c>
      <c r="L369">
        <v>2.9</v>
      </c>
      <c r="M369">
        <v>11.6</v>
      </c>
      <c r="N369">
        <v>8.6999999999999993</v>
      </c>
    </row>
    <row r="370" spans="1:14" hidden="1" x14ac:dyDescent="0.25">
      <c r="A370" s="120" t="s">
        <v>3591</v>
      </c>
      <c r="B370" s="120" t="s">
        <v>3709</v>
      </c>
      <c r="C370" s="120" t="s">
        <v>301</v>
      </c>
      <c r="D370" s="120" t="s">
        <v>3649</v>
      </c>
      <c r="E370" s="120" t="s">
        <v>458</v>
      </c>
      <c r="F370" s="120" t="s">
        <v>10</v>
      </c>
      <c r="G370" s="120">
        <v>0</v>
      </c>
      <c r="H370">
        <v>0</v>
      </c>
      <c r="I370" s="120" t="s">
        <v>11</v>
      </c>
      <c r="J370">
        <v>0</v>
      </c>
      <c r="K370">
        <v>1</v>
      </c>
      <c r="L370" s="121">
        <v>0</v>
      </c>
      <c r="M370" s="121">
        <v>0</v>
      </c>
      <c r="N370" s="121">
        <v>0</v>
      </c>
    </row>
    <row r="371" spans="1:14" hidden="1" x14ac:dyDescent="0.25">
      <c r="A371" s="120" t="s">
        <v>3591</v>
      </c>
      <c r="B371" s="120" t="s">
        <v>3709</v>
      </c>
      <c r="C371" s="120" t="s">
        <v>301</v>
      </c>
      <c r="D371" s="120" t="s">
        <v>3708</v>
      </c>
      <c r="E371" s="120" t="s">
        <v>2983</v>
      </c>
      <c r="F371" s="120" t="s">
        <v>10</v>
      </c>
      <c r="G371" s="120">
        <v>0</v>
      </c>
      <c r="H371">
        <v>0</v>
      </c>
      <c r="I371" s="120" t="s">
        <v>47</v>
      </c>
      <c r="J371">
        <v>0</v>
      </c>
      <c r="K371">
        <v>1</v>
      </c>
      <c r="L371" s="121">
        <v>0</v>
      </c>
      <c r="M371" s="121">
        <v>0</v>
      </c>
      <c r="N371" s="121">
        <v>0</v>
      </c>
    </row>
    <row r="372" spans="1:14" x14ac:dyDescent="0.25">
      <c r="A372" s="120" t="s">
        <v>3758</v>
      </c>
      <c r="B372" s="120" t="s">
        <v>3759</v>
      </c>
      <c r="C372" s="120" t="s">
        <v>301</v>
      </c>
      <c r="D372" s="120" t="s">
        <v>706</v>
      </c>
      <c r="E372" s="120" t="s">
        <v>428</v>
      </c>
      <c r="F372" s="120" t="s">
        <v>10</v>
      </c>
      <c r="G372" s="120">
        <v>87</v>
      </c>
      <c r="H372">
        <v>76</v>
      </c>
      <c r="I372" s="120" t="s">
        <v>11</v>
      </c>
      <c r="J372">
        <v>11</v>
      </c>
      <c r="K372">
        <v>0</v>
      </c>
      <c r="L372">
        <v>2.9</v>
      </c>
      <c r="M372">
        <v>252.29999999999998</v>
      </c>
      <c r="N372">
        <v>220.4</v>
      </c>
    </row>
    <row r="373" spans="1:14" hidden="1" x14ac:dyDescent="0.25">
      <c r="A373" s="120" t="s">
        <v>3591</v>
      </c>
      <c r="B373" s="120" t="s">
        <v>3592</v>
      </c>
      <c r="C373" s="120" t="s">
        <v>301</v>
      </c>
      <c r="D373" s="120" t="s">
        <v>707</v>
      </c>
      <c r="E373" s="120" t="s">
        <v>429</v>
      </c>
      <c r="F373" s="120" t="s">
        <v>10</v>
      </c>
      <c r="G373" s="120">
        <v>0</v>
      </c>
      <c r="H373">
        <v>25</v>
      </c>
      <c r="I373" s="120" t="s">
        <v>11</v>
      </c>
      <c r="J373">
        <v>-25</v>
      </c>
      <c r="K373">
        <v>0</v>
      </c>
      <c r="L373">
        <v>5.9</v>
      </c>
      <c r="M373">
        <v>0</v>
      </c>
      <c r="N373">
        <v>147.5</v>
      </c>
    </row>
    <row r="374" spans="1:14" hidden="1" x14ac:dyDescent="0.25">
      <c r="A374" s="120" t="s">
        <v>3591</v>
      </c>
      <c r="B374" s="120" t="s">
        <v>3709</v>
      </c>
      <c r="C374" s="120" t="s">
        <v>301</v>
      </c>
      <c r="D374" s="120" t="s">
        <v>555</v>
      </c>
      <c r="E374" s="120" t="s">
        <v>382</v>
      </c>
      <c r="F374" s="120" t="s">
        <v>14</v>
      </c>
      <c r="G374" s="120">
        <v>1</v>
      </c>
      <c r="H374">
        <v>1</v>
      </c>
      <c r="I374" s="120" t="s">
        <v>57</v>
      </c>
      <c r="J374">
        <v>0</v>
      </c>
      <c r="K374">
        <v>1</v>
      </c>
      <c r="L374" s="121">
        <v>39.99</v>
      </c>
      <c r="M374" s="121">
        <v>39.99</v>
      </c>
      <c r="N374" s="121">
        <v>39.99</v>
      </c>
    </row>
    <row r="375" spans="1:14" hidden="1" x14ac:dyDescent="0.25">
      <c r="A375" s="120" t="s">
        <v>3591</v>
      </c>
      <c r="B375" s="120" t="s">
        <v>3709</v>
      </c>
      <c r="C375" s="120" t="s">
        <v>301</v>
      </c>
      <c r="D375" s="120" t="s">
        <v>690</v>
      </c>
      <c r="E375" s="120" t="s">
        <v>413</v>
      </c>
      <c r="F375" s="120" t="s">
        <v>14</v>
      </c>
      <c r="G375" s="120">
        <v>3</v>
      </c>
      <c r="H375">
        <v>3</v>
      </c>
      <c r="I375" s="120" t="s">
        <v>57</v>
      </c>
      <c r="J375">
        <v>0</v>
      </c>
      <c r="K375">
        <v>1</v>
      </c>
      <c r="L375" s="121">
        <v>19</v>
      </c>
      <c r="M375" s="121">
        <v>57</v>
      </c>
      <c r="N375" s="121">
        <v>57</v>
      </c>
    </row>
    <row r="376" spans="1:14" hidden="1" x14ac:dyDescent="0.25">
      <c r="A376" s="120" t="s">
        <v>3591</v>
      </c>
      <c r="B376" s="120" t="s">
        <v>3701</v>
      </c>
      <c r="C376" s="120" t="s">
        <v>301</v>
      </c>
      <c r="D376" s="120" t="s">
        <v>707</v>
      </c>
      <c r="E376" s="120" t="s">
        <v>429</v>
      </c>
      <c r="F376" s="120" t="s">
        <v>10</v>
      </c>
      <c r="G376" s="120">
        <v>3</v>
      </c>
      <c r="H376">
        <v>5</v>
      </c>
      <c r="I376" s="120" t="s">
        <v>11</v>
      </c>
      <c r="J376">
        <v>-2</v>
      </c>
      <c r="K376">
        <v>0</v>
      </c>
      <c r="L376">
        <v>5.9</v>
      </c>
      <c r="M376">
        <v>17.700000000000003</v>
      </c>
      <c r="N376">
        <v>29.5</v>
      </c>
    </row>
    <row r="377" spans="1:14" hidden="1" x14ac:dyDescent="0.25">
      <c r="A377" s="120" t="s">
        <v>3591</v>
      </c>
      <c r="B377" s="120" t="s">
        <v>3709</v>
      </c>
      <c r="C377" s="120" t="s">
        <v>301</v>
      </c>
      <c r="D377" s="120" t="s">
        <v>691</v>
      </c>
      <c r="E377" s="120" t="s">
        <v>414</v>
      </c>
      <c r="F377" s="120" t="s">
        <v>10</v>
      </c>
      <c r="G377" s="120">
        <v>3</v>
      </c>
      <c r="H377">
        <v>3</v>
      </c>
      <c r="I377" s="120" t="s">
        <v>57</v>
      </c>
      <c r="J377">
        <v>0</v>
      </c>
      <c r="K377">
        <v>1</v>
      </c>
      <c r="L377" s="121">
        <v>19</v>
      </c>
      <c r="M377" s="121">
        <v>57</v>
      </c>
      <c r="N377" s="121">
        <v>57</v>
      </c>
    </row>
    <row r="378" spans="1:14" x14ac:dyDescent="0.25">
      <c r="A378" s="120" t="s">
        <v>3758</v>
      </c>
      <c r="B378" s="120" t="s">
        <v>3759</v>
      </c>
      <c r="C378" s="120" t="s">
        <v>301</v>
      </c>
      <c r="D378" s="120" t="s">
        <v>707</v>
      </c>
      <c r="E378" s="120" t="s">
        <v>429</v>
      </c>
      <c r="F378" s="120" t="s">
        <v>10</v>
      </c>
      <c r="G378" s="120">
        <v>86</v>
      </c>
      <c r="H378">
        <v>78</v>
      </c>
      <c r="I378" s="120" t="s">
        <v>11</v>
      </c>
      <c r="J378">
        <v>8</v>
      </c>
      <c r="K378">
        <v>0</v>
      </c>
      <c r="L378">
        <v>5.9</v>
      </c>
      <c r="M378">
        <v>507.40000000000003</v>
      </c>
      <c r="N378">
        <v>460.20000000000005</v>
      </c>
    </row>
    <row r="379" spans="1:14" hidden="1" x14ac:dyDescent="0.25">
      <c r="A379" s="120" t="s">
        <v>3591</v>
      </c>
      <c r="B379" s="120" t="s">
        <v>3709</v>
      </c>
      <c r="C379" s="120" t="s">
        <v>301</v>
      </c>
      <c r="D379" s="120" t="s">
        <v>718</v>
      </c>
      <c r="E379" s="120" t="s">
        <v>719</v>
      </c>
      <c r="F379" s="120" t="s">
        <v>14</v>
      </c>
      <c r="G379" s="120">
        <v>1</v>
      </c>
      <c r="H379">
        <v>1</v>
      </c>
      <c r="I379" s="120" t="s">
        <v>57</v>
      </c>
      <c r="J379">
        <v>0</v>
      </c>
      <c r="K379">
        <v>1</v>
      </c>
      <c r="L379" s="121">
        <v>9</v>
      </c>
      <c r="M379" s="121">
        <v>9</v>
      </c>
      <c r="N379" s="121">
        <v>9</v>
      </c>
    </row>
    <row r="380" spans="1:14" hidden="1" x14ac:dyDescent="0.25">
      <c r="A380" s="120" t="s">
        <v>3463</v>
      </c>
      <c r="B380" s="120" t="s">
        <v>3816</v>
      </c>
      <c r="C380" s="120" t="s">
        <v>301</v>
      </c>
      <c r="D380" s="120" t="s">
        <v>1129</v>
      </c>
      <c r="E380" s="120" t="s">
        <v>154</v>
      </c>
      <c r="F380" s="120" t="s">
        <v>14</v>
      </c>
      <c r="G380" s="120">
        <v>0</v>
      </c>
      <c r="H380">
        <v>1</v>
      </c>
      <c r="I380" s="120" t="s">
        <v>47</v>
      </c>
      <c r="J380">
        <v>-1</v>
      </c>
      <c r="K380">
        <v>0</v>
      </c>
      <c r="L380">
        <v>13.6</v>
      </c>
      <c r="M380">
        <v>0</v>
      </c>
      <c r="N380">
        <v>13.6</v>
      </c>
    </row>
    <row r="381" spans="1:14" hidden="1" x14ac:dyDescent="0.25">
      <c r="A381" s="120" t="s">
        <v>3591</v>
      </c>
      <c r="B381" s="120" t="s">
        <v>3592</v>
      </c>
      <c r="C381" s="120" t="s">
        <v>301</v>
      </c>
      <c r="D381" s="120" t="s">
        <v>710</v>
      </c>
      <c r="E381" s="120" t="s">
        <v>430</v>
      </c>
      <c r="F381" s="120" t="s">
        <v>10</v>
      </c>
      <c r="G381" s="120">
        <v>0</v>
      </c>
      <c r="H381">
        <v>21</v>
      </c>
      <c r="I381" s="120" t="s">
        <v>11</v>
      </c>
      <c r="J381">
        <v>-21</v>
      </c>
      <c r="K381">
        <v>0</v>
      </c>
      <c r="L381">
        <v>9.9</v>
      </c>
      <c r="M381">
        <v>0</v>
      </c>
      <c r="N381">
        <v>207.9</v>
      </c>
    </row>
    <row r="382" spans="1:14" hidden="1" x14ac:dyDescent="0.25">
      <c r="A382" s="120" t="s">
        <v>3591</v>
      </c>
      <c r="B382" s="120" t="s">
        <v>3709</v>
      </c>
      <c r="C382" s="120" t="s">
        <v>301</v>
      </c>
      <c r="D382" s="120" t="s">
        <v>710</v>
      </c>
      <c r="E382" s="120" t="s">
        <v>430</v>
      </c>
      <c r="F382" s="120" t="s">
        <v>10</v>
      </c>
      <c r="G382" s="120">
        <v>5</v>
      </c>
      <c r="H382">
        <v>4</v>
      </c>
      <c r="I382" s="120" t="s">
        <v>11</v>
      </c>
      <c r="J382">
        <v>1</v>
      </c>
      <c r="K382">
        <v>0</v>
      </c>
      <c r="L382">
        <v>9.9</v>
      </c>
      <c r="M382">
        <v>49.5</v>
      </c>
      <c r="N382">
        <v>39.6</v>
      </c>
    </row>
    <row r="383" spans="1:14" hidden="1" x14ac:dyDescent="0.25">
      <c r="A383" s="120" t="s">
        <v>3591</v>
      </c>
      <c r="B383" s="120" t="s">
        <v>3693</v>
      </c>
      <c r="C383" s="120" t="s">
        <v>301</v>
      </c>
      <c r="D383" s="120" t="s">
        <v>710</v>
      </c>
      <c r="E383" s="120" t="s">
        <v>430</v>
      </c>
      <c r="F383" s="120" t="s">
        <v>10</v>
      </c>
      <c r="G383" s="120">
        <v>1</v>
      </c>
      <c r="H383">
        <v>2</v>
      </c>
      <c r="I383" s="120" t="s">
        <v>11</v>
      </c>
      <c r="J383">
        <v>-1</v>
      </c>
      <c r="K383">
        <v>0</v>
      </c>
      <c r="L383">
        <v>9.9</v>
      </c>
      <c r="M383">
        <v>9.9</v>
      </c>
      <c r="N383">
        <v>19.8</v>
      </c>
    </row>
    <row r="384" spans="1:14" hidden="1" x14ac:dyDescent="0.25">
      <c r="A384" s="120" t="s">
        <v>3591</v>
      </c>
      <c r="B384" s="120" t="s">
        <v>3701</v>
      </c>
      <c r="C384" s="120" t="s">
        <v>301</v>
      </c>
      <c r="D384" s="120" t="s">
        <v>710</v>
      </c>
      <c r="E384" s="120" t="s">
        <v>430</v>
      </c>
      <c r="F384" s="120" t="s">
        <v>10</v>
      </c>
      <c r="G384" s="120">
        <v>3</v>
      </c>
      <c r="H384">
        <v>5</v>
      </c>
      <c r="I384" s="120" t="s">
        <v>11</v>
      </c>
      <c r="J384">
        <v>-2</v>
      </c>
      <c r="K384">
        <v>0</v>
      </c>
      <c r="L384">
        <v>9.9</v>
      </c>
      <c r="M384">
        <v>29.700000000000003</v>
      </c>
      <c r="N384">
        <v>49.5</v>
      </c>
    </row>
    <row r="385" spans="1:14" hidden="1" x14ac:dyDescent="0.25">
      <c r="A385" s="120" t="s">
        <v>3591</v>
      </c>
      <c r="B385" s="120" t="s">
        <v>3709</v>
      </c>
      <c r="C385" s="120" t="s">
        <v>301</v>
      </c>
      <c r="D385" s="120" t="s">
        <v>3593</v>
      </c>
      <c r="E385" s="120" t="s">
        <v>376</v>
      </c>
      <c r="F385" s="120" t="s">
        <v>10</v>
      </c>
      <c r="G385" s="120">
        <v>0</v>
      </c>
      <c r="H385">
        <v>0</v>
      </c>
      <c r="I385" s="120" t="s">
        <v>57</v>
      </c>
      <c r="J385">
        <v>0</v>
      </c>
      <c r="K385">
        <v>1</v>
      </c>
      <c r="L385" s="121">
        <v>0</v>
      </c>
      <c r="M385" s="121">
        <v>0</v>
      </c>
      <c r="N385" s="121">
        <v>0</v>
      </c>
    </row>
    <row r="386" spans="1:14" x14ac:dyDescent="0.25">
      <c r="A386" s="120" t="s">
        <v>3758</v>
      </c>
      <c r="B386" s="120" t="s">
        <v>3759</v>
      </c>
      <c r="C386" s="120" t="s">
        <v>301</v>
      </c>
      <c r="D386" s="120" t="s">
        <v>710</v>
      </c>
      <c r="E386" s="120" t="s">
        <v>430</v>
      </c>
      <c r="F386" s="120" t="s">
        <v>10</v>
      </c>
      <c r="G386" s="120">
        <v>105</v>
      </c>
      <c r="H386">
        <v>103</v>
      </c>
      <c r="I386" s="120" t="s">
        <v>11</v>
      </c>
      <c r="J386">
        <v>2</v>
      </c>
      <c r="K386">
        <v>0</v>
      </c>
      <c r="L386">
        <v>9.9</v>
      </c>
      <c r="M386">
        <v>1039.5</v>
      </c>
      <c r="N386">
        <v>1019.7</v>
      </c>
    </row>
    <row r="387" spans="1:14" hidden="1" x14ac:dyDescent="0.25">
      <c r="A387" s="120" t="s">
        <v>3591</v>
      </c>
      <c r="B387" s="120" t="s">
        <v>3709</v>
      </c>
      <c r="C387" s="120" t="s">
        <v>301</v>
      </c>
      <c r="D387" s="120" t="s">
        <v>3472</v>
      </c>
      <c r="E387" s="120" t="s">
        <v>32</v>
      </c>
      <c r="F387" s="120" t="s">
        <v>10</v>
      </c>
      <c r="G387" s="120">
        <v>0</v>
      </c>
      <c r="H387">
        <v>0</v>
      </c>
      <c r="I387" s="120" t="s">
        <v>11</v>
      </c>
      <c r="J387">
        <v>0</v>
      </c>
      <c r="K387">
        <v>1</v>
      </c>
      <c r="L387" s="121">
        <v>0</v>
      </c>
      <c r="M387" s="121">
        <v>0</v>
      </c>
      <c r="N387" s="121">
        <v>0</v>
      </c>
    </row>
    <row r="388" spans="1:14" hidden="1" x14ac:dyDescent="0.25">
      <c r="A388" s="120" t="s">
        <v>3463</v>
      </c>
      <c r="B388" s="120" t="s">
        <v>3871</v>
      </c>
      <c r="C388" s="120" t="s">
        <v>301</v>
      </c>
      <c r="D388" s="120" t="s">
        <v>3872</v>
      </c>
      <c r="E388" s="120" t="s">
        <v>1791</v>
      </c>
      <c r="F388" s="120"/>
      <c r="G388" s="120">
        <v>1</v>
      </c>
      <c r="H388">
        <v>0</v>
      </c>
      <c r="I388" s="120" t="s">
        <v>57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 hidden="1" x14ac:dyDescent="0.25">
      <c r="A389" s="120" t="s">
        <v>3463</v>
      </c>
      <c r="B389" s="120" t="s">
        <v>3871</v>
      </c>
      <c r="C389" s="120" t="s">
        <v>69</v>
      </c>
      <c r="D389" s="120" t="s">
        <v>3526</v>
      </c>
      <c r="E389" s="120" t="s">
        <v>177</v>
      </c>
      <c r="F389" s="120" t="s">
        <v>14</v>
      </c>
      <c r="G389" s="120">
        <v>0</v>
      </c>
      <c r="H389">
        <v>0</v>
      </c>
      <c r="I389" s="120" t="s">
        <v>11</v>
      </c>
      <c r="J389">
        <v>0</v>
      </c>
      <c r="K389">
        <v>1</v>
      </c>
      <c r="L389" s="121">
        <v>0</v>
      </c>
      <c r="M389" s="121">
        <v>0</v>
      </c>
      <c r="N389" s="121">
        <v>0</v>
      </c>
    </row>
    <row r="390" spans="1:14" hidden="1" x14ac:dyDescent="0.25">
      <c r="A390" s="120" t="s">
        <v>3463</v>
      </c>
      <c r="B390" s="120" t="s">
        <v>3871</v>
      </c>
      <c r="C390" s="120" t="s">
        <v>69</v>
      </c>
      <c r="D390" s="120" t="s">
        <v>3546</v>
      </c>
      <c r="E390" s="120" t="s">
        <v>2991</v>
      </c>
      <c r="F390" s="120" t="s">
        <v>14</v>
      </c>
      <c r="G390" s="120">
        <v>1</v>
      </c>
      <c r="H390">
        <v>0</v>
      </c>
      <c r="I390" s="120" t="s">
        <v>11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 s="120" t="s">
        <v>3758</v>
      </c>
      <c r="B391" s="120" t="s">
        <v>3759</v>
      </c>
      <c r="C391" s="120" t="s">
        <v>301</v>
      </c>
      <c r="D391" s="120" t="s">
        <v>718</v>
      </c>
      <c r="E391" s="120" t="s">
        <v>719</v>
      </c>
      <c r="F391" s="120" t="s">
        <v>14</v>
      </c>
      <c r="G391" s="120">
        <v>23</v>
      </c>
      <c r="H391">
        <v>20</v>
      </c>
      <c r="I391" s="120" t="s">
        <v>11</v>
      </c>
      <c r="J391">
        <v>3</v>
      </c>
      <c r="K391">
        <v>0</v>
      </c>
      <c r="L391">
        <v>9</v>
      </c>
      <c r="M391">
        <v>207</v>
      </c>
      <c r="N391">
        <v>180</v>
      </c>
    </row>
    <row r="392" spans="1:14" hidden="1" x14ac:dyDescent="0.25">
      <c r="A392" s="120" t="s">
        <v>3463</v>
      </c>
      <c r="B392" s="120" t="s">
        <v>3464</v>
      </c>
      <c r="C392" s="120" t="s">
        <v>69</v>
      </c>
      <c r="D392" s="120" t="s">
        <v>3508</v>
      </c>
      <c r="E392" s="120" t="s">
        <v>112</v>
      </c>
      <c r="F392" s="120" t="s">
        <v>18</v>
      </c>
      <c r="G392" s="120">
        <v>2</v>
      </c>
      <c r="H392">
        <v>0</v>
      </c>
      <c r="I392" s="120" t="s">
        <v>57</v>
      </c>
      <c r="J392">
        <v>2</v>
      </c>
      <c r="K392">
        <v>0</v>
      </c>
      <c r="L392">
        <v>0</v>
      </c>
      <c r="M392">
        <v>0</v>
      </c>
      <c r="N392">
        <v>0</v>
      </c>
    </row>
    <row r="393" spans="1:14" hidden="1" x14ac:dyDescent="0.25">
      <c r="A393" s="120" t="s">
        <v>3463</v>
      </c>
      <c r="B393" s="120" t="s">
        <v>3510</v>
      </c>
      <c r="C393" s="120" t="s">
        <v>301</v>
      </c>
      <c r="D393" s="120" t="s">
        <v>3508</v>
      </c>
      <c r="E393" s="120" t="s">
        <v>158</v>
      </c>
      <c r="F393" s="120" t="s">
        <v>18</v>
      </c>
      <c r="G393" s="120">
        <v>150</v>
      </c>
      <c r="H393">
        <v>0</v>
      </c>
      <c r="I393" s="120" t="s">
        <v>11</v>
      </c>
      <c r="J393">
        <v>150</v>
      </c>
      <c r="K393">
        <v>0</v>
      </c>
      <c r="L393">
        <v>0</v>
      </c>
      <c r="M393">
        <v>0</v>
      </c>
      <c r="N393">
        <v>0</v>
      </c>
    </row>
    <row r="394" spans="1:14" hidden="1" x14ac:dyDescent="0.25">
      <c r="A394" s="120" t="s">
        <v>3591</v>
      </c>
      <c r="B394" s="120" t="s">
        <v>3693</v>
      </c>
      <c r="C394" s="120" t="s">
        <v>301</v>
      </c>
      <c r="D394" s="120" t="s">
        <v>563</v>
      </c>
      <c r="E394" s="120" t="s">
        <v>388</v>
      </c>
      <c r="F394" s="120" t="s">
        <v>14</v>
      </c>
      <c r="G394" s="120">
        <v>2</v>
      </c>
      <c r="H394">
        <v>2</v>
      </c>
      <c r="I394" s="120" t="s">
        <v>11</v>
      </c>
      <c r="J394">
        <v>0</v>
      </c>
      <c r="K394">
        <v>1</v>
      </c>
      <c r="L394" s="121">
        <v>19</v>
      </c>
      <c r="M394" s="121">
        <v>38</v>
      </c>
      <c r="N394" s="121">
        <v>38</v>
      </c>
    </row>
    <row r="395" spans="1:14" hidden="1" x14ac:dyDescent="0.25">
      <c r="A395" s="120" t="s">
        <v>3463</v>
      </c>
      <c r="B395" s="120" t="s">
        <v>3816</v>
      </c>
      <c r="C395" s="120" t="s">
        <v>301</v>
      </c>
      <c r="D395" s="120" t="s">
        <v>3694</v>
      </c>
      <c r="E395" s="120" t="s">
        <v>1783</v>
      </c>
      <c r="F395" s="120" t="s">
        <v>14</v>
      </c>
      <c r="G395" s="120">
        <v>2</v>
      </c>
      <c r="H395">
        <v>0</v>
      </c>
      <c r="I395" s="120" t="s">
        <v>11</v>
      </c>
      <c r="J395">
        <v>2</v>
      </c>
      <c r="K395">
        <v>0</v>
      </c>
      <c r="L395">
        <v>0</v>
      </c>
      <c r="M395">
        <v>0</v>
      </c>
      <c r="N395">
        <v>0</v>
      </c>
    </row>
    <row r="396" spans="1:14" hidden="1" x14ac:dyDescent="0.25">
      <c r="A396" s="120" t="s">
        <v>3591</v>
      </c>
      <c r="B396" s="120" t="s">
        <v>3693</v>
      </c>
      <c r="C396" s="120" t="s">
        <v>301</v>
      </c>
      <c r="D396" s="120" t="s">
        <v>3694</v>
      </c>
      <c r="E396" s="120" t="s">
        <v>1783</v>
      </c>
      <c r="F396" s="120" t="s">
        <v>14</v>
      </c>
      <c r="G396" s="120">
        <v>16</v>
      </c>
      <c r="H396">
        <v>0</v>
      </c>
      <c r="I396" s="120" t="s">
        <v>47</v>
      </c>
      <c r="J396">
        <v>16</v>
      </c>
      <c r="K396">
        <v>0</v>
      </c>
      <c r="L396">
        <v>0</v>
      </c>
      <c r="M396">
        <v>0</v>
      </c>
      <c r="N396">
        <v>0</v>
      </c>
    </row>
    <row r="397" spans="1:14" hidden="1" x14ac:dyDescent="0.25">
      <c r="A397" s="120" t="s">
        <v>3591</v>
      </c>
      <c r="B397" s="120" t="s">
        <v>3693</v>
      </c>
      <c r="C397" s="120" t="s">
        <v>301</v>
      </c>
      <c r="D397" s="120" t="s">
        <v>1078</v>
      </c>
      <c r="E397" s="120" t="s">
        <v>449</v>
      </c>
      <c r="F397" s="120" t="s">
        <v>14</v>
      </c>
      <c r="G397" s="120">
        <v>1</v>
      </c>
      <c r="H397">
        <v>1</v>
      </c>
      <c r="I397" s="120" t="s">
        <v>11</v>
      </c>
      <c r="J397">
        <v>0</v>
      </c>
      <c r="K397">
        <v>1</v>
      </c>
      <c r="L397" s="121">
        <v>760</v>
      </c>
      <c r="M397" s="121">
        <v>760</v>
      </c>
      <c r="N397" s="121">
        <v>760</v>
      </c>
    </row>
    <row r="398" spans="1:14" x14ac:dyDescent="0.25">
      <c r="A398" s="120" t="s">
        <v>3758</v>
      </c>
      <c r="B398" s="120" t="s">
        <v>3759</v>
      </c>
      <c r="C398" s="120" t="s">
        <v>301</v>
      </c>
      <c r="D398" s="120" t="s">
        <v>3694</v>
      </c>
      <c r="E398" s="120" t="s">
        <v>1783</v>
      </c>
      <c r="F398" s="120" t="s">
        <v>14</v>
      </c>
      <c r="G398" s="120">
        <v>312</v>
      </c>
      <c r="H398">
        <v>0</v>
      </c>
      <c r="I398" s="120" t="s">
        <v>11</v>
      </c>
      <c r="J398">
        <v>312</v>
      </c>
      <c r="K398">
        <v>0</v>
      </c>
      <c r="L398">
        <v>0</v>
      </c>
      <c r="M398">
        <v>0</v>
      </c>
      <c r="N398">
        <v>0</v>
      </c>
    </row>
    <row r="399" spans="1:14" hidden="1" x14ac:dyDescent="0.25">
      <c r="A399" s="120" t="s">
        <v>3463</v>
      </c>
      <c r="B399" s="120" t="s">
        <v>3816</v>
      </c>
      <c r="C399" s="120" t="s">
        <v>69</v>
      </c>
      <c r="D399" s="120" t="s">
        <v>3524</v>
      </c>
      <c r="E399" s="120" t="s">
        <v>169</v>
      </c>
      <c r="F399" s="120" t="s">
        <v>14</v>
      </c>
      <c r="G399" s="120">
        <v>0</v>
      </c>
      <c r="H399">
        <v>0</v>
      </c>
      <c r="I399" s="120" t="s">
        <v>11</v>
      </c>
      <c r="J399">
        <v>0</v>
      </c>
      <c r="K399">
        <v>1</v>
      </c>
      <c r="L399" s="121">
        <v>0</v>
      </c>
      <c r="M399" s="121">
        <v>0</v>
      </c>
      <c r="N399" s="121">
        <v>0</v>
      </c>
    </row>
    <row r="400" spans="1:14" hidden="1" x14ac:dyDescent="0.25">
      <c r="A400" s="120" t="s">
        <v>3463</v>
      </c>
      <c r="B400" s="120" t="s">
        <v>3818</v>
      </c>
      <c r="C400" s="120" t="s">
        <v>69</v>
      </c>
      <c r="D400" s="120" t="s">
        <v>3524</v>
      </c>
      <c r="E400" s="120" t="s">
        <v>169</v>
      </c>
      <c r="F400" s="120" t="s">
        <v>14</v>
      </c>
      <c r="G400" s="120">
        <v>5</v>
      </c>
      <c r="H400">
        <v>0</v>
      </c>
      <c r="I400" s="120" t="s">
        <v>11</v>
      </c>
      <c r="J400">
        <v>5</v>
      </c>
      <c r="K400">
        <v>0</v>
      </c>
      <c r="L400">
        <v>0</v>
      </c>
      <c r="M400">
        <v>0</v>
      </c>
      <c r="N400">
        <v>0</v>
      </c>
    </row>
    <row r="401" spans="1:14" hidden="1" x14ac:dyDescent="0.25">
      <c r="A401" s="120" t="s">
        <v>3591</v>
      </c>
      <c r="B401" s="120" t="s">
        <v>3709</v>
      </c>
      <c r="C401" s="120" t="s">
        <v>69</v>
      </c>
      <c r="D401" s="120" t="s">
        <v>737</v>
      </c>
      <c r="E401" s="120" t="s">
        <v>440</v>
      </c>
      <c r="F401" s="120"/>
      <c r="G401" s="120">
        <v>0</v>
      </c>
      <c r="H401">
        <v>1</v>
      </c>
      <c r="I401" s="120" t="s">
        <v>47</v>
      </c>
      <c r="J401">
        <v>-1</v>
      </c>
      <c r="K401">
        <v>0</v>
      </c>
      <c r="L401">
        <v>23.8</v>
      </c>
      <c r="M401">
        <v>0</v>
      </c>
      <c r="N401">
        <v>23.8</v>
      </c>
    </row>
    <row r="402" spans="1:14" hidden="1" x14ac:dyDescent="0.25">
      <c r="A402" s="120" t="s">
        <v>3463</v>
      </c>
      <c r="B402" s="120" t="s">
        <v>3816</v>
      </c>
      <c r="C402" s="120" t="s">
        <v>301</v>
      </c>
      <c r="D402" s="120" t="s">
        <v>749</v>
      </c>
      <c r="E402" s="120" t="s">
        <v>306</v>
      </c>
      <c r="F402" s="120" t="s">
        <v>18</v>
      </c>
      <c r="G402" s="120">
        <v>1</v>
      </c>
      <c r="H402">
        <v>2</v>
      </c>
      <c r="I402" s="120" t="s">
        <v>11</v>
      </c>
      <c r="J402">
        <v>-1</v>
      </c>
      <c r="K402">
        <v>0</v>
      </c>
      <c r="L402">
        <v>40</v>
      </c>
      <c r="M402">
        <v>40</v>
      </c>
      <c r="N402">
        <v>80</v>
      </c>
    </row>
    <row r="403" spans="1:14" hidden="1" x14ac:dyDescent="0.25">
      <c r="A403" s="120" t="s">
        <v>3463</v>
      </c>
      <c r="B403" s="120" t="s">
        <v>3818</v>
      </c>
      <c r="C403" s="120" t="s">
        <v>301</v>
      </c>
      <c r="D403" s="120" t="s">
        <v>749</v>
      </c>
      <c r="E403" s="120" t="s">
        <v>306</v>
      </c>
      <c r="F403" s="120" t="s">
        <v>18</v>
      </c>
      <c r="G403" s="120">
        <v>2</v>
      </c>
      <c r="H403">
        <v>3</v>
      </c>
      <c r="I403" s="120" t="s">
        <v>47</v>
      </c>
      <c r="J403">
        <v>-1</v>
      </c>
      <c r="K403">
        <v>0</v>
      </c>
      <c r="L403">
        <v>40</v>
      </c>
      <c r="M403">
        <v>80</v>
      </c>
      <c r="N403">
        <v>120</v>
      </c>
    </row>
    <row r="404" spans="1:14" hidden="1" x14ac:dyDescent="0.25">
      <c r="A404" s="120" t="s">
        <v>3463</v>
      </c>
      <c r="B404" s="120" t="s">
        <v>3588</v>
      </c>
      <c r="C404" s="120" t="s">
        <v>301</v>
      </c>
      <c r="D404" s="120" t="s">
        <v>749</v>
      </c>
      <c r="E404" s="120" t="s">
        <v>306</v>
      </c>
      <c r="F404" s="120" t="s">
        <v>18</v>
      </c>
      <c r="G404" s="120">
        <v>10</v>
      </c>
      <c r="H404">
        <v>15</v>
      </c>
      <c r="I404" s="120" t="s">
        <v>11</v>
      </c>
      <c r="J404">
        <v>-5</v>
      </c>
      <c r="K404">
        <v>0</v>
      </c>
      <c r="L404">
        <v>40</v>
      </c>
      <c r="M404">
        <v>400</v>
      </c>
      <c r="N404">
        <v>600</v>
      </c>
    </row>
    <row r="405" spans="1:14" hidden="1" x14ac:dyDescent="0.25">
      <c r="A405" s="120" t="s">
        <v>3463</v>
      </c>
      <c r="B405" s="120" t="s">
        <v>3816</v>
      </c>
      <c r="C405" s="120" t="s">
        <v>301</v>
      </c>
      <c r="D405" s="120" t="s">
        <v>750</v>
      </c>
      <c r="E405" s="120" t="s">
        <v>148</v>
      </c>
      <c r="F405" s="120" t="s">
        <v>14</v>
      </c>
      <c r="G405" s="120">
        <v>9</v>
      </c>
      <c r="H405">
        <v>11</v>
      </c>
      <c r="I405" s="120" t="s">
        <v>47</v>
      </c>
      <c r="J405">
        <v>-2</v>
      </c>
      <c r="K405">
        <v>0</v>
      </c>
      <c r="L405">
        <v>16</v>
      </c>
      <c r="M405">
        <v>144</v>
      </c>
      <c r="N405">
        <v>176</v>
      </c>
    </row>
    <row r="406" spans="1:14" hidden="1" x14ac:dyDescent="0.25">
      <c r="A406" s="120" t="s">
        <v>3463</v>
      </c>
      <c r="B406" s="120" t="s">
        <v>3818</v>
      </c>
      <c r="C406" s="120" t="s">
        <v>301</v>
      </c>
      <c r="D406" s="120" t="s">
        <v>750</v>
      </c>
      <c r="E406" s="120" t="s">
        <v>148</v>
      </c>
      <c r="F406" s="120" t="s">
        <v>14</v>
      </c>
      <c r="G406" s="120">
        <v>6</v>
      </c>
      <c r="H406">
        <v>7</v>
      </c>
      <c r="I406" s="120" t="s">
        <v>11</v>
      </c>
      <c r="J406">
        <v>-1</v>
      </c>
      <c r="K406">
        <v>0</v>
      </c>
      <c r="L406">
        <v>16</v>
      </c>
      <c r="M406">
        <v>96</v>
      </c>
      <c r="N406">
        <v>112</v>
      </c>
    </row>
    <row r="407" spans="1:14" hidden="1" x14ac:dyDescent="0.25">
      <c r="A407" s="120" t="s">
        <v>3463</v>
      </c>
      <c r="B407" s="120" t="s">
        <v>3528</v>
      </c>
      <c r="C407" s="120" t="s">
        <v>301</v>
      </c>
      <c r="D407" s="120" t="s">
        <v>750</v>
      </c>
      <c r="E407" s="120" t="s">
        <v>148</v>
      </c>
      <c r="F407" s="120" t="s">
        <v>14</v>
      </c>
      <c r="G407" s="120">
        <v>3</v>
      </c>
      <c r="H407">
        <v>2</v>
      </c>
      <c r="I407" s="120" t="s">
        <v>11</v>
      </c>
      <c r="J407">
        <v>1</v>
      </c>
      <c r="K407">
        <v>0</v>
      </c>
      <c r="L407">
        <v>16</v>
      </c>
      <c r="M407">
        <v>48</v>
      </c>
      <c r="N407">
        <v>32</v>
      </c>
    </row>
    <row r="408" spans="1:14" hidden="1" x14ac:dyDescent="0.25">
      <c r="A408" s="120" t="s">
        <v>3463</v>
      </c>
      <c r="B408" s="120" t="s">
        <v>3588</v>
      </c>
      <c r="C408" s="120" t="s">
        <v>301</v>
      </c>
      <c r="D408" s="120" t="s">
        <v>750</v>
      </c>
      <c r="E408" s="120" t="s">
        <v>148</v>
      </c>
      <c r="F408" s="120" t="s">
        <v>18</v>
      </c>
      <c r="G408" s="120">
        <v>13</v>
      </c>
      <c r="H408">
        <v>12</v>
      </c>
      <c r="I408" s="120" t="s">
        <v>47</v>
      </c>
      <c r="J408">
        <v>1</v>
      </c>
      <c r="K408">
        <v>0</v>
      </c>
      <c r="L408">
        <v>16</v>
      </c>
      <c r="M408">
        <v>208</v>
      </c>
      <c r="N408">
        <v>192</v>
      </c>
    </row>
    <row r="409" spans="1:14" hidden="1" x14ac:dyDescent="0.25">
      <c r="A409" s="120" t="s">
        <v>3463</v>
      </c>
      <c r="B409" s="120" t="s">
        <v>3816</v>
      </c>
      <c r="C409" s="120" t="s">
        <v>301</v>
      </c>
      <c r="D409" s="120" t="s">
        <v>751</v>
      </c>
      <c r="E409" s="120" t="s">
        <v>149</v>
      </c>
      <c r="F409" s="120" t="s">
        <v>14</v>
      </c>
      <c r="G409" s="120">
        <v>4</v>
      </c>
      <c r="H409">
        <v>5</v>
      </c>
      <c r="I409" s="120" t="s">
        <v>11</v>
      </c>
      <c r="J409">
        <v>-1</v>
      </c>
      <c r="K409">
        <v>0</v>
      </c>
      <c r="L409">
        <v>15</v>
      </c>
      <c r="M409">
        <v>60</v>
      </c>
      <c r="N409">
        <v>75</v>
      </c>
    </row>
    <row r="410" spans="1:14" hidden="1" x14ac:dyDescent="0.25">
      <c r="A410" s="120" t="s">
        <v>3591</v>
      </c>
      <c r="B410" s="120" t="s">
        <v>3693</v>
      </c>
      <c r="C410" s="120" t="s">
        <v>301</v>
      </c>
      <c r="D410" s="120" t="s">
        <v>1178</v>
      </c>
      <c r="E410" s="120" t="s">
        <v>43</v>
      </c>
      <c r="F410" s="120" t="s">
        <v>10</v>
      </c>
      <c r="G410" s="120">
        <v>1</v>
      </c>
      <c r="H410">
        <v>1</v>
      </c>
      <c r="I410" s="120" t="s">
        <v>47</v>
      </c>
      <c r="J410">
        <v>0</v>
      </c>
      <c r="K410">
        <v>1</v>
      </c>
      <c r="L410" s="121">
        <v>17</v>
      </c>
      <c r="M410" s="121">
        <v>17</v>
      </c>
      <c r="N410" s="121">
        <v>17</v>
      </c>
    </row>
    <row r="411" spans="1:14" hidden="1" x14ac:dyDescent="0.25">
      <c r="A411" s="120" t="s">
        <v>3463</v>
      </c>
      <c r="B411" s="120" t="s">
        <v>3588</v>
      </c>
      <c r="C411" s="120" t="s">
        <v>301</v>
      </c>
      <c r="D411" s="120" t="s">
        <v>751</v>
      </c>
      <c r="E411" s="120" t="s">
        <v>308</v>
      </c>
      <c r="F411" s="120" t="s">
        <v>18</v>
      </c>
      <c r="G411" s="120">
        <v>10</v>
      </c>
      <c r="H411">
        <v>17</v>
      </c>
      <c r="I411" s="120" t="s">
        <v>11</v>
      </c>
      <c r="J411">
        <v>-7</v>
      </c>
      <c r="K411">
        <v>0</v>
      </c>
      <c r="L411">
        <v>15</v>
      </c>
      <c r="M411">
        <v>150</v>
      </c>
      <c r="N411">
        <v>255</v>
      </c>
    </row>
    <row r="412" spans="1:14" hidden="1" x14ac:dyDescent="0.25">
      <c r="A412" s="120" t="s">
        <v>3591</v>
      </c>
      <c r="B412" s="120" t="s">
        <v>3592</v>
      </c>
      <c r="C412" s="120" t="s">
        <v>301</v>
      </c>
      <c r="D412" s="120" t="s">
        <v>751</v>
      </c>
      <c r="E412" s="120" t="s">
        <v>149</v>
      </c>
      <c r="F412" s="120" t="s">
        <v>18</v>
      </c>
      <c r="G412" s="120">
        <v>60</v>
      </c>
      <c r="H412">
        <v>84</v>
      </c>
      <c r="I412" s="120" t="s">
        <v>11</v>
      </c>
      <c r="J412">
        <v>-24</v>
      </c>
      <c r="K412">
        <v>0</v>
      </c>
      <c r="L412" s="121">
        <v>15</v>
      </c>
      <c r="M412" s="121">
        <v>900</v>
      </c>
      <c r="N412" s="121">
        <v>1260</v>
      </c>
    </row>
    <row r="413" spans="1:14" hidden="1" x14ac:dyDescent="0.25">
      <c r="A413" s="120" t="s">
        <v>3591</v>
      </c>
      <c r="B413" s="120" t="s">
        <v>3693</v>
      </c>
      <c r="C413" s="120" t="s">
        <v>301</v>
      </c>
      <c r="D413" s="120" t="s">
        <v>705</v>
      </c>
      <c r="E413" s="120" t="s">
        <v>427</v>
      </c>
      <c r="F413" s="120" t="s">
        <v>10</v>
      </c>
      <c r="G413" s="120">
        <v>3</v>
      </c>
      <c r="H413">
        <v>3</v>
      </c>
      <c r="I413" s="120" t="s">
        <v>11</v>
      </c>
      <c r="J413">
        <v>0</v>
      </c>
      <c r="K413">
        <v>1</v>
      </c>
      <c r="L413" s="121">
        <v>5.9</v>
      </c>
      <c r="M413" s="121">
        <v>17.700000000000003</v>
      </c>
      <c r="N413" s="121">
        <v>17.700000000000003</v>
      </c>
    </row>
    <row r="414" spans="1:14" hidden="1" x14ac:dyDescent="0.25">
      <c r="A414" s="120" t="s">
        <v>3591</v>
      </c>
      <c r="B414" s="120" t="s">
        <v>3701</v>
      </c>
      <c r="C414" s="120" t="s">
        <v>301</v>
      </c>
      <c r="D414" s="120" t="s">
        <v>751</v>
      </c>
      <c r="E414" s="120" t="s">
        <v>149</v>
      </c>
      <c r="F414" s="120" t="s">
        <v>14</v>
      </c>
      <c r="G414" s="120">
        <v>1</v>
      </c>
      <c r="H414">
        <v>3</v>
      </c>
      <c r="I414" s="120" t="s">
        <v>47</v>
      </c>
      <c r="J414">
        <v>-2</v>
      </c>
      <c r="K414">
        <v>0</v>
      </c>
      <c r="L414">
        <v>15</v>
      </c>
      <c r="M414">
        <v>15</v>
      </c>
      <c r="N414">
        <v>45</v>
      </c>
    </row>
    <row r="415" spans="1:14" x14ac:dyDescent="0.25">
      <c r="A415" s="120" t="s">
        <v>3758</v>
      </c>
      <c r="B415" s="120" t="s">
        <v>3759</v>
      </c>
      <c r="C415" s="120" t="s">
        <v>301</v>
      </c>
      <c r="D415" s="120" t="s">
        <v>751</v>
      </c>
      <c r="E415" s="120" t="s">
        <v>149</v>
      </c>
      <c r="F415" s="120" t="s">
        <v>14</v>
      </c>
      <c r="G415" s="120">
        <v>55</v>
      </c>
      <c r="H415">
        <v>56</v>
      </c>
      <c r="I415" s="120" t="s">
        <v>11</v>
      </c>
      <c r="J415">
        <v>-1</v>
      </c>
      <c r="K415">
        <v>0</v>
      </c>
      <c r="L415">
        <v>15</v>
      </c>
      <c r="M415">
        <v>825</v>
      </c>
      <c r="N415">
        <v>840</v>
      </c>
    </row>
    <row r="416" spans="1:14" hidden="1" x14ac:dyDescent="0.25">
      <c r="A416" s="120" t="s">
        <v>3463</v>
      </c>
      <c r="B416" s="120" t="s">
        <v>3816</v>
      </c>
      <c r="C416" s="120" t="s">
        <v>301</v>
      </c>
      <c r="D416" s="120" t="s">
        <v>3516</v>
      </c>
      <c r="E416" s="120" t="s">
        <v>151</v>
      </c>
      <c r="F416" s="120" t="s">
        <v>10</v>
      </c>
      <c r="G416" s="120">
        <v>5</v>
      </c>
      <c r="H416">
        <v>0</v>
      </c>
      <c r="I416" s="120" t="s">
        <v>11</v>
      </c>
      <c r="J416">
        <v>5</v>
      </c>
      <c r="K416">
        <v>0</v>
      </c>
      <c r="L416">
        <v>0</v>
      </c>
      <c r="M416">
        <v>0</v>
      </c>
      <c r="N416">
        <v>0</v>
      </c>
    </row>
    <row r="417" spans="1:14" hidden="1" x14ac:dyDescent="0.25">
      <c r="A417" s="120" t="s">
        <v>3463</v>
      </c>
      <c r="B417" s="120" t="s">
        <v>3510</v>
      </c>
      <c r="C417" s="120" t="s">
        <v>301</v>
      </c>
      <c r="D417" s="120" t="s">
        <v>3516</v>
      </c>
      <c r="E417" s="120" t="s">
        <v>151</v>
      </c>
      <c r="F417" s="120" t="s">
        <v>10</v>
      </c>
      <c r="G417" s="120">
        <v>10</v>
      </c>
      <c r="H417">
        <v>0</v>
      </c>
      <c r="I417" s="120" t="s">
        <v>11</v>
      </c>
      <c r="J417">
        <v>10</v>
      </c>
      <c r="K417">
        <v>0</v>
      </c>
      <c r="L417">
        <v>0</v>
      </c>
      <c r="M417">
        <v>0</v>
      </c>
      <c r="N417">
        <v>0</v>
      </c>
    </row>
    <row r="418" spans="1:14" hidden="1" x14ac:dyDescent="0.25">
      <c r="A418" s="120" t="s">
        <v>3463</v>
      </c>
      <c r="B418" s="120" t="s">
        <v>3818</v>
      </c>
      <c r="C418" s="120" t="s">
        <v>301</v>
      </c>
      <c r="D418" s="120" t="s">
        <v>3516</v>
      </c>
      <c r="E418" s="120" t="s">
        <v>151</v>
      </c>
      <c r="F418" s="120" t="s">
        <v>10</v>
      </c>
      <c r="G418" s="120">
        <v>2</v>
      </c>
      <c r="H418">
        <v>0</v>
      </c>
      <c r="I418" s="120" t="s">
        <v>11</v>
      </c>
      <c r="J418">
        <v>2</v>
      </c>
      <c r="K418">
        <v>0</v>
      </c>
      <c r="L418">
        <v>0</v>
      </c>
      <c r="M418">
        <v>0</v>
      </c>
      <c r="N418">
        <v>0</v>
      </c>
    </row>
    <row r="419" spans="1:14" hidden="1" x14ac:dyDescent="0.25">
      <c r="A419" s="120" t="s">
        <v>3591</v>
      </c>
      <c r="B419" s="120" t="s">
        <v>3592</v>
      </c>
      <c r="C419" s="120" t="s">
        <v>301</v>
      </c>
      <c r="D419" s="120" t="s">
        <v>3516</v>
      </c>
      <c r="E419" s="120" t="s">
        <v>151</v>
      </c>
      <c r="F419" s="120" t="s">
        <v>10</v>
      </c>
      <c r="G419" s="120">
        <v>50</v>
      </c>
      <c r="H419">
        <v>0</v>
      </c>
      <c r="I419" s="120" t="s">
        <v>11</v>
      </c>
      <c r="J419">
        <v>50</v>
      </c>
      <c r="K419">
        <v>0</v>
      </c>
      <c r="L419" s="121">
        <v>0</v>
      </c>
      <c r="M419" s="121">
        <v>0</v>
      </c>
      <c r="N419" s="121">
        <v>0</v>
      </c>
    </row>
    <row r="420" spans="1:14" hidden="1" x14ac:dyDescent="0.25">
      <c r="A420" s="120" t="s">
        <v>3591</v>
      </c>
      <c r="B420" s="120" t="s">
        <v>3693</v>
      </c>
      <c r="C420" s="120" t="s">
        <v>301</v>
      </c>
      <c r="D420" s="120" t="s">
        <v>3516</v>
      </c>
      <c r="E420" s="120" t="s">
        <v>151</v>
      </c>
      <c r="F420" s="120" t="s">
        <v>10</v>
      </c>
      <c r="G420" s="120">
        <v>2</v>
      </c>
      <c r="H420">
        <v>0</v>
      </c>
      <c r="I420" s="120" t="s">
        <v>47</v>
      </c>
      <c r="J420">
        <v>2</v>
      </c>
      <c r="K420">
        <v>0</v>
      </c>
      <c r="L420">
        <v>0</v>
      </c>
      <c r="M420">
        <v>0</v>
      </c>
      <c r="N420">
        <v>0</v>
      </c>
    </row>
    <row r="421" spans="1:14" hidden="1" x14ac:dyDescent="0.25">
      <c r="A421" s="120" t="s">
        <v>3591</v>
      </c>
      <c r="B421" s="120" t="s">
        <v>3709</v>
      </c>
      <c r="C421" s="120" t="s">
        <v>301</v>
      </c>
      <c r="D421" s="120" t="s">
        <v>3516</v>
      </c>
      <c r="E421" s="120" t="s">
        <v>151</v>
      </c>
      <c r="F421" s="120" t="s">
        <v>14</v>
      </c>
      <c r="G421" s="120">
        <v>5</v>
      </c>
      <c r="H421">
        <v>0</v>
      </c>
      <c r="I421" s="120" t="s">
        <v>57</v>
      </c>
      <c r="J421">
        <v>5</v>
      </c>
      <c r="K421">
        <v>0</v>
      </c>
      <c r="L421">
        <v>0</v>
      </c>
      <c r="M421">
        <v>0</v>
      </c>
      <c r="N421">
        <v>0</v>
      </c>
    </row>
    <row r="422" spans="1:14" hidden="1" x14ac:dyDescent="0.25">
      <c r="A422" s="120" t="s">
        <v>3591</v>
      </c>
      <c r="B422" s="120" t="s">
        <v>3701</v>
      </c>
      <c r="C422" s="120" t="s">
        <v>301</v>
      </c>
      <c r="D422" s="120" t="s">
        <v>3516</v>
      </c>
      <c r="E422" s="120" t="s">
        <v>151</v>
      </c>
      <c r="F422" s="120" t="s">
        <v>10</v>
      </c>
      <c r="G422" s="120">
        <v>1</v>
      </c>
      <c r="H422">
        <v>0</v>
      </c>
      <c r="I422" s="120" t="s">
        <v>11</v>
      </c>
      <c r="J422">
        <v>1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s="120" t="s">
        <v>3758</v>
      </c>
      <c r="B423" s="120" t="s">
        <v>3759</v>
      </c>
      <c r="C423" s="120" t="s">
        <v>301</v>
      </c>
      <c r="D423" s="120" t="s">
        <v>3516</v>
      </c>
      <c r="E423" s="120" t="s">
        <v>151</v>
      </c>
      <c r="F423" s="120" t="s">
        <v>10</v>
      </c>
      <c r="G423" s="120">
        <v>60</v>
      </c>
      <c r="H423">
        <v>0</v>
      </c>
      <c r="I423" s="120" t="s">
        <v>11</v>
      </c>
      <c r="J423">
        <v>60</v>
      </c>
      <c r="K423">
        <v>0</v>
      </c>
      <c r="L423">
        <v>0</v>
      </c>
      <c r="M423">
        <v>0</v>
      </c>
      <c r="N423">
        <v>0</v>
      </c>
    </row>
    <row r="424" spans="1:14" hidden="1" x14ac:dyDescent="0.25">
      <c r="A424" s="120" t="s">
        <v>3463</v>
      </c>
      <c r="B424" s="120" t="s">
        <v>3510</v>
      </c>
      <c r="C424" s="120" t="s">
        <v>301</v>
      </c>
      <c r="D424" s="120" t="s">
        <v>3511</v>
      </c>
      <c r="E424" s="120" t="s">
        <v>130</v>
      </c>
      <c r="F424" s="120" t="s">
        <v>10</v>
      </c>
      <c r="G424" s="120">
        <v>12</v>
      </c>
      <c r="H424">
        <v>0</v>
      </c>
      <c r="I424" s="120" t="s">
        <v>11</v>
      </c>
      <c r="J424">
        <v>12</v>
      </c>
      <c r="K424">
        <v>0</v>
      </c>
      <c r="L424">
        <v>0</v>
      </c>
      <c r="M424">
        <v>0</v>
      </c>
      <c r="N424">
        <v>0</v>
      </c>
    </row>
    <row r="425" spans="1:14" hidden="1" x14ac:dyDescent="0.25">
      <c r="A425" s="120" t="s">
        <v>3463</v>
      </c>
      <c r="B425" s="120" t="s">
        <v>3816</v>
      </c>
      <c r="C425" s="120" t="s">
        <v>301</v>
      </c>
      <c r="D425" s="120" t="s">
        <v>3512</v>
      </c>
      <c r="E425" s="120" t="s">
        <v>131</v>
      </c>
      <c r="F425" s="120" t="s">
        <v>10</v>
      </c>
      <c r="G425" s="120">
        <v>5</v>
      </c>
      <c r="H425">
        <v>0</v>
      </c>
      <c r="I425" s="120" t="s">
        <v>11</v>
      </c>
      <c r="J425">
        <v>5</v>
      </c>
      <c r="K425">
        <v>0</v>
      </c>
      <c r="L425">
        <v>0</v>
      </c>
      <c r="M425">
        <v>0</v>
      </c>
      <c r="N425">
        <v>0</v>
      </c>
    </row>
    <row r="426" spans="1:14" hidden="1" x14ac:dyDescent="0.25">
      <c r="A426" s="120" t="s">
        <v>3463</v>
      </c>
      <c r="B426" s="120" t="s">
        <v>3510</v>
      </c>
      <c r="C426" s="120" t="s">
        <v>301</v>
      </c>
      <c r="D426" s="120" t="s">
        <v>3512</v>
      </c>
      <c r="E426" s="120" t="s">
        <v>131</v>
      </c>
      <c r="F426" s="120" t="s">
        <v>10</v>
      </c>
      <c r="G426" s="120">
        <v>10</v>
      </c>
      <c r="H426">
        <v>0</v>
      </c>
      <c r="I426" s="120" t="s">
        <v>11</v>
      </c>
      <c r="J426">
        <v>10</v>
      </c>
      <c r="K426">
        <v>0</v>
      </c>
      <c r="L426">
        <v>0</v>
      </c>
      <c r="M426">
        <v>0</v>
      </c>
      <c r="N426">
        <v>0</v>
      </c>
    </row>
    <row r="427" spans="1:14" hidden="1" x14ac:dyDescent="0.25">
      <c r="A427" s="120" t="s">
        <v>3463</v>
      </c>
      <c r="B427" s="120" t="s">
        <v>3588</v>
      </c>
      <c r="C427" s="120" t="s">
        <v>301</v>
      </c>
      <c r="D427" s="120" t="s">
        <v>3512</v>
      </c>
      <c r="E427" s="120" t="s">
        <v>131</v>
      </c>
      <c r="F427" s="120" t="s">
        <v>18</v>
      </c>
      <c r="G427" s="120">
        <v>3</v>
      </c>
      <c r="H427">
        <v>0</v>
      </c>
      <c r="I427" s="120" t="s">
        <v>11</v>
      </c>
      <c r="J427">
        <v>3</v>
      </c>
      <c r="K427">
        <v>0</v>
      </c>
      <c r="L427">
        <v>0</v>
      </c>
      <c r="M427">
        <v>0</v>
      </c>
      <c r="N427">
        <v>0</v>
      </c>
    </row>
    <row r="428" spans="1:14" hidden="1" x14ac:dyDescent="0.25">
      <c r="A428" s="120" t="s">
        <v>3591</v>
      </c>
      <c r="B428" s="120" t="s">
        <v>3592</v>
      </c>
      <c r="C428" s="120" t="s">
        <v>301</v>
      </c>
      <c r="D428" s="120" t="s">
        <v>3512</v>
      </c>
      <c r="E428" s="120" t="s">
        <v>131</v>
      </c>
      <c r="F428" s="120" t="s">
        <v>10</v>
      </c>
      <c r="G428" s="120">
        <v>33</v>
      </c>
      <c r="H428">
        <v>0</v>
      </c>
      <c r="I428" s="120" t="s">
        <v>11</v>
      </c>
      <c r="J428">
        <v>33</v>
      </c>
      <c r="K428">
        <v>0</v>
      </c>
      <c r="L428" s="121">
        <v>0</v>
      </c>
      <c r="M428" s="121">
        <v>0</v>
      </c>
      <c r="N428" s="121">
        <v>0</v>
      </c>
    </row>
    <row r="429" spans="1:14" hidden="1" x14ac:dyDescent="0.25">
      <c r="A429" s="120" t="s">
        <v>3591</v>
      </c>
      <c r="B429" s="120" t="s">
        <v>3693</v>
      </c>
      <c r="C429" s="120" t="s">
        <v>301</v>
      </c>
      <c r="D429" s="120" t="s">
        <v>3512</v>
      </c>
      <c r="E429" s="120" t="s">
        <v>131</v>
      </c>
      <c r="F429" s="120" t="s">
        <v>10</v>
      </c>
      <c r="G429" s="120">
        <v>2</v>
      </c>
      <c r="H429">
        <v>0</v>
      </c>
      <c r="I429" s="120" t="s">
        <v>11</v>
      </c>
      <c r="J429">
        <v>2</v>
      </c>
      <c r="K429">
        <v>0</v>
      </c>
      <c r="L429">
        <v>0</v>
      </c>
      <c r="M429">
        <v>0</v>
      </c>
      <c r="N429">
        <v>0</v>
      </c>
    </row>
    <row r="430" spans="1:14" hidden="1" x14ac:dyDescent="0.25">
      <c r="A430" s="120" t="s">
        <v>3591</v>
      </c>
      <c r="B430" s="120" t="s">
        <v>3709</v>
      </c>
      <c r="C430" s="120" t="s">
        <v>301</v>
      </c>
      <c r="D430" s="120" t="s">
        <v>3512</v>
      </c>
      <c r="E430" s="120" t="s">
        <v>131</v>
      </c>
      <c r="F430" s="120" t="s">
        <v>10</v>
      </c>
      <c r="G430" s="120">
        <v>2</v>
      </c>
      <c r="H430">
        <v>0</v>
      </c>
      <c r="I430" s="120" t="s">
        <v>11</v>
      </c>
      <c r="J430">
        <v>2</v>
      </c>
      <c r="K430">
        <v>0</v>
      </c>
      <c r="L430">
        <v>0</v>
      </c>
      <c r="M430">
        <v>0</v>
      </c>
      <c r="N430">
        <v>0</v>
      </c>
    </row>
    <row r="431" spans="1:14" hidden="1" x14ac:dyDescent="0.25">
      <c r="A431" s="120" t="s">
        <v>3591</v>
      </c>
      <c r="B431" s="120" t="s">
        <v>3701</v>
      </c>
      <c r="C431" s="120" t="s">
        <v>301</v>
      </c>
      <c r="D431" s="120" t="s">
        <v>3512</v>
      </c>
      <c r="E431" s="120" t="s">
        <v>131</v>
      </c>
      <c r="F431" s="120" t="s">
        <v>10</v>
      </c>
      <c r="G431" s="120">
        <v>3</v>
      </c>
      <c r="H431">
        <v>0</v>
      </c>
      <c r="I431" s="120" t="s">
        <v>11</v>
      </c>
      <c r="J431">
        <v>3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 s="120" t="s">
        <v>3758</v>
      </c>
      <c r="B432" s="120" t="s">
        <v>3759</v>
      </c>
      <c r="C432" s="120" t="s">
        <v>301</v>
      </c>
      <c r="D432" s="120" t="s">
        <v>3512</v>
      </c>
      <c r="E432" s="120" t="s">
        <v>131</v>
      </c>
      <c r="F432" s="120" t="s">
        <v>10</v>
      </c>
      <c r="G432" s="120">
        <v>76</v>
      </c>
      <c r="H432">
        <v>0</v>
      </c>
      <c r="I432" s="120" t="s">
        <v>11</v>
      </c>
      <c r="J432">
        <v>76</v>
      </c>
      <c r="K432">
        <v>0</v>
      </c>
      <c r="L432">
        <v>0</v>
      </c>
      <c r="M432">
        <v>0</v>
      </c>
      <c r="N432">
        <v>0</v>
      </c>
    </row>
    <row r="433" spans="1:14" hidden="1" x14ac:dyDescent="0.25">
      <c r="A433" s="120" t="s">
        <v>3463</v>
      </c>
      <c r="B433" s="120" t="s">
        <v>3816</v>
      </c>
      <c r="C433" s="120" t="s">
        <v>301</v>
      </c>
      <c r="D433" s="120" t="s">
        <v>3515</v>
      </c>
      <c r="E433" s="120" t="s">
        <v>146</v>
      </c>
      <c r="F433" s="120" t="s">
        <v>14</v>
      </c>
      <c r="G433" s="120">
        <v>1</v>
      </c>
      <c r="H433">
        <v>0</v>
      </c>
      <c r="I433" s="120" t="s">
        <v>11</v>
      </c>
      <c r="J433">
        <v>1</v>
      </c>
      <c r="K433">
        <v>0</v>
      </c>
      <c r="L433">
        <v>0</v>
      </c>
      <c r="M433">
        <v>0</v>
      </c>
      <c r="N433">
        <v>0</v>
      </c>
    </row>
    <row r="434" spans="1:14" hidden="1" x14ac:dyDescent="0.25">
      <c r="A434" s="120" t="s">
        <v>3463</v>
      </c>
      <c r="B434" s="120" t="s">
        <v>3510</v>
      </c>
      <c r="C434" s="120" t="s">
        <v>301</v>
      </c>
      <c r="D434" s="120" t="s">
        <v>3515</v>
      </c>
      <c r="E434" s="120" t="s">
        <v>146</v>
      </c>
      <c r="F434" s="120" t="s">
        <v>14</v>
      </c>
      <c r="G434" s="120">
        <v>4</v>
      </c>
      <c r="H434">
        <v>0</v>
      </c>
      <c r="I434" s="120" t="s">
        <v>11</v>
      </c>
      <c r="J434">
        <v>4</v>
      </c>
      <c r="K434">
        <v>0</v>
      </c>
      <c r="L434">
        <v>0</v>
      </c>
      <c r="M434">
        <v>0</v>
      </c>
      <c r="N434">
        <v>0</v>
      </c>
    </row>
    <row r="435" spans="1:14" hidden="1" x14ac:dyDescent="0.25">
      <c r="A435" s="120" t="s">
        <v>3463</v>
      </c>
      <c r="B435" s="120" t="s">
        <v>3818</v>
      </c>
      <c r="C435" s="120" t="s">
        <v>301</v>
      </c>
      <c r="D435" s="120" t="s">
        <v>3515</v>
      </c>
      <c r="E435" s="120" t="s">
        <v>146</v>
      </c>
      <c r="F435" s="120" t="s">
        <v>14</v>
      </c>
      <c r="G435" s="120">
        <v>3</v>
      </c>
      <c r="H435">
        <v>0</v>
      </c>
      <c r="I435" s="120" t="s">
        <v>11</v>
      </c>
      <c r="J435">
        <v>3</v>
      </c>
      <c r="K435">
        <v>0</v>
      </c>
      <c r="L435">
        <v>0</v>
      </c>
      <c r="M435">
        <v>0</v>
      </c>
      <c r="N435">
        <v>0</v>
      </c>
    </row>
    <row r="436" spans="1:14" hidden="1" x14ac:dyDescent="0.25">
      <c r="A436" s="120" t="s">
        <v>3463</v>
      </c>
      <c r="B436" s="120" t="s">
        <v>3588</v>
      </c>
      <c r="C436" s="120" t="s">
        <v>301</v>
      </c>
      <c r="D436" s="120" t="s">
        <v>3515</v>
      </c>
      <c r="E436" s="120" t="s">
        <v>327</v>
      </c>
      <c r="F436" s="120" t="s">
        <v>273</v>
      </c>
      <c r="G436" s="120">
        <v>1</v>
      </c>
      <c r="H436">
        <v>0</v>
      </c>
      <c r="I436" s="120" t="s">
        <v>11</v>
      </c>
      <c r="J436">
        <v>1</v>
      </c>
      <c r="K436">
        <v>0</v>
      </c>
      <c r="L436">
        <v>0</v>
      </c>
      <c r="M436">
        <v>0</v>
      </c>
      <c r="N436">
        <v>0</v>
      </c>
    </row>
    <row r="437" spans="1:14" hidden="1" x14ac:dyDescent="0.25">
      <c r="A437" s="120" t="s">
        <v>3591</v>
      </c>
      <c r="B437" s="120" t="s">
        <v>3592</v>
      </c>
      <c r="C437" s="120" t="s">
        <v>301</v>
      </c>
      <c r="D437" s="120" t="s">
        <v>3515</v>
      </c>
      <c r="E437" s="120" t="s">
        <v>146</v>
      </c>
      <c r="F437" s="120" t="s">
        <v>18</v>
      </c>
      <c r="G437" s="120">
        <v>3</v>
      </c>
      <c r="H437">
        <v>0</v>
      </c>
      <c r="I437" s="120" t="s">
        <v>11</v>
      </c>
      <c r="J437">
        <v>3</v>
      </c>
      <c r="K437">
        <v>0</v>
      </c>
      <c r="L437" s="121">
        <v>0</v>
      </c>
      <c r="M437" s="121">
        <v>0</v>
      </c>
      <c r="N437" s="121">
        <v>0</v>
      </c>
    </row>
    <row r="438" spans="1:14" hidden="1" x14ac:dyDescent="0.25">
      <c r="A438" s="120" t="s">
        <v>3591</v>
      </c>
      <c r="B438" s="120" t="s">
        <v>3693</v>
      </c>
      <c r="C438" s="120" t="s">
        <v>301</v>
      </c>
      <c r="D438" s="120" t="s">
        <v>3515</v>
      </c>
      <c r="E438" s="120" t="s">
        <v>146</v>
      </c>
      <c r="F438" s="120" t="s">
        <v>14</v>
      </c>
      <c r="G438" s="120">
        <v>4</v>
      </c>
      <c r="H438">
        <v>0</v>
      </c>
      <c r="I438" s="120" t="s">
        <v>11</v>
      </c>
      <c r="J438">
        <v>4</v>
      </c>
      <c r="K438">
        <v>0</v>
      </c>
      <c r="L438">
        <v>0</v>
      </c>
      <c r="M438">
        <v>0</v>
      </c>
      <c r="N438">
        <v>0</v>
      </c>
    </row>
    <row r="439" spans="1:14" hidden="1" x14ac:dyDescent="0.25">
      <c r="A439" s="120" t="s">
        <v>3591</v>
      </c>
      <c r="B439" s="120" t="s">
        <v>3709</v>
      </c>
      <c r="C439" s="120" t="s">
        <v>301</v>
      </c>
      <c r="D439" s="120" t="s">
        <v>3515</v>
      </c>
      <c r="E439" s="120" t="s">
        <v>146</v>
      </c>
      <c r="F439" s="120" t="s">
        <v>14</v>
      </c>
      <c r="G439" s="120">
        <v>3</v>
      </c>
      <c r="H439">
        <v>0</v>
      </c>
      <c r="I439" s="120" t="s">
        <v>11</v>
      </c>
      <c r="J439">
        <v>3</v>
      </c>
      <c r="K439">
        <v>0</v>
      </c>
      <c r="L439">
        <v>0</v>
      </c>
      <c r="M439">
        <v>0</v>
      </c>
      <c r="N439">
        <v>0</v>
      </c>
    </row>
    <row r="440" spans="1:14" hidden="1" x14ac:dyDescent="0.25">
      <c r="A440" s="120" t="s">
        <v>3591</v>
      </c>
      <c r="B440" s="120" t="s">
        <v>3701</v>
      </c>
      <c r="C440" s="120" t="s">
        <v>301</v>
      </c>
      <c r="D440" s="120" t="s">
        <v>3515</v>
      </c>
      <c r="E440" s="120" t="s">
        <v>146</v>
      </c>
      <c r="F440" s="120" t="s">
        <v>14</v>
      </c>
      <c r="G440" s="120">
        <v>2</v>
      </c>
      <c r="H440">
        <v>0</v>
      </c>
      <c r="I440" s="120" t="s">
        <v>11</v>
      </c>
      <c r="J440">
        <v>2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 s="120" t="s">
        <v>3758</v>
      </c>
      <c r="B441" s="120" t="s">
        <v>3759</v>
      </c>
      <c r="C441" s="120" t="s">
        <v>301</v>
      </c>
      <c r="D441" s="120" t="s">
        <v>3515</v>
      </c>
      <c r="E441" s="120" t="s">
        <v>146</v>
      </c>
      <c r="F441" s="120" t="s">
        <v>14</v>
      </c>
      <c r="G441" s="120">
        <v>28</v>
      </c>
      <c r="H441">
        <v>0</v>
      </c>
      <c r="I441" s="120" t="s">
        <v>11</v>
      </c>
      <c r="J441">
        <v>28</v>
      </c>
      <c r="K441">
        <v>0</v>
      </c>
      <c r="L441">
        <v>0</v>
      </c>
      <c r="M441">
        <v>0</v>
      </c>
      <c r="N441">
        <v>0</v>
      </c>
    </row>
    <row r="442" spans="1:14" hidden="1" x14ac:dyDescent="0.25">
      <c r="A442" s="120" t="s">
        <v>3463</v>
      </c>
      <c r="B442" s="120" t="s">
        <v>3816</v>
      </c>
      <c r="C442" s="120" t="s">
        <v>301</v>
      </c>
      <c r="D442" s="120" t="s">
        <v>1186</v>
      </c>
      <c r="E442" s="120" t="s">
        <v>160</v>
      </c>
      <c r="F442" s="120" t="s">
        <v>10</v>
      </c>
      <c r="G442" s="120">
        <v>5</v>
      </c>
      <c r="H442">
        <v>6</v>
      </c>
      <c r="I442" s="120" t="s">
        <v>11</v>
      </c>
      <c r="J442">
        <v>-1</v>
      </c>
      <c r="K442">
        <v>0</v>
      </c>
      <c r="L442">
        <v>14.8</v>
      </c>
      <c r="M442">
        <v>74</v>
      </c>
      <c r="N442">
        <v>88.800000000000011</v>
      </c>
    </row>
    <row r="443" spans="1:14" hidden="1" x14ac:dyDescent="0.25">
      <c r="A443" s="120" t="s">
        <v>3591</v>
      </c>
      <c r="B443" s="120" t="s">
        <v>3693</v>
      </c>
      <c r="C443" s="120" t="s">
        <v>301</v>
      </c>
      <c r="D443" s="120" t="s">
        <v>706</v>
      </c>
      <c r="E443" s="120" t="s">
        <v>428</v>
      </c>
      <c r="F443" s="120" t="s">
        <v>10</v>
      </c>
      <c r="G443" s="120">
        <v>3</v>
      </c>
      <c r="H443">
        <v>3</v>
      </c>
      <c r="I443" s="120" t="s">
        <v>11</v>
      </c>
      <c r="J443">
        <v>0</v>
      </c>
      <c r="K443">
        <v>1</v>
      </c>
      <c r="L443" s="121">
        <v>2.9</v>
      </c>
      <c r="M443" s="121">
        <v>8.6999999999999993</v>
      </c>
      <c r="N443" s="121">
        <v>8.6999999999999993</v>
      </c>
    </row>
    <row r="444" spans="1:14" hidden="1" x14ac:dyDescent="0.25">
      <c r="A444" s="120" t="s">
        <v>3463</v>
      </c>
      <c r="B444" s="120" t="s">
        <v>3818</v>
      </c>
      <c r="C444" s="120" t="s">
        <v>301</v>
      </c>
      <c r="D444" s="120" t="s">
        <v>1186</v>
      </c>
      <c r="E444" s="120" t="s">
        <v>160</v>
      </c>
      <c r="F444" s="120" t="s">
        <v>10</v>
      </c>
      <c r="G444" s="120">
        <v>1</v>
      </c>
      <c r="H444">
        <v>2</v>
      </c>
      <c r="I444" s="120" t="s">
        <v>11</v>
      </c>
      <c r="J444">
        <v>-1</v>
      </c>
      <c r="K444">
        <v>0</v>
      </c>
      <c r="L444">
        <v>14.8</v>
      </c>
      <c r="M444">
        <v>14.8</v>
      </c>
      <c r="N444">
        <v>29.6</v>
      </c>
    </row>
    <row r="445" spans="1:14" hidden="1" x14ac:dyDescent="0.25">
      <c r="A445" s="120" t="s">
        <v>3463</v>
      </c>
      <c r="B445" s="120" t="s">
        <v>3528</v>
      </c>
      <c r="C445" s="120" t="s">
        <v>301</v>
      </c>
      <c r="D445" s="120" t="s">
        <v>1186</v>
      </c>
      <c r="E445" s="120" t="s">
        <v>160</v>
      </c>
      <c r="F445" s="120" t="s">
        <v>10</v>
      </c>
      <c r="G445" s="120">
        <v>5</v>
      </c>
      <c r="H445">
        <v>7</v>
      </c>
      <c r="I445" s="120" t="s">
        <v>11</v>
      </c>
      <c r="J445">
        <v>-2</v>
      </c>
      <c r="K445">
        <v>0</v>
      </c>
      <c r="L445">
        <v>14.8</v>
      </c>
      <c r="M445">
        <v>74</v>
      </c>
      <c r="N445">
        <v>103.60000000000001</v>
      </c>
    </row>
    <row r="446" spans="1:14" hidden="1" x14ac:dyDescent="0.25">
      <c r="A446" s="120" t="s">
        <v>3463</v>
      </c>
      <c r="B446" s="120" t="s">
        <v>3588</v>
      </c>
      <c r="C446" s="120" t="s">
        <v>301</v>
      </c>
      <c r="D446" s="120" t="s">
        <v>1186</v>
      </c>
      <c r="E446" s="120" t="s">
        <v>160</v>
      </c>
      <c r="F446" s="120" t="s">
        <v>18</v>
      </c>
      <c r="G446" s="120">
        <v>9</v>
      </c>
      <c r="H446">
        <v>17</v>
      </c>
      <c r="I446" s="120" t="s">
        <v>11</v>
      </c>
      <c r="J446">
        <v>-8</v>
      </c>
      <c r="K446">
        <v>0</v>
      </c>
      <c r="L446">
        <v>14.8</v>
      </c>
      <c r="M446">
        <v>133.20000000000002</v>
      </c>
      <c r="N446">
        <v>251.60000000000002</v>
      </c>
    </row>
    <row r="447" spans="1:14" hidden="1" x14ac:dyDescent="0.25">
      <c r="A447" s="120" t="s">
        <v>3591</v>
      </c>
      <c r="B447" s="120" t="s">
        <v>3592</v>
      </c>
      <c r="C447" s="120" t="s">
        <v>301</v>
      </c>
      <c r="D447" s="120" t="s">
        <v>1186</v>
      </c>
      <c r="E447" s="120" t="s">
        <v>160</v>
      </c>
      <c r="F447" s="120" t="s">
        <v>10</v>
      </c>
      <c r="G447" s="120">
        <v>0</v>
      </c>
      <c r="H447">
        <v>23</v>
      </c>
      <c r="I447" s="120" t="s">
        <v>47</v>
      </c>
      <c r="J447">
        <v>-23</v>
      </c>
      <c r="K447">
        <v>0</v>
      </c>
      <c r="L447">
        <v>14.8</v>
      </c>
      <c r="M447">
        <v>0</v>
      </c>
      <c r="N447">
        <v>340.40000000000003</v>
      </c>
    </row>
    <row r="448" spans="1:14" hidden="1" x14ac:dyDescent="0.25">
      <c r="A448" s="120" t="s">
        <v>3591</v>
      </c>
      <c r="B448" s="120" t="s">
        <v>3693</v>
      </c>
      <c r="C448" s="120" t="s">
        <v>301</v>
      </c>
      <c r="D448" s="120" t="s">
        <v>1186</v>
      </c>
      <c r="E448" s="120" t="s">
        <v>160</v>
      </c>
      <c r="F448" s="120" t="s">
        <v>10</v>
      </c>
      <c r="G448" s="120">
        <v>1</v>
      </c>
      <c r="H448">
        <v>3</v>
      </c>
      <c r="I448" s="120" t="s">
        <v>47</v>
      </c>
      <c r="J448">
        <v>-2</v>
      </c>
      <c r="K448">
        <v>0</v>
      </c>
      <c r="L448">
        <v>14.8</v>
      </c>
      <c r="M448">
        <v>14.8</v>
      </c>
      <c r="N448">
        <v>44.400000000000006</v>
      </c>
    </row>
    <row r="449" spans="1:14" hidden="1" x14ac:dyDescent="0.25">
      <c r="A449" s="120" t="s">
        <v>3591</v>
      </c>
      <c r="B449" s="120" t="s">
        <v>3693</v>
      </c>
      <c r="C449" s="120" t="s">
        <v>301</v>
      </c>
      <c r="D449" s="120" t="s">
        <v>707</v>
      </c>
      <c r="E449" s="120" t="s">
        <v>429</v>
      </c>
      <c r="F449" s="120" t="s">
        <v>10</v>
      </c>
      <c r="G449" s="120">
        <v>2</v>
      </c>
      <c r="H449">
        <v>2</v>
      </c>
      <c r="I449" s="120" t="s">
        <v>11</v>
      </c>
      <c r="J449">
        <v>0</v>
      </c>
      <c r="K449">
        <v>1</v>
      </c>
      <c r="L449" s="121">
        <v>5.9</v>
      </c>
      <c r="M449" s="121">
        <v>11.8</v>
      </c>
      <c r="N449" s="121">
        <v>11.8</v>
      </c>
    </row>
    <row r="450" spans="1:14" hidden="1" x14ac:dyDescent="0.25">
      <c r="A450" s="120" t="s">
        <v>3591</v>
      </c>
      <c r="B450" s="120" t="s">
        <v>3701</v>
      </c>
      <c r="C450" s="120" t="s">
        <v>301</v>
      </c>
      <c r="D450" s="120" t="s">
        <v>1186</v>
      </c>
      <c r="E450" s="120" t="s">
        <v>160</v>
      </c>
      <c r="F450" s="120" t="s">
        <v>18</v>
      </c>
      <c r="G450" s="120">
        <v>1</v>
      </c>
      <c r="H450">
        <v>0</v>
      </c>
      <c r="I450" s="120" t="s">
        <v>11</v>
      </c>
      <c r="J450">
        <v>1</v>
      </c>
      <c r="K450">
        <v>0</v>
      </c>
      <c r="L450">
        <v>14.8</v>
      </c>
      <c r="M450">
        <v>14.8</v>
      </c>
      <c r="N450">
        <v>0</v>
      </c>
    </row>
    <row r="451" spans="1:14" hidden="1" x14ac:dyDescent="0.25">
      <c r="A451" s="120" t="s">
        <v>3463</v>
      </c>
      <c r="B451" s="120" t="s">
        <v>3816</v>
      </c>
      <c r="C451" s="120" t="s">
        <v>301</v>
      </c>
      <c r="D451" s="120" t="s">
        <v>3589</v>
      </c>
      <c r="E451" s="120" t="s">
        <v>389</v>
      </c>
      <c r="F451" s="120" t="s">
        <v>14</v>
      </c>
      <c r="G451" s="120">
        <v>3</v>
      </c>
      <c r="H451">
        <v>0</v>
      </c>
      <c r="I451" s="120" t="s">
        <v>11</v>
      </c>
      <c r="J451">
        <v>3</v>
      </c>
      <c r="K451">
        <v>0</v>
      </c>
      <c r="L451">
        <v>0</v>
      </c>
      <c r="M451">
        <v>0</v>
      </c>
      <c r="N451">
        <v>0</v>
      </c>
    </row>
    <row r="452" spans="1:14" hidden="1" x14ac:dyDescent="0.25">
      <c r="A452" s="120" t="s">
        <v>3463</v>
      </c>
      <c r="B452" s="120" t="s">
        <v>3588</v>
      </c>
      <c r="C452" s="120" t="s">
        <v>301</v>
      </c>
      <c r="D452" s="120" t="s">
        <v>3589</v>
      </c>
      <c r="E452" s="120" t="s">
        <v>322</v>
      </c>
      <c r="F452" s="120" t="s">
        <v>18</v>
      </c>
      <c r="G452" s="120">
        <v>5</v>
      </c>
      <c r="H452">
        <v>0</v>
      </c>
      <c r="I452" s="120" t="s">
        <v>11</v>
      </c>
      <c r="J452">
        <v>5</v>
      </c>
      <c r="K452">
        <v>0</v>
      </c>
      <c r="L452">
        <v>0</v>
      </c>
      <c r="M452">
        <v>0</v>
      </c>
      <c r="N452">
        <v>0</v>
      </c>
    </row>
    <row r="453" spans="1:14" hidden="1" x14ac:dyDescent="0.25">
      <c r="A453" s="120" t="s">
        <v>3591</v>
      </c>
      <c r="B453" s="120" t="s">
        <v>3592</v>
      </c>
      <c r="C453" s="120" t="s">
        <v>301</v>
      </c>
      <c r="D453" s="120" t="s">
        <v>3589</v>
      </c>
      <c r="E453" s="120" t="s">
        <v>389</v>
      </c>
      <c r="F453" s="120" t="s">
        <v>18</v>
      </c>
      <c r="G453" s="120">
        <v>45</v>
      </c>
      <c r="H453">
        <v>0</v>
      </c>
      <c r="I453" s="120" t="s">
        <v>11</v>
      </c>
      <c r="J453">
        <v>45</v>
      </c>
      <c r="K453">
        <v>0</v>
      </c>
      <c r="L453" s="121">
        <v>0</v>
      </c>
      <c r="M453" s="121">
        <v>0</v>
      </c>
      <c r="N453" s="121">
        <v>0</v>
      </c>
    </row>
    <row r="454" spans="1:14" hidden="1" x14ac:dyDescent="0.25">
      <c r="A454" s="120" t="s">
        <v>3591</v>
      </c>
      <c r="B454" s="120" t="s">
        <v>3693</v>
      </c>
      <c r="C454" s="120" t="s">
        <v>301</v>
      </c>
      <c r="D454" s="120" t="s">
        <v>3589</v>
      </c>
      <c r="E454" s="120" t="s">
        <v>389</v>
      </c>
      <c r="F454" s="120" t="s">
        <v>14</v>
      </c>
      <c r="G454" s="120">
        <v>1</v>
      </c>
      <c r="H454">
        <v>0</v>
      </c>
      <c r="I454" s="120" t="s">
        <v>11</v>
      </c>
      <c r="J454">
        <v>1</v>
      </c>
      <c r="K454">
        <v>0</v>
      </c>
      <c r="L454">
        <v>0</v>
      </c>
      <c r="M454">
        <v>0</v>
      </c>
      <c r="N454">
        <v>0</v>
      </c>
    </row>
    <row r="455" spans="1:14" hidden="1" x14ac:dyDescent="0.25">
      <c r="A455" s="120" t="s">
        <v>3591</v>
      </c>
      <c r="B455" s="120" t="s">
        <v>3701</v>
      </c>
      <c r="C455" s="120" t="s">
        <v>301</v>
      </c>
      <c r="D455" s="120" t="s">
        <v>3589</v>
      </c>
      <c r="E455" s="120" t="s">
        <v>389</v>
      </c>
      <c r="F455" s="120" t="s">
        <v>14</v>
      </c>
      <c r="G455" s="120">
        <v>1</v>
      </c>
      <c r="H455">
        <v>0</v>
      </c>
      <c r="I455" s="120" t="s">
        <v>11</v>
      </c>
      <c r="J455">
        <v>1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 s="120" t="s">
        <v>3758</v>
      </c>
      <c r="B456" s="120" t="s">
        <v>3759</v>
      </c>
      <c r="C456" s="120" t="s">
        <v>301</v>
      </c>
      <c r="D456" s="120" t="s">
        <v>3589</v>
      </c>
      <c r="E456" s="120" t="s">
        <v>389</v>
      </c>
      <c r="F456" s="120" t="s">
        <v>14</v>
      </c>
      <c r="G456" s="120">
        <v>38</v>
      </c>
      <c r="H456">
        <v>0</v>
      </c>
      <c r="I456" s="120" t="s">
        <v>11</v>
      </c>
      <c r="J456">
        <v>38</v>
      </c>
      <c r="K456">
        <v>0</v>
      </c>
      <c r="L456">
        <v>0</v>
      </c>
      <c r="M456">
        <v>0</v>
      </c>
      <c r="N456">
        <v>0</v>
      </c>
    </row>
    <row r="457" spans="1:14" hidden="1" x14ac:dyDescent="0.25">
      <c r="A457" s="120" t="s">
        <v>3591</v>
      </c>
      <c r="B457" s="120" t="s">
        <v>3693</v>
      </c>
      <c r="C457" s="120" t="s">
        <v>301</v>
      </c>
      <c r="D457" s="120" t="s">
        <v>751</v>
      </c>
      <c r="E457" s="120" t="s">
        <v>149</v>
      </c>
      <c r="F457" s="120" t="s">
        <v>14</v>
      </c>
      <c r="G457" s="120">
        <v>1</v>
      </c>
      <c r="H457">
        <v>1</v>
      </c>
      <c r="I457" s="120" t="s">
        <v>11</v>
      </c>
      <c r="J457">
        <v>0</v>
      </c>
      <c r="K457">
        <v>1</v>
      </c>
      <c r="L457" s="121">
        <v>15</v>
      </c>
      <c r="M457" s="121">
        <v>15</v>
      </c>
      <c r="N457" s="121">
        <v>15</v>
      </c>
    </row>
    <row r="458" spans="1:14" hidden="1" x14ac:dyDescent="0.25">
      <c r="A458" s="120" t="s">
        <v>3463</v>
      </c>
      <c r="B458" s="120" t="s">
        <v>3510</v>
      </c>
      <c r="C458" s="120" t="s">
        <v>301</v>
      </c>
      <c r="D458" s="120" t="s">
        <v>3518</v>
      </c>
      <c r="E458" s="120" t="s">
        <v>161</v>
      </c>
      <c r="F458" s="120" t="s">
        <v>18</v>
      </c>
      <c r="G458" s="120">
        <v>3</v>
      </c>
      <c r="H458">
        <v>0</v>
      </c>
      <c r="I458" s="120" t="s">
        <v>47</v>
      </c>
      <c r="J458">
        <v>3</v>
      </c>
      <c r="K458">
        <v>0</v>
      </c>
      <c r="L458">
        <v>0</v>
      </c>
      <c r="M458">
        <v>0</v>
      </c>
      <c r="N458">
        <v>0</v>
      </c>
    </row>
    <row r="459" spans="1:14" hidden="1" x14ac:dyDescent="0.25">
      <c r="A459" s="120" t="s">
        <v>3463</v>
      </c>
      <c r="B459" s="120" t="s">
        <v>3818</v>
      </c>
      <c r="C459" s="120" t="s">
        <v>301</v>
      </c>
      <c r="D459" s="120" t="s">
        <v>3518</v>
      </c>
      <c r="E459" s="120" t="s">
        <v>161</v>
      </c>
      <c r="F459" s="120" t="s">
        <v>18</v>
      </c>
      <c r="G459" s="120">
        <v>1</v>
      </c>
      <c r="H459">
        <v>0</v>
      </c>
      <c r="I459" s="120" t="s">
        <v>47</v>
      </c>
      <c r="J459">
        <v>1</v>
      </c>
      <c r="K459">
        <v>0</v>
      </c>
      <c r="L459">
        <v>0</v>
      </c>
      <c r="M459">
        <v>0</v>
      </c>
      <c r="N459">
        <v>0</v>
      </c>
    </row>
    <row r="460" spans="1:14" hidden="1" x14ac:dyDescent="0.25">
      <c r="A460" s="120" t="s">
        <v>3463</v>
      </c>
      <c r="B460" s="120" t="s">
        <v>3528</v>
      </c>
      <c r="C460" s="120" t="s">
        <v>301</v>
      </c>
      <c r="D460" s="120" t="s">
        <v>3518</v>
      </c>
      <c r="E460" s="120" t="s">
        <v>161</v>
      </c>
      <c r="F460" s="120" t="s">
        <v>18</v>
      </c>
      <c r="G460" s="120">
        <v>3</v>
      </c>
      <c r="H460">
        <v>0</v>
      </c>
      <c r="I460" s="120" t="s">
        <v>11</v>
      </c>
      <c r="J460">
        <v>3</v>
      </c>
      <c r="K460">
        <v>0</v>
      </c>
      <c r="L460">
        <v>0</v>
      </c>
      <c r="M460">
        <v>0</v>
      </c>
      <c r="N460">
        <v>0</v>
      </c>
    </row>
    <row r="461" spans="1:14" hidden="1" x14ac:dyDescent="0.25">
      <c r="A461" s="120" t="s">
        <v>3463</v>
      </c>
      <c r="B461" s="120" t="s">
        <v>3588</v>
      </c>
      <c r="C461" s="120" t="s">
        <v>301</v>
      </c>
      <c r="D461" s="120" t="s">
        <v>3518</v>
      </c>
      <c r="E461" s="120" t="s">
        <v>315</v>
      </c>
      <c r="F461" s="120" t="s">
        <v>18</v>
      </c>
      <c r="G461" s="120">
        <v>12</v>
      </c>
      <c r="H461">
        <v>0</v>
      </c>
      <c r="I461" s="120" t="s">
        <v>11</v>
      </c>
      <c r="J461">
        <v>12</v>
      </c>
      <c r="K461">
        <v>0</v>
      </c>
      <c r="L461">
        <v>0</v>
      </c>
      <c r="M461">
        <v>0</v>
      </c>
      <c r="N461">
        <v>0</v>
      </c>
    </row>
    <row r="462" spans="1:14" hidden="1" x14ac:dyDescent="0.25">
      <c r="A462" s="120" t="s">
        <v>3591</v>
      </c>
      <c r="B462" s="120" t="s">
        <v>3693</v>
      </c>
      <c r="C462" s="120" t="s">
        <v>301</v>
      </c>
      <c r="D462" s="120" t="s">
        <v>1175</v>
      </c>
      <c r="E462" s="120" t="s">
        <v>159</v>
      </c>
      <c r="F462" s="120" t="s">
        <v>10</v>
      </c>
      <c r="G462" s="120">
        <v>2</v>
      </c>
      <c r="H462">
        <v>2</v>
      </c>
      <c r="I462" s="120" t="s">
        <v>11</v>
      </c>
      <c r="J462">
        <v>0</v>
      </c>
      <c r="K462">
        <v>1</v>
      </c>
      <c r="L462" s="121">
        <v>100</v>
      </c>
      <c r="M462" s="121">
        <v>200</v>
      </c>
      <c r="N462" s="121">
        <v>200</v>
      </c>
    </row>
    <row r="463" spans="1:14" hidden="1" x14ac:dyDescent="0.25">
      <c r="A463" s="120" t="s">
        <v>3463</v>
      </c>
      <c r="B463" s="120" t="s">
        <v>3510</v>
      </c>
      <c r="C463" s="120" t="s">
        <v>301</v>
      </c>
      <c r="D463" s="120" t="s">
        <v>3513</v>
      </c>
      <c r="E463" s="120" t="s">
        <v>138</v>
      </c>
      <c r="F463" s="120" t="s">
        <v>18</v>
      </c>
      <c r="G463" s="120">
        <v>2</v>
      </c>
      <c r="H463">
        <v>0</v>
      </c>
      <c r="I463" s="120" t="s">
        <v>47</v>
      </c>
      <c r="J463">
        <v>2</v>
      </c>
      <c r="K463">
        <v>0</v>
      </c>
      <c r="L463">
        <v>0</v>
      </c>
      <c r="M463">
        <v>0</v>
      </c>
      <c r="N463">
        <v>0</v>
      </c>
    </row>
    <row r="464" spans="1:14" hidden="1" x14ac:dyDescent="0.25">
      <c r="A464" s="120" t="s">
        <v>3463</v>
      </c>
      <c r="B464" s="120" t="s">
        <v>3816</v>
      </c>
      <c r="C464" s="120" t="s">
        <v>301</v>
      </c>
      <c r="D464" s="120" t="s">
        <v>3513</v>
      </c>
      <c r="E464" s="120" t="s">
        <v>138</v>
      </c>
      <c r="F464" s="120" t="s">
        <v>18</v>
      </c>
      <c r="G464" s="120">
        <v>1</v>
      </c>
      <c r="H464">
        <v>0</v>
      </c>
      <c r="I464" s="120" t="s">
        <v>47</v>
      </c>
      <c r="J464">
        <v>1</v>
      </c>
      <c r="K464">
        <v>0</v>
      </c>
      <c r="L464">
        <v>0</v>
      </c>
      <c r="M464">
        <v>0</v>
      </c>
      <c r="N464">
        <v>0</v>
      </c>
    </row>
    <row r="465" spans="1:14" hidden="1" x14ac:dyDescent="0.25">
      <c r="A465" s="120" t="s">
        <v>3463</v>
      </c>
      <c r="B465" s="120" t="s">
        <v>3816</v>
      </c>
      <c r="C465" s="120" t="s">
        <v>301</v>
      </c>
      <c r="D465" s="120" t="s">
        <v>3520</v>
      </c>
      <c r="E465" s="120" t="s">
        <v>164</v>
      </c>
      <c r="F465" s="120" t="s">
        <v>18</v>
      </c>
      <c r="G465" s="120">
        <v>1</v>
      </c>
      <c r="H465">
        <v>0</v>
      </c>
      <c r="I465" s="120" t="s">
        <v>11</v>
      </c>
      <c r="J465">
        <v>1</v>
      </c>
      <c r="K465">
        <v>0</v>
      </c>
      <c r="L465">
        <v>0</v>
      </c>
      <c r="M465">
        <v>0</v>
      </c>
      <c r="N465">
        <v>0</v>
      </c>
    </row>
    <row r="466" spans="1:14" hidden="1" x14ac:dyDescent="0.25">
      <c r="A466" s="120" t="s">
        <v>3463</v>
      </c>
      <c r="B466" s="120" t="s">
        <v>3510</v>
      </c>
      <c r="C466" s="120" t="s">
        <v>301</v>
      </c>
      <c r="D466" s="120" t="s">
        <v>3520</v>
      </c>
      <c r="E466" s="120" t="s">
        <v>164</v>
      </c>
      <c r="F466" s="120" t="s">
        <v>18</v>
      </c>
      <c r="G466" s="120">
        <v>10</v>
      </c>
      <c r="H466">
        <v>0</v>
      </c>
      <c r="I466" s="120" t="s">
        <v>47</v>
      </c>
      <c r="J466">
        <v>10</v>
      </c>
      <c r="K466">
        <v>0</v>
      </c>
      <c r="L466">
        <v>0</v>
      </c>
      <c r="M466">
        <v>0</v>
      </c>
      <c r="N466">
        <v>0</v>
      </c>
    </row>
    <row r="467" spans="1:14" hidden="1" x14ac:dyDescent="0.25">
      <c r="A467" s="120" t="s">
        <v>3463</v>
      </c>
      <c r="B467" s="120" t="s">
        <v>3528</v>
      </c>
      <c r="C467" s="120" t="s">
        <v>301</v>
      </c>
      <c r="D467" s="120" t="s">
        <v>3520</v>
      </c>
      <c r="E467" s="120" t="s">
        <v>164</v>
      </c>
      <c r="F467" s="120" t="s">
        <v>18</v>
      </c>
      <c r="G467" s="120">
        <v>2</v>
      </c>
      <c r="H467">
        <v>0</v>
      </c>
      <c r="I467" s="120" t="s">
        <v>47</v>
      </c>
      <c r="J467">
        <v>2</v>
      </c>
      <c r="K467">
        <v>0</v>
      </c>
      <c r="L467">
        <v>0</v>
      </c>
      <c r="M467">
        <v>0</v>
      </c>
      <c r="N467">
        <v>0</v>
      </c>
    </row>
    <row r="468" spans="1:14" hidden="1" x14ac:dyDescent="0.25">
      <c r="A468" s="120" t="s">
        <v>3591</v>
      </c>
      <c r="B468" s="120" t="s">
        <v>3693</v>
      </c>
      <c r="C468" s="120" t="s">
        <v>301</v>
      </c>
      <c r="D468" s="120" t="s">
        <v>1173</v>
      </c>
      <c r="E468" s="120" t="s">
        <v>1174</v>
      </c>
      <c r="F468" s="120" t="s">
        <v>18</v>
      </c>
      <c r="G468" s="120">
        <v>1</v>
      </c>
      <c r="H468">
        <v>1</v>
      </c>
      <c r="I468" s="120" t="s">
        <v>11</v>
      </c>
      <c r="J468">
        <v>0</v>
      </c>
      <c r="K468">
        <v>1</v>
      </c>
      <c r="L468" s="121">
        <v>7500</v>
      </c>
      <c r="M468" s="121">
        <v>7500</v>
      </c>
      <c r="N468" s="121">
        <v>7500</v>
      </c>
    </row>
    <row r="469" spans="1:14" hidden="1" x14ac:dyDescent="0.25">
      <c r="A469" s="120" t="s">
        <v>3591</v>
      </c>
      <c r="B469" s="120" t="s">
        <v>3709</v>
      </c>
      <c r="C469" s="120" t="s">
        <v>301</v>
      </c>
      <c r="D469" s="120" t="s">
        <v>3520</v>
      </c>
      <c r="E469" s="120" t="s">
        <v>164</v>
      </c>
      <c r="F469" s="120" t="s">
        <v>18</v>
      </c>
      <c r="G469" s="120">
        <v>2</v>
      </c>
      <c r="H469">
        <v>0</v>
      </c>
      <c r="I469" s="120" t="s">
        <v>47</v>
      </c>
      <c r="J469">
        <v>2</v>
      </c>
      <c r="K469">
        <v>0</v>
      </c>
      <c r="L469">
        <v>0</v>
      </c>
      <c r="M469">
        <v>0</v>
      </c>
      <c r="N469">
        <v>0</v>
      </c>
    </row>
    <row r="470" spans="1:14" hidden="1" x14ac:dyDescent="0.25">
      <c r="A470" s="120" t="s">
        <v>3591</v>
      </c>
      <c r="B470" s="120" t="s">
        <v>3701</v>
      </c>
      <c r="C470" s="120" t="s">
        <v>301</v>
      </c>
      <c r="D470" s="120" t="s">
        <v>3520</v>
      </c>
      <c r="E470" s="120" t="s">
        <v>164</v>
      </c>
      <c r="F470" s="120" t="s">
        <v>18</v>
      </c>
      <c r="G470" s="120">
        <v>2</v>
      </c>
      <c r="H470">
        <v>0</v>
      </c>
      <c r="I470" s="120" t="s">
        <v>47</v>
      </c>
      <c r="J470">
        <v>2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 s="120" t="s">
        <v>3758</v>
      </c>
      <c r="B471" s="120" t="s">
        <v>3759</v>
      </c>
      <c r="C471" s="120" t="s">
        <v>301</v>
      </c>
      <c r="D471" s="120" t="s">
        <v>3520</v>
      </c>
      <c r="E471" s="120" t="s">
        <v>164</v>
      </c>
      <c r="F471" s="120" t="s">
        <v>18</v>
      </c>
      <c r="G471" s="120">
        <v>45</v>
      </c>
      <c r="H471">
        <v>0</v>
      </c>
      <c r="I471" s="120" t="s">
        <v>11</v>
      </c>
      <c r="J471">
        <v>45</v>
      </c>
      <c r="K471">
        <v>0</v>
      </c>
      <c r="L471">
        <v>0</v>
      </c>
      <c r="M471">
        <v>0</v>
      </c>
      <c r="N471">
        <v>0</v>
      </c>
    </row>
    <row r="472" spans="1:14" hidden="1" x14ac:dyDescent="0.25">
      <c r="A472" s="120" t="s">
        <v>3591</v>
      </c>
      <c r="B472" s="120" t="s">
        <v>3693</v>
      </c>
      <c r="C472" s="120" t="s">
        <v>301</v>
      </c>
      <c r="D472" s="120" t="s">
        <v>1197</v>
      </c>
      <c r="E472" s="120" t="s">
        <v>473</v>
      </c>
      <c r="F472" s="120" t="s">
        <v>18</v>
      </c>
      <c r="G472" s="120">
        <v>1</v>
      </c>
      <c r="H472">
        <v>1</v>
      </c>
      <c r="I472" s="120" t="s">
        <v>11</v>
      </c>
      <c r="J472">
        <v>0</v>
      </c>
      <c r="K472">
        <v>1</v>
      </c>
      <c r="L472" s="121">
        <v>10000</v>
      </c>
      <c r="M472" s="121">
        <v>10000</v>
      </c>
      <c r="N472" s="121">
        <v>10000</v>
      </c>
    </row>
    <row r="473" spans="1:14" hidden="1" x14ac:dyDescent="0.25">
      <c r="A473" s="120" t="s">
        <v>3463</v>
      </c>
      <c r="B473" s="120" t="s">
        <v>3816</v>
      </c>
      <c r="C473" s="120" t="s">
        <v>301</v>
      </c>
      <c r="D473" s="120" t="s">
        <v>3519</v>
      </c>
      <c r="E473" s="120" t="s">
        <v>162</v>
      </c>
      <c r="F473" s="120" t="s">
        <v>14</v>
      </c>
      <c r="G473" s="120">
        <v>5</v>
      </c>
      <c r="H473">
        <v>0</v>
      </c>
      <c r="I473" s="120" t="s">
        <v>47</v>
      </c>
      <c r="J473">
        <v>5</v>
      </c>
      <c r="K473">
        <v>0</v>
      </c>
      <c r="L473">
        <v>0</v>
      </c>
      <c r="M473">
        <v>0</v>
      </c>
      <c r="N473">
        <v>0</v>
      </c>
    </row>
    <row r="474" spans="1:14" hidden="1" x14ac:dyDescent="0.25">
      <c r="A474" s="120" t="s">
        <v>3463</v>
      </c>
      <c r="B474" s="120" t="s">
        <v>3510</v>
      </c>
      <c r="C474" s="120" t="s">
        <v>301</v>
      </c>
      <c r="D474" s="120" t="s">
        <v>3519</v>
      </c>
      <c r="E474" s="120" t="s">
        <v>162</v>
      </c>
      <c r="F474" s="120" t="s">
        <v>14</v>
      </c>
      <c r="G474" s="120">
        <v>1</v>
      </c>
      <c r="H474">
        <v>0</v>
      </c>
      <c r="I474" s="120" t="s">
        <v>57</v>
      </c>
      <c r="J474">
        <v>1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 s="120" t="s">
        <v>3758</v>
      </c>
      <c r="B475" s="120" t="s">
        <v>3759</v>
      </c>
      <c r="C475" s="120" t="s">
        <v>301</v>
      </c>
      <c r="D475" s="120" t="s">
        <v>3519</v>
      </c>
      <c r="E475" s="120" t="s">
        <v>162</v>
      </c>
      <c r="F475" s="120" t="s">
        <v>14</v>
      </c>
      <c r="G475" s="120">
        <v>33</v>
      </c>
      <c r="H475">
        <v>0</v>
      </c>
      <c r="I475" s="120" t="s">
        <v>11</v>
      </c>
      <c r="J475">
        <v>33</v>
      </c>
      <c r="K475">
        <v>0</v>
      </c>
      <c r="L475">
        <v>0</v>
      </c>
      <c r="M475">
        <v>0</v>
      </c>
      <c r="N475">
        <v>0</v>
      </c>
    </row>
    <row r="476" spans="1:14" hidden="1" x14ac:dyDescent="0.25">
      <c r="A476" s="120" t="s">
        <v>3463</v>
      </c>
      <c r="B476" s="120" t="s">
        <v>3816</v>
      </c>
      <c r="C476" s="120" t="s">
        <v>301</v>
      </c>
      <c r="D476" s="120" t="s">
        <v>3530</v>
      </c>
      <c r="E476" s="120" t="s">
        <v>205</v>
      </c>
      <c r="F476" s="120" t="s">
        <v>14</v>
      </c>
      <c r="G476" s="120">
        <v>1</v>
      </c>
      <c r="H476">
        <v>0</v>
      </c>
      <c r="I476" s="120" t="s">
        <v>47</v>
      </c>
      <c r="J476">
        <v>1</v>
      </c>
      <c r="K476">
        <v>0</v>
      </c>
      <c r="L476">
        <v>0</v>
      </c>
      <c r="M476">
        <v>0</v>
      </c>
      <c r="N476">
        <v>0</v>
      </c>
    </row>
    <row r="477" spans="1:14" hidden="1" x14ac:dyDescent="0.25">
      <c r="A477" s="120" t="s">
        <v>3463</v>
      </c>
      <c r="B477" s="120" t="s">
        <v>3528</v>
      </c>
      <c r="C477" s="120" t="s">
        <v>301</v>
      </c>
      <c r="D477" s="120" t="s">
        <v>3530</v>
      </c>
      <c r="E477" s="120" t="s">
        <v>205</v>
      </c>
      <c r="F477" s="120" t="s">
        <v>18</v>
      </c>
      <c r="G477" s="120">
        <v>3</v>
      </c>
      <c r="H477">
        <v>0</v>
      </c>
      <c r="I477" s="120" t="s">
        <v>57</v>
      </c>
      <c r="J477">
        <v>3</v>
      </c>
      <c r="K477">
        <v>0</v>
      </c>
      <c r="L477">
        <v>0</v>
      </c>
      <c r="M477">
        <v>0</v>
      </c>
      <c r="N477">
        <v>0</v>
      </c>
    </row>
    <row r="478" spans="1:14" hidden="1" x14ac:dyDescent="0.25">
      <c r="A478" s="120" t="s">
        <v>3463</v>
      </c>
      <c r="B478" s="120" t="s">
        <v>3588</v>
      </c>
      <c r="C478" s="120" t="s">
        <v>301</v>
      </c>
      <c r="D478" s="120" t="s">
        <v>3530</v>
      </c>
      <c r="E478" s="120" t="s">
        <v>205</v>
      </c>
      <c r="F478" s="120" t="s">
        <v>18</v>
      </c>
      <c r="G478" s="120">
        <v>1</v>
      </c>
      <c r="H478">
        <v>0</v>
      </c>
      <c r="I478" s="120" t="s">
        <v>47</v>
      </c>
      <c r="J478">
        <v>1</v>
      </c>
      <c r="K478">
        <v>0</v>
      </c>
      <c r="L478">
        <v>0</v>
      </c>
      <c r="M478">
        <v>0</v>
      </c>
      <c r="N478">
        <v>0</v>
      </c>
    </row>
    <row r="479" spans="1:14" hidden="1" x14ac:dyDescent="0.25">
      <c r="A479" s="120" t="s">
        <v>3591</v>
      </c>
      <c r="B479" s="120" t="s">
        <v>3693</v>
      </c>
      <c r="C479" s="120" t="s">
        <v>301</v>
      </c>
      <c r="D479" s="120" t="s">
        <v>555</v>
      </c>
      <c r="E479" s="120" t="s">
        <v>382</v>
      </c>
      <c r="F479" s="120" t="s">
        <v>14</v>
      </c>
      <c r="G479" s="120">
        <v>1</v>
      </c>
      <c r="H479">
        <v>1</v>
      </c>
      <c r="I479" s="120" t="s">
        <v>57</v>
      </c>
      <c r="J479">
        <v>0</v>
      </c>
      <c r="K479">
        <v>1</v>
      </c>
      <c r="L479" s="121">
        <v>39.99</v>
      </c>
      <c r="M479" s="121">
        <v>39.99</v>
      </c>
      <c r="N479" s="121">
        <v>39.99</v>
      </c>
    </row>
    <row r="480" spans="1:14" hidden="1" x14ac:dyDescent="0.25">
      <c r="A480" s="120" t="s">
        <v>3591</v>
      </c>
      <c r="B480" s="120" t="s">
        <v>3693</v>
      </c>
      <c r="C480" s="120" t="s">
        <v>301</v>
      </c>
      <c r="D480" s="120" t="s">
        <v>3530</v>
      </c>
      <c r="E480" s="120" t="s">
        <v>205</v>
      </c>
      <c r="F480" s="120" t="s">
        <v>14</v>
      </c>
      <c r="G480" s="120">
        <v>1</v>
      </c>
      <c r="H480">
        <v>0</v>
      </c>
      <c r="I480" s="120" t="s">
        <v>11</v>
      </c>
      <c r="J480">
        <v>1</v>
      </c>
      <c r="K480">
        <v>0</v>
      </c>
      <c r="L480">
        <v>0</v>
      </c>
      <c r="M480">
        <v>0</v>
      </c>
      <c r="N480">
        <v>0</v>
      </c>
    </row>
    <row r="481" spans="1:14" hidden="1" x14ac:dyDescent="0.25">
      <c r="A481" s="120" t="s">
        <v>3591</v>
      </c>
      <c r="B481" s="120" t="s">
        <v>3709</v>
      </c>
      <c r="C481" s="120" t="s">
        <v>301</v>
      </c>
      <c r="D481" s="120" t="s">
        <v>3530</v>
      </c>
      <c r="E481" s="120" t="s">
        <v>205</v>
      </c>
      <c r="F481" s="120" t="s">
        <v>10</v>
      </c>
      <c r="G481" s="120">
        <v>2</v>
      </c>
      <c r="H481">
        <v>0</v>
      </c>
      <c r="I481" s="120" t="s">
        <v>11</v>
      </c>
      <c r="J481">
        <v>2</v>
      </c>
      <c r="K481">
        <v>0</v>
      </c>
      <c r="L481">
        <v>0</v>
      </c>
      <c r="M481">
        <v>0</v>
      </c>
      <c r="N481">
        <v>0</v>
      </c>
    </row>
    <row r="482" spans="1:14" hidden="1" x14ac:dyDescent="0.25">
      <c r="A482" s="120" t="s">
        <v>3591</v>
      </c>
      <c r="B482" s="120" t="s">
        <v>3693</v>
      </c>
      <c r="C482" s="120" t="s">
        <v>301</v>
      </c>
      <c r="D482" s="120" t="s">
        <v>688</v>
      </c>
      <c r="E482" s="120" t="s">
        <v>411</v>
      </c>
      <c r="F482" s="120" t="s">
        <v>14</v>
      </c>
      <c r="G482" s="120">
        <v>2</v>
      </c>
      <c r="H482">
        <v>2</v>
      </c>
      <c r="I482" s="120" t="s">
        <v>57</v>
      </c>
      <c r="J482">
        <v>0</v>
      </c>
      <c r="K482">
        <v>1</v>
      </c>
      <c r="L482" s="121">
        <v>13.3</v>
      </c>
      <c r="M482" s="121">
        <v>26.6</v>
      </c>
      <c r="N482" s="121">
        <v>26.6</v>
      </c>
    </row>
    <row r="483" spans="1:14" hidden="1" x14ac:dyDescent="0.25">
      <c r="A483" s="120" t="s">
        <v>3591</v>
      </c>
      <c r="B483" s="120" t="s">
        <v>3693</v>
      </c>
      <c r="C483" s="120" t="s">
        <v>301</v>
      </c>
      <c r="D483" s="120" t="s">
        <v>690</v>
      </c>
      <c r="E483" s="120" t="s">
        <v>413</v>
      </c>
      <c r="F483" s="120" t="s">
        <v>14</v>
      </c>
      <c r="G483" s="120">
        <v>2</v>
      </c>
      <c r="H483">
        <v>2</v>
      </c>
      <c r="I483" s="120" t="s">
        <v>57</v>
      </c>
      <c r="J483">
        <v>0</v>
      </c>
      <c r="K483">
        <v>1</v>
      </c>
      <c r="L483" s="121">
        <v>19</v>
      </c>
      <c r="M483" s="121">
        <v>38</v>
      </c>
      <c r="N483" s="121">
        <v>38</v>
      </c>
    </row>
    <row r="484" spans="1:14" hidden="1" x14ac:dyDescent="0.25">
      <c r="A484" s="120" t="s">
        <v>3463</v>
      </c>
      <c r="B484" s="120" t="s">
        <v>3510</v>
      </c>
      <c r="C484" s="120" t="s">
        <v>301</v>
      </c>
      <c r="D484" s="120" t="s">
        <v>3521</v>
      </c>
      <c r="E484" s="120" t="s">
        <v>166</v>
      </c>
      <c r="F484" s="120" t="s">
        <v>18</v>
      </c>
      <c r="G484" s="120">
        <v>13</v>
      </c>
      <c r="H484">
        <v>0</v>
      </c>
      <c r="I484" s="120" t="s">
        <v>57</v>
      </c>
      <c r="J484">
        <v>13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 s="120" t="s">
        <v>3758</v>
      </c>
      <c r="B485" s="120" t="s">
        <v>3759</v>
      </c>
      <c r="C485" s="120" t="s">
        <v>301</v>
      </c>
      <c r="D485" s="120" t="s">
        <v>3521</v>
      </c>
      <c r="E485" s="120" t="s">
        <v>166</v>
      </c>
      <c r="F485" s="120" t="s">
        <v>18</v>
      </c>
      <c r="G485" s="120">
        <v>21</v>
      </c>
      <c r="H485">
        <v>0</v>
      </c>
      <c r="I485" s="120" t="s">
        <v>11</v>
      </c>
      <c r="J485">
        <v>21</v>
      </c>
      <c r="K485">
        <v>0</v>
      </c>
      <c r="L485">
        <v>0</v>
      </c>
      <c r="M485">
        <v>0</v>
      </c>
      <c r="N485">
        <v>0</v>
      </c>
    </row>
    <row r="486" spans="1:14" hidden="1" x14ac:dyDescent="0.25">
      <c r="A486" s="120" t="s">
        <v>3463</v>
      </c>
      <c r="B486" s="120" t="s">
        <v>3816</v>
      </c>
      <c r="C486" s="120" t="s">
        <v>301</v>
      </c>
      <c r="D486" s="120" t="s">
        <v>1116</v>
      </c>
      <c r="E486" s="120" t="s">
        <v>152</v>
      </c>
      <c r="F486" s="120" t="s">
        <v>14</v>
      </c>
      <c r="G486" s="120">
        <v>0</v>
      </c>
      <c r="H486">
        <v>2</v>
      </c>
      <c r="I486" s="120" t="s">
        <v>47</v>
      </c>
      <c r="J486">
        <v>-2</v>
      </c>
      <c r="K486">
        <v>0</v>
      </c>
      <c r="L486">
        <v>227.3</v>
      </c>
      <c r="M486">
        <v>0</v>
      </c>
      <c r="N486">
        <v>454.6</v>
      </c>
    </row>
    <row r="487" spans="1:14" hidden="1" x14ac:dyDescent="0.25">
      <c r="A487" s="120" t="s">
        <v>3591</v>
      </c>
      <c r="B487" s="120" t="s">
        <v>3693</v>
      </c>
      <c r="C487" s="120" t="s">
        <v>301</v>
      </c>
      <c r="D487" s="120" t="s">
        <v>711</v>
      </c>
      <c r="E487" s="120" t="s">
        <v>431</v>
      </c>
      <c r="F487" s="120" t="s">
        <v>10</v>
      </c>
      <c r="G487" s="120">
        <v>1</v>
      </c>
      <c r="H487">
        <v>1</v>
      </c>
      <c r="I487" s="120" t="s">
        <v>57</v>
      </c>
      <c r="J487">
        <v>0</v>
      </c>
      <c r="K487">
        <v>1</v>
      </c>
      <c r="L487" s="121">
        <v>10</v>
      </c>
      <c r="M487" s="121">
        <v>10</v>
      </c>
      <c r="N487" s="121">
        <v>10</v>
      </c>
    </row>
    <row r="488" spans="1:14" hidden="1" x14ac:dyDescent="0.25">
      <c r="A488" s="120" t="s">
        <v>3463</v>
      </c>
      <c r="B488" s="120" t="s">
        <v>3528</v>
      </c>
      <c r="C488" s="120" t="s">
        <v>301</v>
      </c>
      <c r="D488" s="120" t="s">
        <v>1082</v>
      </c>
      <c r="E488" s="120" t="s">
        <v>150</v>
      </c>
      <c r="F488" s="120" t="s">
        <v>14</v>
      </c>
      <c r="G488" s="120">
        <v>1</v>
      </c>
      <c r="H488">
        <v>0</v>
      </c>
      <c r="I488" s="120" t="s">
        <v>11</v>
      </c>
      <c r="J488">
        <v>1</v>
      </c>
      <c r="K488">
        <v>0</v>
      </c>
      <c r="L488">
        <v>560</v>
      </c>
      <c r="M488">
        <v>560</v>
      </c>
      <c r="N488">
        <v>0</v>
      </c>
    </row>
    <row r="489" spans="1:14" hidden="1" x14ac:dyDescent="0.25">
      <c r="A489" s="120" t="s">
        <v>3591</v>
      </c>
      <c r="B489" s="120" t="s">
        <v>3592</v>
      </c>
      <c r="C489" s="120" t="s">
        <v>301</v>
      </c>
      <c r="D489" s="120" t="s">
        <v>1082</v>
      </c>
      <c r="E489" s="120" t="s">
        <v>150</v>
      </c>
      <c r="F489" s="120" t="s">
        <v>18</v>
      </c>
      <c r="G489" s="120">
        <v>5</v>
      </c>
      <c r="H489">
        <v>7</v>
      </c>
      <c r="I489" s="120" t="s">
        <v>11</v>
      </c>
      <c r="J489">
        <v>-2</v>
      </c>
      <c r="K489">
        <v>0</v>
      </c>
      <c r="L489" s="121">
        <v>560</v>
      </c>
      <c r="M489" s="121">
        <v>2800</v>
      </c>
      <c r="N489" s="121">
        <v>3920</v>
      </c>
    </row>
    <row r="490" spans="1:14" hidden="1" x14ac:dyDescent="0.25">
      <c r="A490" s="120" t="s">
        <v>3591</v>
      </c>
      <c r="B490" s="120" t="s">
        <v>3693</v>
      </c>
      <c r="C490" s="120" t="s">
        <v>301</v>
      </c>
      <c r="D490" s="120" t="s">
        <v>712</v>
      </c>
      <c r="E490" s="120" t="s">
        <v>51</v>
      </c>
      <c r="F490" s="120" t="s">
        <v>14</v>
      </c>
      <c r="G490" s="120">
        <v>1</v>
      </c>
      <c r="H490">
        <v>1</v>
      </c>
      <c r="I490" s="120" t="s">
        <v>11</v>
      </c>
      <c r="J490">
        <v>0</v>
      </c>
      <c r="K490">
        <v>1</v>
      </c>
      <c r="L490" s="121">
        <v>10</v>
      </c>
      <c r="M490" s="121">
        <v>10</v>
      </c>
      <c r="N490" s="121">
        <v>10</v>
      </c>
    </row>
    <row r="491" spans="1:14" hidden="1" x14ac:dyDescent="0.25">
      <c r="A491" s="120" t="s">
        <v>3591</v>
      </c>
      <c r="B491" s="120" t="s">
        <v>3693</v>
      </c>
      <c r="C491" s="120" t="s">
        <v>301</v>
      </c>
      <c r="D491" s="120" t="s">
        <v>713</v>
      </c>
      <c r="E491" s="120" t="s">
        <v>28</v>
      </c>
      <c r="F491" s="120" t="s">
        <v>14</v>
      </c>
      <c r="G491" s="120">
        <v>2</v>
      </c>
      <c r="H491">
        <v>2</v>
      </c>
      <c r="I491" s="120" t="s">
        <v>11</v>
      </c>
      <c r="J491">
        <v>0</v>
      </c>
      <c r="K491">
        <v>1</v>
      </c>
      <c r="L491" s="121">
        <v>5.9</v>
      </c>
      <c r="M491" s="121">
        <v>11.8</v>
      </c>
      <c r="N491" s="121">
        <v>11.8</v>
      </c>
    </row>
    <row r="492" spans="1:14" hidden="1" x14ac:dyDescent="0.25">
      <c r="A492" s="120" t="s">
        <v>3463</v>
      </c>
      <c r="B492" s="120" t="s">
        <v>3816</v>
      </c>
      <c r="C492" s="120" t="s">
        <v>301</v>
      </c>
      <c r="D492" s="120" t="s">
        <v>3517</v>
      </c>
      <c r="E492" s="120" t="s">
        <v>156</v>
      </c>
      <c r="F492" s="120" t="s">
        <v>157</v>
      </c>
      <c r="G492" s="120">
        <v>1</v>
      </c>
      <c r="H492">
        <v>0</v>
      </c>
      <c r="I492" s="120" t="s">
        <v>57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 hidden="1" x14ac:dyDescent="0.25">
      <c r="A493" s="120" t="s">
        <v>3591</v>
      </c>
      <c r="B493" s="120" t="s">
        <v>3693</v>
      </c>
      <c r="C493" s="120" t="s">
        <v>301</v>
      </c>
      <c r="D493" s="120" t="s">
        <v>714</v>
      </c>
      <c r="E493" s="120" t="s">
        <v>52</v>
      </c>
      <c r="F493" s="120" t="s">
        <v>14</v>
      </c>
      <c r="G493" s="120">
        <v>2</v>
      </c>
      <c r="H493">
        <v>2</v>
      </c>
      <c r="I493" s="120" t="s">
        <v>11</v>
      </c>
      <c r="J493">
        <v>0</v>
      </c>
      <c r="K493">
        <v>1</v>
      </c>
      <c r="L493" s="121">
        <v>3</v>
      </c>
      <c r="M493" s="121">
        <v>6</v>
      </c>
      <c r="N493" s="121">
        <v>6</v>
      </c>
    </row>
    <row r="494" spans="1:14" hidden="1" x14ac:dyDescent="0.25">
      <c r="A494" s="120" t="s">
        <v>3463</v>
      </c>
      <c r="B494" s="120" t="s">
        <v>3510</v>
      </c>
      <c r="C494" s="120" t="s">
        <v>301</v>
      </c>
      <c r="D494" s="120" t="s">
        <v>1175</v>
      </c>
      <c r="E494" s="120" t="s">
        <v>159</v>
      </c>
      <c r="F494" s="120" t="s">
        <v>10</v>
      </c>
      <c r="G494" s="120">
        <v>14</v>
      </c>
      <c r="H494">
        <v>13</v>
      </c>
      <c r="I494" s="120" t="s">
        <v>11</v>
      </c>
      <c r="J494">
        <v>1</v>
      </c>
      <c r="K494">
        <v>0</v>
      </c>
      <c r="L494">
        <v>100</v>
      </c>
      <c r="M494">
        <v>1400</v>
      </c>
      <c r="N494">
        <v>1300</v>
      </c>
    </row>
    <row r="495" spans="1:14" hidden="1" x14ac:dyDescent="0.25">
      <c r="A495" s="120" t="s">
        <v>3463</v>
      </c>
      <c r="B495" s="120" t="s">
        <v>3588</v>
      </c>
      <c r="C495" s="120" t="s">
        <v>301</v>
      </c>
      <c r="D495" s="120" t="s">
        <v>1175</v>
      </c>
      <c r="E495" s="120" t="s">
        <v>329</v>
      </c>
      <c r="F495" s="120" t="s">
        <v>18</v>
      </c>
      <c r="G495" s="120">
        <v>14</v>
      </c>
      <c r="H495">
        <v>16</v>
      </c>
      <c r="I495" s="120" t="s">
        <v>11</v>
      </c>
      <c r="J495">
        <v>-2</v>
      </c>
      <c r="K495">
        <v>0</v>
      </c>
      <c r="L495">
        <v>100</v>
      </c>
      <c r="M495">
        <v>1400</v>
      </c>
      <c r="N495">
        <v>1600</v>
      </c>
    </row>
    <row r="496" spans="1:14" hidden="1" x14ac:dyDescent="0.25">
      <c r="A496" s="120" t="s">
        <v>3591</v>
      </c>
      <c r="B496" s="120" t="s">
        <v>3698</v>
      </c>
      <c r="C496" s="120" t="s">
        <v>301</v>
      </c>
      <c r="D496" s="120" t="s">
        <v>1175</v>
      </c>
      <c r="E496" s="120" t="s">
        <v>159</v>
      </c>
      <c r="F496" s="120" t="s">
        <v>18</v>
      </c>
      <c r="G496" s="120">
        <v>26</v>
      </c>
      <c r="H496">
        <v>25</v>
      </c>
      <c r="I496" s="120" t="s">
        <v>11</v>
      </c>
      <c r="J496">
        <v>1</v>
      </c>
      <c r="K496">
        <v>0</v>
      </c>
      <c r="L496">
        <v>100</v>
      </c>
      <c r="M496">
        <v>2600</v>
      </c>
      <c r="N496">
        <v>2500</v>
      </c>
    </row>
    <row r="497" spans="1:14" hidden="1" x14ac:dyDescent="0.25">
      <c r="A497" s="120" t="s">
        <v>3591</v>
      </c>
      <c r="B497" s="120" t="s">
        <v>3592</v>
      </c>
      <c r="C497" s="120" t="s">
        <v>301</v>
      </c>
      <c r="D497" s="120" t="s">
        <v>1175</v>
      </c>
      <c r="E497" s="120" t="s">
        <v>159</v>
      </c>
      <c r="F497" s="120" t="s">
        <v>10</v>
      </c>
      <c r="G497" s="120">
        <v>0</v>
      </c>
      <c r="H497">
        <v>8</v>
      </c>
      <c r="I497" s="120" t="s">
        <v>11</v>
      </c>
      <c r="J497">
        <v>-8</v>
      </c>
      <c r="K497">
        <v>0</v>
      </c>
      <c r="L497">
        <v>100</v>
      </c>
      <c r="M497">
        <v>0</v>
      </c>
      <c r="N497">
        <v>800</v>
      </c>
    </row>
    <row r="498" spans="1:14" hidden="1" x14ac:dyDescent="0.25">
      <c r="A498" s="120" t="s">
        <v>3591</v>
      </c>
      <c r="B498" s="120" t="s">
        <v>3693</v>
      </c>
      <c r="C498" s="120" t="s">
        <v>301</v>
      </c>
      <c r="D498" s="120" t="s">
        <v>1127</v>
      </c>
      <c r="E498" s="120" t="s">
        <v>457</v>
      </c>
      <c r="F498" s="120" t="s">
        <v>14</v>
      </c>
      <c r="G498" s="120">
        <v>1</v>
      </c>
      <c r="H498">
        <v>1</v>
      </c>
      <c r="I498" s="120" t="s">
        <v>57</v>
      </c>
      <c r="J498">
        <v>0</v>
      </c>
      <c r="K498">
        <v>1</v>
      </c>
      <c r="L498" s="121">
        <v>188.55</v>
      </c>
      <c r="M498" s="121">
        <v>188.55</v>
      </c>
      <c r="N498" s="121">
        <v>188.55</v>
      </c>
    </row>
    <row r="499" spans="1:14" hidden="1" x14ac:dyDescent="0.25">
      <c r="A499" s="120" t="s">
        <v>3591</v>
      </c>
      <c r="B499" s="120" t="s">
        <v>3709</v>
      </c>
      <c r="C499" s="120" t="s">
        <v>301</v>
      </c>
      <c r="D499" s="120" t="s">
        <v>1175</v>
      </c>
      <c r="E499" s="120" t="s">
        <v>159</v>
      </c>
      <c r="F499" s="120" t="s">
        <v>10</v>
      </c>
      <c r="G499" s="120">
        <v>2</v>
      </c>
      <c r="H499">
        <v>0</v>
      </c>
      <c r="I499" s="120" t="s">
        <v>11</v>
      </c>
      <c r="J499">
        <v>2</v>
      </c>
      <c r="K499">
        <v>0</v>
      </c>
      <c r="L499">
        <v>100</v>
      </c>
      <c r="M499">
        <v>200</v>
      </c>
      <c r="N499">
        <v>0</v>
      </c>
    </row>
    <row r="500" spans="1:14" hidden="1" x14ac:dyDescent="0.25">
      <c r="A500" s="120" t="s">
        <v>3591</v>
      </c>
      <c r="B500" s="120" t="s">
        <v>3701</v>
      </c>
      <c r="C500" s="120" t="s">
        <v>301</v>
      </c>
      <c r="D500" s="120" t="s">
        <v>1175</v>
      </c>
      <c r="E500" s="120" t="s">
        <v>159</v>
      </c>
      <c r="F500" s="120" t="s">
        <v>10</v>
      </c>
      <c r="G500" s="120">
        <v>2</v>
      </c>
      <c r="H500">
        <v>3</v>
      </c>
      <c r="I500" s="120" t="s">
        <v>11</v>
      </c>
      <c r="J500">
        <v>-1</v>
      </c>
      <c r="K500">
        <v>0</v>
      </c>
      <c r="L500">
        <v>100</v>
      </c>
      <c r="M500">
        <v>200</v>
      </c>
      <c r="N500">
        <v>300</v>
      </c>
    </row>
    <row r="501" spans="1:14" x14ac:dyDescent="0.25">
      <c r="A501" s="120" t="s">
        <v>3758</v>
      </c>
      <c r="B501" s="120" t="s">
        <v>3759</v>
      </c>
      <c r="C501" s="120" t="s">
        <v>301</v>
      </c>
      <c r="D501" s="120" t="s">
        <v>1175</v>
      </c>
      <c r="E501" s="120" t="s">
        <v>159</v>
      </c>
      <c r="F501" s="120" t="s">
        <v>10</v>
      </c>
      <c r="G501" s="120">
        <v>50</v>
      </c>
      <c r="H501">
        <v>47</v>
      </c>
      <c r="I501" s="120" t="s">
        <v>11</v>
      </c>
      <c r="J501">
        <v>3</v>
      </c>
      <c r="K501">
        <v>0</v>
      </c>
      <c r="L501">
        <v>100</v>
      </c>
      <c r="M501">
        <v>5000</v>
      </c>
      <c r="N501">
        <v>4700</v>
      </c>
    </row>
    <row r="502" spans="1:14" hidden="1" x14ac:dyDescent="0.25">
      <c r="A502" s="120" t="s">
        <v>3591</v>
      </c>
      <c r="B502" s="120" t="s">
        <v>3701</v>
      </c>
      <c r="C502" s="120" t="s">
        <v>301</v>
      </c>
      <c r="D502" s="120" t="s">
        <v>1073</v>
      </c>
      <c r="E502" s="120" t="s">
        <v>1074</v>
      </c>
      <c r="F502" s="120" t="s">
        <v>18</v>
      </c>
      <c r="G502" s="120">
        <v>3</v>
      </c>
      <c r="H502">
        <v>0</v>
      </c>
      <c r="I502" s="120" t="s">
        <v>57</v>
      </c>
      <c r="J502">
        <v>3</v>
      </c>
      <c r="K502">
        <v>0</v>
      </c>
      <c r="L502">
        <v>331.6</v>
      </c>
      <c r="M502">
        <v>994.80000000000007</v>
      </c>
      <c r="N502">
        <v>0</v>
      </c>
    </row>
    <row r="503" spans="1:14" hidden="1" x14ac:dyDescent="0.25">
      <c r="A503" s="120" t="s">
        <v>3591</v>
      </c>
      <c r="B503" s="120" t="s">
        <v>3693</v>
      </c>
      <c r="C503" s="120" t="s">
        <v>301</v>
      </c>
      <c r="D503" s="120" t="s">
        <v>1130</v>
      </c>
      <c r="E503" s="120" t="s">
        <v>1131</v>
      </c>
      <c r="F503" s="120" t="s">
        <v>157</v>
      </c>
      <c r="G503" s="120">
        <v>1</v>
      </c>
      <c r="H503">
        <v>1</v>
      </c>
      <c r="I503" s="120" t="s">
        <v>57</v>
      </c>
      <c r="J503">
        <v>0</v>
      </c>
      <c r="K503">
        <v>1</v>
      </c>
      <c r="L503" s="121">
        <v>90</v>
      </c>
      <c r="M503" s="121">
        <v>90</v>
      </c>
      <c r="N503" s="121">
        <v>90</v>
      </c>
    </row>
    <row r="504" spans="1:14" hidden="1" x14ac:dyDescent="0.25">
      <c r="A504" s="120" t="s">
        <v>3591</v>
      </c>
      <c r="B504" s="120" t="s">
        <v>3693</v>
      </c>
      <c r="C504" s="120" t="s">
        <v>301</v>
      </c>
      <c r="D504" s="120" t="s">
        <v>1132</v>
      </c>
      <c r="E504" s="120" t="s">
        <v>462</v>
      </c>
      <c r="F504" s="120" t="s">
        <v>463</v>
      </c>
      <c r="G504" s="120">
        <v>2</v>
      </c>
      <c r="H504">
        <v>2</v>
      </c>
      <c r="I504" s="120" t="s">
        <v>57</v>
      </c>
      <c r="J504">
        <v>0</v>
      </c>
      <c r="K504">
        <v>1</v>
      </c>
      <c r="L504" s="121">
        <v>45</v>
      </c>
      <c r="M504" s="121">
        <v>90</v>
      </c>
      <c r="N504" s="121">
        <v>90</v>
      </c>
    </row>
    <row r="505" spans="1:14" hidden="1" x14ac:dyDescent="0.25">
      <c r="A505" s="120" t="s">
        <v>3591</v>
      </c>
      <c r="B505" s="120" t="s">
        <v>3592</v>
      </c>
      <c r="C505" s="120" t="s">
        <v>301</v>
      </c>
      <c r="D505" s="120" t="s">
        <v>1132</v>
      </c>
      <c r="E505" s="120" t="s">
        <v>462</v>
      </c>
      <c r="F505" s="120" t="s">
        <v>463</v>
      </c>
      <c r="G505" s="120">
        <v>0</v>
      </c>
      <c r="H505">
        <v>11</v>
      </c>
      <c r="I505" s="120" t="s">
        <v>11</v>
      </c>
      <c r="J505">
        <v>-11</v>
      </c>
      <c r="K505">
        <v>0</v>
      </c>
      <c r="L505">
        <v>45</v>
      </c>
      <c r="M505">
        <v>0</v>
      </c>
      <c r="N505">
        <v>495</v>
      </c>
    </row>
    <row r="506" spans="1:14" hidden="1" x14ac:dyDescent="0.25">
      <c r="A506" s="120" t="s">
        <v>3591</v>
      </c>
      <c r="B506" s="120" t="s">
        <v>3693</v>
      </c>
      <c r="C506" s="120" t="s">
        <v>301</v>
      </c>
      <c r="D506" s="120" t="s">
        <v>1455</v>
      </c>
      <c r="E506" s="120" t="s">
        <v>485</v>
      </c>
      <c r="F506" s="120" t="s">
        <v>14</v>
      </c>
      <c r="G506" s="120">
        <v>1</v>
      </c>
      <c r="H506">
        <v>1</v>
      </c>
      <c r="I506" s="120" t="s">
        <v>47</v>
      </c>
      <c r="J506">
        <v>0</v>
      </c>
      <c r="K506">
        <v>1</v>
      </c>
      <c r="L506" s="121">
        <v>17</v>
      </c>
      <c r="M506" s="121">
        <v>17</v>
      </c>
      <c r="N506" s="121">
        <v>17</v>
      </c>
    </row>
    <row r="507" spans="1:14" hidden="1" x14ac:dyDescent="0.25">
      <c r="A507" s="120" t="s">
        <v>3591</v>
      </c>
      <c r="B507" s="120" t="s">
        <v>3693</v>
      </c>
      <c r="C507" s="120" t="s">
        <v>301</v>
      </c>
      <c r="D507" s="120" t="s">
        <v>1767</v>
      </c>
      <c r="E507" s="120" t="s">
        <v>493</v>
      </c>
      <c r="F507" s="120" t="s">
        <v>14</v>
      </c>
      <c r="G507" s="120">
        <v>1</v>
      </c>
      <c r="H507">
        <v>1</v>
      </c>
      <c r="I507" s="120" t="s">
        <v>57</v>
      </c>
      <c r="J507">
        <v>0</v>
      </c>
      <c r="K507">
        <v>1</v>
      </c>
      <c r="L507" s="121">
        <v>24</v>
      </c>
      <c r="M507" s="121">
        <v>24</v>
      </c>
      <c r="N507" s="121">
        <v>24</v>
      </c>
    </row>
    <row r="508" spans="1:14" hidden="1" x14ac:dyDescent="0.25">
      <c r="A508" s="120" t="s">
        <v>3591</v>
      </c>
      <c r="B508" s="120" t="s">
        <v>3592</v>
      </c>
      <c r="C508" s="120" t="s">
        <v>301</v>
      </c>
      <c r="D508" s="120" t="s">
        <v>3593</v>
      </c>
      <c r="E508" s="120" t="s">
        <v>376</v>
      </c>
      <c r="F508" s="120" t="s">
        <v>10</v>
      </c>
      <c r="G508" s="120">
        <v>4</v>
      </c>
      <c r="H508">
        <v>0</v>
      </c>
      <c r="I508" s="120" t="s">
        <v>57</v>
      </c>
      <c r="J508">
        <v>4</v>
      </c>
      <c r="K508">
        <v>0</v>
      </c>
      <c r="L508" s="121">
        <v>0</v>
      </c>
      <c r="M508" s="121">
        <v>0</v>
      </c>
      <c r="N508" s="121">
        <v>0</v>
      </c>
    </row>
    <row r="509" spans="1:14" hidden="1" x14ac:dyDescent="0.25">
      <c r="A509" s="120" t="s">
        <v>3463</v>
      </c>
      <c r="B509" s="120" t="s">
        <v>3871</v>
      </c>
      <c r="C509" s="120" t="s">
        <v>301</v>
      </c>
      <c r="D509" s="120" t="s">
        <v>544</v>
      </c>
      <c r="E509" s="120" t="s">
        <v>13</v>
      </c>
      <c r="F509" s="120" t="s">
        <v>14</v>
      </c>
      <c r="G509" s="120">
        <v>3</v>
      </c>
      <c r="H509">
        <v>3</v>
      </c>
      <c r="I509" s="120" t="s">
        <v>11</v>
      </c>
      <c r="J509">
        <v>0</v>
      </c>
      <c r="K509">
        <v>1</v>
      </c>
      <c r="L509" s="121">
        <v>30</v>
      </c>
      <c r="M509" s="121">
        <v>90</v>
      </c>
      <c r="N509" s="121">
        <v>90</v>
      </c>
    </row>
    <row r="510" spans="1:14" hidden="1" x14ac:dyDescent="0.25">
      <c r="A510" s="120" t="s">
        <v>3591</v>
      </c>
      <c r="B510" s="120" t="s">
        <v>3709</v>
      </c>
      <c r="C510" s="120" t="s">
        <v>301</v>
      </c>
      <c r="D510" s="120" t="s">
        <v>1139</v>
      </c>
      <c r="E510" s="120" t="s">
        <v>1140</v>
      </c>
      <c r="F510" s="120" t="s">
        <v>14</v>
      </c>
      <c r="G510" s="120">
        <v>1</v>
      </c>
      <c r="H510">
        <v>3</v>
      </c>
      <c r="I510" s="120" t="s">
        <v>47</v>
      </c>
      <c r="J510">
        <v>-2</v>
      </c>
      <c r="K510">
        <v>0</v>
      </c>
      <c r="L510">
        <v>16</v>
      </c>
      <c r="M510">
        <v>16</v>
      </c>
      <c r="N510">
        <v>48</v>
      </c>
    </row>
    <row r="511" spans="1:14" hidden="1" x14ac:dyDescent="0.25">
      <c r="A511" s="120" t="s">
        <v>3463</v>
      </c>
      <c r="B511" s="120" t="s">
        <v>3871</v>
      </c>
      <c r="C511" s="120" t="s">
        <v>301</v>
      </c>
      <c r="D511" s="120" t="s">
        <v>549</v>
      </c>
      <c r="E511" s="120" t="s">
        <v>46</v>
      </c>
      <c r="F511" s="120" t="s">
        <v>10</v>
      </c>
      <c r="G511" s="120">
        <v>9</v>
      </c>
      <c r="H511">
        <v>9</v>
      </c>
      <c r="I511" s="120" t="s">
        <v>11</v>
      </c>
      <c r="J511">
        <v>0</v>
      </c>
      <c r="K511">
        <v>1</v>
      </c>
      <c r="L511" s="121">
        <v>15</v>
      </c>
      <c r="M511" s="121">
        <v>135</v>
      </c>
      <c r="N511" s="121">
        <v>135</v>
      </c>
    </row>
    <row r="512" spans="1:14" hidden="1" x14ac:dyDescent="0.25">
      <c r="A512" s="120" t="s">
        <v>3591</v>
      </c>
      <c r="B512" s="120" t="s">
        <v>3592</v>
      </c>
      <c r="C512" s="120" t="s">
        <v>301</v>
      </c>
      <c r="D512" s="120" t="s">
        <v>3599</v>
      </c>
      <c r="E512" s="120" t="s">
        <v>386</v>
      </c>
      <c r="F512" s="120" t="s">
        <v>10</v>
      </c>
      <c r="G512" s="120">
        <v>23</v>
      </c>
      <c r="H512">
        <v>0</v>
      </c>
      <c r="I512" s="120" t="s">
        <v>11</v>
      </c>
      <c r="J512">
        <v>23</v>
      </c>
      <c r="K512">
        <v>0</v>
      </c>
      <c r="L512" s="121">
        <v>0</v>
      </c>
      <c r="M512" s="121">
        <v>0</v>
      </c>
      <c r="N512" s="121">
        <v>0</v>
      </c>
    </row>
    <row r="513" spans="1:14" hidden="1" x14ac:dyDescent="0.25">
      <c r="A513" s="120" t="s">
        <v>3463</v>
      </c>
      <c r="B513" s="120" t="s">
        <v>3871</v>
      </c>
      <c r="C513" s="120" t="s">
        <v>301</v>
      </c>
      <c r="D513" s="120" t="s">
        <v>622</v>
      </c>
      <c r="E513" s="120" t="s">
        <v>20</v>
      </c>
      <c r="F513" s="120" t="s">
        <v>18</v>
      </c>
      <c r="G513" s="120">
        <v>2</v>
      </c>
      <c r="H513">
        <v>2</v>
      </c>
      <c r="I513" s="120" t="s">
        <v>57</v>
      </c>
      <c r="J513">
        <v>0</v>
      </c>
      <c r="K513">
        <v>1</v>
      </c>
      <c r="L513" s="121">
        <v>12</v>
      </c>
      <c r="M513" s="121">
        <v>24</v>
      </c>
      <c r="N513" s="121">
        <v>24</v>
      </c>
    </row>
    <row r="514" spans="1:14" x14ac:dyDescent="0.25">
      <c r="A514" s="120" t="s">
        <v>3758</v>
      </c>
      <c r="B514" s="120" t="s">
        <v>3759</v>
      </c>
      <c r="C514" s="120" t="s">
        <v>301</v>
      </c>
      <c r="D514" s="120" t="s">
        <v>3599</v>
      </c>
      <c r="E514" s="120" t="s">
        <v>386</v>
      </c>
      <c r="F514" s="120" t="s">
        <v>10</v>
      </c>
      <c r="G514" s="120">
        <v>42</v>
      </c>
      <c r="H514">
        <v>0</v>
      </c>
      <c r="I514" s="120" t="s">
        <v>11</v>
      </c>
      <c r="J514">
        <v>42</v>
      </c>
      <c r="K514">
        <v>0</v>
      </c>
      <c r="L514">
        <v>0</v>
      </c>
      <c r="M514">
        <v>0</v>
      </c>
      <c r="N514">
        <v>0</v>
      </c>
    </row>
    <row r="515" spans="1:14" hidden="1" x14ac:dyDescent="0.25">
      <c r="A515" s="120" t="s">
        <v>3591</v>
      </c>
      <c r="B515" s="120" t="s">
        <v>3592</v>
      </c>
      <c r="C515" s="120" t="s">
        <v>301</v>
      </c>
      <c r="D515" s="120" t="s">
        <v>3600</v>
      </c>
      <c r="E515" s="120" t="s">
        <v>387</v>
      </c>
      <c r="F515" s="120" t="s">
        <v>10</v>
      </c>
      <c r="G515" s="120">
        <v>20</v>
      </c>
      <c r="H515">
        <v>0</v>
      </c>
      <c r="I515" s="120" t="s">
        <v>11</v>
      </c>
      <c r="J515">
        <v>20</v>
      </c>
      <c r="K515">
        <v>0</v>
      </c>
      <c r="L515" s="121">
        <v>0</v>
      </c>
      <c r="M515" s="121">
        <v>0</v>
      </c>
      <c r="N515" s="121">
        <v>0</v>
      </c>
    </row>
    <row r="516" spans="1:14" hidden="1" x14ac:dyDescent="0.25">
      <c r="A516" s="120" t="s">
        <v>3591</v>
      </c>
      <c r="B516" s="120" t="s">
        <v>3592</v>
      </c>
      <c r="C516" s="120" t="s">
        <v>301</v>
      </c>
      <c r="D516" s="120" t="s">
        <v>3601</v>
      </c>
      <c r="E516" s="120" t="s">
        <v>390</v>
      </c>
      <c r="F516" s="120" t="s">
        <v>18</v>
      </c>
      <c r="G516" s="120">
        <v>2</v>
      </c>
      <c r="H516">
        <v>0</v>
      </c>
      <c r="I516" s="120" t="s">
        <v>47</v>
      </c>
      <c r="J516">
        <v>2</v>
      </c>
      <c r="K516">
        <v>0</v>
      </c>
      <c r="L516" s="121">
        <v>0</v>
      </c>
      <c r="M516" s="121">
        <v>0</v>
      </c>
      <c r="N516" s="121">
        <v>0</v>
      </c>
    </row>
    <row r="517" spans="1:14" hidden="1" x14ac:dyDescent="0.25">
      <c r="A517" s="120" t="s">
        <v>3591</v>
      </c>
      <c r="B517" s="120" t="s">
        <v>3592</v>
      </c>
      <c r="C517" s="120" t="s">
        <v>301</v>
      </c>
      <c r="D517" s="120" t="s">
        <v>3602</v>
      </c>
      <c r="E517" s="120" t="s">
        <v>391</v>
      </c>
      <c r="F517" s="120" t="s">
        <v>18</v>
      </c>
      <c r="G517" s="120">
        <v>1</v>
      </c>
      <c r="H517">
        <v>0</v>
      </c>
      <c r="I517" s="120" t="s">
        <v>57</v>
      </c>
      <c r="J517">
        <v>1</v>
      </c>
      <c r="K517">
        <v>0</v>
      </c>
      <c r="L517" s="121">
        <v>0</v>
      </c>
      <c r="M517" s="121">
        <v>0</v>
      </c>
      <c r="N517" s="121">
        <v>0</v>
      </c>
    </row>
    <row r="518" spans="1:14" hidden="1" x14ac:dyDescent="0.25">
      <c r="A518" s="120" t="s">
        <v>3591</v>
      </c>
      <c r="B518" s="120" t="s">
        <v>3592</v>
      </c>
      <c r="C518" s="120" t="s">
        <v>301</v>
      </c>
      <c r="D518" s="120" t="s">
        <v>3603</v>
      </c>
      <c r="E518" s="120" t="s">
        <v>394</v>
      </c>
      <c r="F518" s="120" t="s">
        <v>18</v>
      </c>
      <c r="G518" s="120">
        <v>10</v>
      </c>
      <c r="H518">
        <v>0</v>
      </c>
      <c r="I518" s="120" t="s">
        <v>11</v>
      </c>
      <c r="J518">
        <v>10</v>
      </c>
      <c r="K518">
        <v>0</v>
      </c>
      <c r="L518" s="121">
        <v>0</v>
      </c>
      <c r="M518" s="121">
        <v>0</v>
      </c>
      <c r="N518" s="121">
        <v>0</v>
      </c>
    </row>
    <row r="519" spans="1:14" hidden="1" x14ac:dyDescent="0.25">
      <c r="A519" s="120" t="s">
        <v>3591</v>
      </c>
      <c r="B519" s="120" t="s">
        <v>3693</v>
      </c>
      <c r="C519" s="120" t="s">
        <v>301</v>
      </c>
      <c r="D519" s="120" t="s">
        <v>3603</v>
      </c>
      <c r="E519" s="120" t="s">
        <v>3445</v>
      </c>
      <c r="F519" s="120" t="s">
        <v>18</v>
      </c>
      <c r="G519" s="120">
        <v>1</v>
      </c>
      <c r="H519">
        <v>0</v>
      </c>
      <c r="I519" s="120" t="s">
        <v>11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 hidden="1" x14ac:dyDescent="0.25">
      <c r="A520" s="120" t="s">
        <v>3591</v>
      </c>
      <c r="B520" s="120" t="s">
        <v>3701</v>
      </c>
      <c r="C520" s="120" t="s">
        <v>301</v>
      </c>
      <c r="D520" s="120" t="s">
        <v>3603</v>
      </c>
      <c r="E520" s="120" t="s">
        <v>394</v>
      </c>
      <c r="F520" s="120" t="s">
        <v>14</v>
      </c>
      <c r="G520" s="120">
        <v>1</v>
      </c>
      <c r="H520">
        <v>0</v>
      </c>
      <c r="I520" s="120" t="s">
        <v>11</v>
      </c>
      <c r="J520">
        <v>1</v>
      </c>
      <c r="K520">
        <v>0</v>
      </c>
      <c r="L520">
        <v>0</v>
      </c>
      <c r="M520">
        <v>0</v>
      </c>
      <c r="N520">
        <v>0</v>
      </c>
    </row>
    <row r="521" spans="1:14" hidden="1" x14ac:dyDescent="0.25">
      <c r="A521" s="120" t="s">
        <v>3591</v>
      </c>
      <c r="B521" s="120" t="s">
        <v>3592</v>
      </c>
      <c r="C521" s="120" t="s">
        <v>301</v>
      </c>
      <c r="D521" s="120" t="s">
        <v>3605</v>
      </c>
      <c r="E521" s="120" t="s">
        <v>396</v>
      </c>
      <c r="F521" s="120" t="s">
        <v>10</v>
      </c>
      <c r="G521" s="120">
        <v>3</v>
      </c>
      <c r="H521">
        <v>0</v>
      </c>
      <c r="I521" s="120" t="s">
        <v>57</v>
      </c>
      <c r="J521">
        <v>3</v>
      </c>
      <c r="K521">
        <v>0</v>
      </c>
      <c r="L521" s="121">
        <v>0</v>
      </c>
      <c r="M521" s="121">
        <v>0</v>
      </c>
      <c r="N521" s="121">
        <v>0</v>
      </c>
    </row>
    <row r="522" spans="1:14" hidden="1" x14ac:dyDescent="0.25">
      <c r="A522" s="120" t="s">
        <v>3591</v>
      </c>
      <c r="B522" s="120" t="s">
        <v>3592</v>
      </c>
      <c r="C522" s="120" t="s">
        <v>301</v>
      </c>
      <c r="D522" s="120" t="s">
        <v>3606</v>
      </c>
      <c r="E522" s="120" t="s">
        <v>397</v>
      </c>
      <c r="F522" s="120" t="s">
        <v>18</v>
      </c>
      <c r="G522" s="120">
        <v>9</v>
      </c>
      <c r="H522">
        <v>0</v>
      </c>
      <c r="I522" s="120" t="s">
        <v>11</v>
      </c>
      <c r="J522">
        <v>9</v>
      </c>
      <c r="K522">
        <v>0</v>
      </c>
      <c r="L522" s="121">
        <v>0</v>
      </c>
      <c r="M522" s="121">
        <v>0</v>
      </c>
      <c r="N522" s="121">
        <v>0</v>
      </c>
    </row>
    <row r="523" spans="1:14" hidden="1" x14ac:dyDescent="0.25">
      <c r="A523" s="120" t="s">
        <v>3591</v>
      </c>
      <c r="B523" s="120" t="s">
        <v>3693</v>
      </c>
      <c r="C523" s="120" t="s">
        <v>301</v>
      </c>
      <c r="D523" s="120" t="s">
        <v>3606</v>
      </c>
      <c r="E523" s="120" t="s">
        <v>397</v>
      </c>
      <c r="F523" s="120" t="s">
        <v>14</v>
      </c>
      <c r="G523" s="120">
        <v>1</v>
      </c>
      <c r="H523">
        <v>0</v>
      </c>
      <c r="I523" s="120" t="s">
        <v>11</v>
      </c>
      <c r="J523">
        <v>1</v>
      </c>
      <c r="K523">
        <v>0</v>
      </c>
      <c r="L523">
        <v>0</v>
      </c>
      <c r="M523">
        <v>0</v>
      </c>
      <c r="N523">
        <v>0</v>
      </c>
    </row>
    <row r="524" spans="1:14" hidden="1" x14ac:dyDescent="0.25">
      <c r="A524" s="120" t="s">
        <v>3591</v>
      </c>
      <c r="B524" s="120" t="s">
        <v>3709</v>
      </c>
      <c r="C524" s="120" t="s">
        <v>301</v>
      </c>
      <c r="D524" s="120" t="s">
        <v>3606</v>
      </c>
      <c r="E524" s="120" t="s">
        <v>397</v>
      </c>
      <c r="F524" s="120" t="s">
        <v>14</v>
      </c>
      <c r="G524" s="120">
        <v>1</v>
      </c>
      <c r="H524">
        <v>0</v>
      </c>
      <c r="I524" s="120" t="s">
        <v>11</v>
      </c>
      <c r="J524">
        <v>1</v>
      </c>
      <c r="K524">
        <v>0</v>
      </c>
      <c r="L524">
        <v>0</v>
      </c>
      <c r="M524">
        <v>0</v>
      </c>
      <c r="N524">
        <v>0</v>
      </c>
    </row>
    <row r="525" spans="1:14" hidden="1" x14ac:dyDescent="0.25">
      <c r="A525" s="120" t="s">
        <v>3591</v>
      </c>
      <c r="B525" s="120" t="s">
        <v>3701</v>
      </c>
      <c r="C525" s="120" t="s">
        <v>301</v>
      </c>
      <c r="D525" s="120" t="s">
        <v>3606</v>
      </c>
      <c r="E525" s="120" t="s">
        <v>397</v>
      </c>
      <c r="F525" s="120" t="s">
        <v>14</v>
      </c>
      <c r="G525" s="120">
        <v>1</v>
      </c>
      <c r="H525">
        <v>0</v>
      </c>
      <c r="I525" s="120" t="s">
        <v>11</v>
      </c>
      <c r="J525">
        <v>1</v>
      </c>
      <c r="K525">
        <v>0</v>
      </c>
      <c r="L525">
        <v>0</v>
      </c>
      <c r="M525">
        <v>0</v>
      </c>
      <c r="N525">
        <v>0</v>
      </c>
    </row>
    <row r="526" spans="1:14" hidden="1" x14ac:dyDescent="0.25">
      <c r="A526" s="120" t="s">
        <v>3591</v>
      </c>
      <c r="B526" s="120" t="s">
        <v>3592</v>
      </c>
      <c r="C526" s="120" t="s">
        <v>301</v>
      </c>
      <c r="D526" s="120" t="s">
        <v>3607</v>
      </c>
      <c r="E526" s="120" t="s">
        <v>398</v>
      </c>
      <c r="F526" s="120" t="s">
        <v>10</v>
      </c>
      <c r="G526" s="120">
        <v>2</v>
      </c>
      <c r="H526">
        <v>0</v>
      </c>
      <c r="I526" s="120" t="s">
        <v>57</v>
      </c>
      <c r="J526">
        <v>2</v>
      </c>
      <c r="K526">
        <v>0</v>
      </c>
      <c r="L526" s="121">
        <v>0</v>
      </c>
      <c r="M526" s="121">
        <v>0</v>
      </c>
      <c r="N526" s="121">
        <v>0</v>
      </c>
    </row>
    <row r="527" spans="1:14" hidden="1" x14ac:dyDescent="0.25">
      <c r="A527" s="120" t="s">
        <v>3591</v>
      </c>
      <c r="B527" s="120" t="s">
        <v>3709</v>
      </c>
      <c r="C527" s="120" t="s">
        <v>301</v>
      </c>
      <c r="D527" s="120" t="s">
        <v>3607</v>
      </c>
      <c r="E527" s="120" t="s">
        <v>398</v>
      </c>
      <c r="F527" s="120" t="s">
        <v>10</v>
      </c>
      <c r="G527" s="120">
        <v>2</v>
      </c>
      <c r="H527">
        <v>0</v>
      </c>
      <c r="I527" s="120" t="s">
        <v>57</v>
      </c>
      <c r="J527">
        <v>2</v>
      </c>
      <c r="K527">
        <v>0</v>
      </c>
      <c r="L527">
        <v>0</v>
      </c>
      <c r="M527">
        <v>0</v>
      </c>
      <c r="N527">
        <v>0</v>
      </c>
    </row>
    <row r="528" spans="1:14" hidden="1" x14ac:dyDescent="0.25">
      <c r="A528" s="120" t="s">
        <v>3591</v>
      </c>
      <c r="B528" s="120" t="s">
        <v>3592</v>
      </c>
      <c r="C528" s="120" t="s">
        <v>301</v>
      </c>
      <c r="D528" s="120" t="s">
        <v>3610</v>
      </c>
      <c r="E528" s="120" t="s">
        <v>401</v>
      </c>
      <c r="F528" s="120" t="s">
        <v>10</v>
      </c>
      <c r="G528" s="120">
        <v>1</v>
      </c>
      <c r="H528">
        <v>0</v>
      </c>
      <c r="I528" s="120" t="s">
        <v>11</v>
      </c>
      <c r="J528">
        <v>1</v>
      </c>
      <c r="K528">
        <v>0</v>
      </c>
      <c r="L528" s="121">
        <v>0</v>
      </c>
      <c r="M528" s="121">
        <v>0</v>
      </c>
      <c r="N528" s="121">
        <v>0</v>
      </c>
    </row>
    <row r="529" spans="1:14" hidden="1" x14ac:dyDescent="0.25">
      <c r="A529" s="120" t="s">
        <v>3463</v>
      </c>
      <c r="B529" s="120" t="s">
        <v>3871</v>
      </c>
      <c r="C529" s="120" t="s">
        <v>301</v>
      </c>
      <c r="D529" s="120" t="s">
        <v>623</v>
      </c>
      <c r="E529" s="120" t="s">
        <v>21</v>
      </c>
      <c r="F529" s="120" t="s">
        <v>18</v>
      </c>
      <c r="G529" s="120">
        <v>2</v>
      </c>
      <c r="H529">
        <v>2</v>
      </c>
      <c r="I529" s="120" t="s">
        <v>57</v>
      </c>
      <c r="J529">
        <v>0</v>
      </c>
      <c r="K529">
        <v>1</v>
      </c>
      <c r="L529" s="121">
        <v>13</v>
      </c>
      <c r="M529" s="121">
        <v>26</v>
      </c>
      <c r="N529" s="121">
        <v>26</v>
      </c>
    </row>
    <row r="530" spans="1:14" hidden="1" x14ac:dyDescent="0.25">
      <c r="A530" s="120" t="s">
        <v>3591</v>
      </c>
      <c r="B530" s="120" t="s">
        <v>3701</v>
      </c>
      <c r="C530" s="120" t="s">
        <v>301</v>
      </c>
      <c r="D530" s="120" t="s">
        <v>3610</v>
      </c>
      <c r="E530" s="120" t="s">
        <v>401</v>
      </c>
      <c r="F530" s="120" t="s">
        <v>18</v>
      </c>
      <c r="G530" s="120">
        <v>3</v>
      </c>
      <c r="H530">
        <v>0</v>
      </c>
      <c r="I530" s="120" t="s">
        <v>11</v>
      </c>
      <c r="J530">
        <v>3</v>
      </c>
      <c r="K530">
        <v>0</v>
      </c>
      <c r="L530">
        <v>0</v>
      </c>
      <c r="M530">
        <v>0</v>
      </c>
      <c r="N530">
        <v>0</v>
      </c>
    </row>
    <row r="531" spans="1:14" hidden="1" x14ac:dyDescent="0.25">
      <c r="A531" s="120" t="s">
        <v>3463</v>
      </c>
      <c r="B531" s="120" t="s">
        <v>3871</v>
      </c>
      <c r="C531" s="120" t="s">
        <v>301</v>
      </c>
      <c r="D531" s="120" t="s">
        <v>626</v>
      </c>
      <c r="E531" s="120" t="s">
        <v>22</v>
      </c>
      <c r="F531" s="120" t="s">
        <v>10</v>
      </c>
      <c r="G531" s="120">
        <v>2</v>
      </c>
      <c r="H531">
        <v>2</v>
      </c>
      <c r="I531" s="120" t="s">
        <v>11</v>
      </c>
      <c r="J531">
        <v>0</v>
      </c>
      <c r="K531">
        <v>1</v>
      </c>
      <c r="L531" s="121">
        <v>14.9</v>
      </c>
      <c r="M531" s="121">
        <v>29.8</v>
      </c>
      <c r="N531" s="121">
        <v>29.8</v>
      </c>
    </row>
    <row r="532" spans="1:14" hidden="1" x14ac:dyDescent="0.25">
      <c r="A532" s="120" t="s">
        <v>3463</v>
      </c>
      <c r="B532" s="120" t="s">
        <v>3871</v>
      </c>
      <c r="C532" s="120" t="s">
        <v>301</v>
      </c>
      <c r="D532" s="120" t="s">
        <v>561</v>
      </c>
      <c r="E532" s="120" t="s">
        <v>384</v>
      </c>
      <c r="F532" s="120" t="s">
        <v>14</v>
      </c>
      <c r="G532" s="120">
        <v>1</v>
      </c>
      <c r="H532">
        <v>1</v>
      </c>
      <c r="I532" s="120" t="s">
        <v>47</v>
      </c>
      <c r="J532">
        <v>0</v>
      </c>
      <c r="K532">
        <v>1</v>
      </c>
      <c r="L532" s="121">
        <v>18</v>
      </c>
      <c r="M532" s="121">
        <v>18</v>
      </c>
      <c r="N532" s="121">
        <v>18</v>
      </c>
    </row>
    <row r="533" spans="1:14" hidden="1" x14ac:dyDescent="0.25">
      <c r="A533" s="120" t="s">
        <v>3591</v>
      </c>
      <c r="B533" s="120" t="s">
        <v>3709</v>
      </c>
      <c r="C533" s="120" t="s">
        <v>301</v>
      </c>
      <c r="D533" s="120" t="s">
        <v>3611</v>
      </c>
      <c r="E533" s="120" t="s">
        <v>402</v>
      </c>
      <c r="F533" s="120" t="s">
        <v>10</v>
      </c>
      <c r="G533" s="120">
        <v>3</v>
      </c>
      <c r="H533">
        <v>0</v>
      </c>
      <c r="I533" s="120" t="s">
        <v>11</v>
      </c>
      <c r="J533">
        <v>3</v>
      </c>
      <c r="K533">
        <v>0</v>
      </c>
      <c r="L533">
        <v>0</v>
      </c>
      <c r="M533">
        <v>0</v>
      </c>
      <c r="N533">
        <v>0</v>
      </c>
    </row>
    <row r="534" spans="1:14" hidden="1" x14ac:dyDescent="0.25">
      <c r="A534" s="120" t="s">
        <v>3591</v>
      </c>
      <c r="B534" s="120" t="s">
        <v>3701</v>
      </c>
      <c r="C534" s="120" t="s">
        <v>301</v>
      </c>
      <c r="D534" s="120" t="s">
        <v>3611</v>
      </c>
      <c r="E534" s="120" t="s">
        <v>402</v>
      </c>
      <c r="F534" s="120" t="s">
        <v>10</v>
      </c>
      <c r="G534" s="120">
        <v>4</v>
      </c>
      <c r="H534">
        <v>0</v>
      </c>
      <c r="I534" s="120" t="s">
        <v>11</v>
      </c>
      <c r="J534">
        <v>4</v>
      </c>
      <c r="K534">
        <v>0</v>
      </c>
      <c r="L534">
        <v>0</v>
      </c>
      <c r="M534">
        <v>0</v>
      </c>
      <c r="N534">
        <v>0</v>
      </c>
    </row>
    <row r="535" spans="1:14" hidden="1" x14ac:dyDescent="0.25">
      <c r="A535" s="120" t="s">
        <v>3463</v>
      </c>
      <c r="B535" s="120" t="s">
        <v>3871</v>
      </c>
      <c r="C535" s="120" t="s">
        <v>301</v>
      </c>
      <c r="D535" s="120" t="s">
        <v>3469</v>
      </c>
      <c r="E535" s="120" t="s">
        <v>25</v>
      </c>
      <c r="F535" s="120" t="s">
        <v>10</v>
      </c>
      <c r="G535" s="120">
        <v>0</v>
      </c>
      <c r="H535">
        <v>0</v>
      </c>
      <c r="I535" s="120" t="s">
        <v>11</v>
      </c>
      <c r="J535">
        <v>0</v>
      </c>
      <c r="K535">
        <v>1</v>
      </c>
      <c r="L535" s="121">
        <v>0</v>
      </c>
      <c r="M535" s="121">
        <v>0</v>
      </c>
      <c r="N535" s="121">
        <v>0</v>
      </c>
    </row>
    <row r="536" spans="1:14" hidden="1" x14ac:dyDescent="0.25">
      <c r="A536" s="120" t="s">
        <v>3463</v>
      </c>
      <c r="B536" s="120" t="s">
        <v>3871</v>
      </c>
      <c r="C536" s="120" t="s">
        <v>301</v>
      </c>
      <c r="D536" s="120" t="s">
        <v>1078</v>
      </c>
      <c r="E536" s="120" t="s">
        <v>449</v>
      </c>
      <c r="F536" s="120" t="s">
        <v>14</v>
      </c>
      <c r="G536" s="120">
        <v>1</v>
      </c>
      <c r="H536">
        <v>1</v>
      </c>
      <c r="I536" s="120" t="s">
        <v>11</v>
      </c>
      <c r="J536">
        <v>0</v>
      </c>
      <c r="K536">
        <v>1</v>
      </c>
      <c r="L536" s="121">
        <v>760</v>
      </c>
      <c r="M536" s="121">
        <v>760</v>
      </c>
      <c r="N536" s="121">
        <v>760</v>
      </c>
    </row>
    <row r="537" spans="1:14" hidden="1" x14ac:dyDescent="0.25">
      <c r="A537" s="120" t="s">
        <v>3463</v>
      </c>
      <c r="B537" s="120" t="s">
        <v>3871</v>
      </c>
      <c r="C537" s="120" t="s">
        <v>301</v>
      </c>
      <c r="D537" s="120" t="s">
        <v>1149</v>
      </c>
      <c r="E537" s="120" t="s">
        <v>41</v>
      </c>
      <c r="F537" s="120" t="s">
        <v>10</v>
      </c>
      <c r="G537" s="120">
        <v>2</v>
      </c>
      <c r="H537">
        <v>2</v>
      </c>
      <c r="I537" s="120" t="s">
        <v>11</v>
      </c>
      <c r="J537">
        <v>0</v>
      </c>
      <c r="K537">
        <v>1</v>
      </c>
      <c r="L537" s="121">
        <v>20</v>
      </c>
      <c r="M537" s="121">
        <v>40</v>
      </c>
      <c r="N537" s="121">
        <v>40</v>
      </c>
    </row>
    <row r="538" spans="1:14" hidden="1" x14ac:dyDescent="0.25">
      <c r="A538" s="120" t="s">
        <v>3591</v>
      </c>
      <c r="B538" s="120" t="s">
        <v>3709</v>
      </c>
      <c r="C538" s="120" t="s">
        <v>301</v>
      </c>
      <c r="D538" s="120" t="s">
        <v>3613</v>
      </c>
      <c r="E538" s="120" t="s">
        <v>404</v>
      </c>
      <c r="F538" s="120" t="s">
        <v>10</v>
      </c>
      <c r="G538" s="120">
        <v>2</v>
      </c>
      <c r="H538">
        <v>0</v>
      </c>
      <c r="I538" s="120" t="s">
        <v>11</v>
      </c>
      <c r="J538">
        <v>2</v>
      </c>
      <c r="K538">
        <v>0</v>
      </c>
      <c r="L538">
        <v>0</v>
      </c>
      <c r="M538">
        <v>0</v>
      </c>
      <c r="N538">
        <v>0</v>
      </c>
    </row>
    <row r="539" spans="1:14" hidden="1" x14ac:dyDescent="0.25">
      <c r="A539" s="120" t="s">
        <v>3591</v>
      </c>
      <c r="B539" s="120" t="s">
        <v>3701</v>
      </c>
      <c r="C539" s="120" t="s">
        <v>301</v>
      </c>
      <c r="D539" s="120" t="s">
        <v>3613</v>
      </c>
      <c r="E539" s="120" t="s">
        <v>404</v>
      </c>
      <c r="F539" s="120" t="s">
        <v>10</v>
      </c>
      <c r="G539" s="120">
        <v>4</v>
      </c>
      <c r="H539">
        <v>0</v>
      </c>
      <c r="I539" s="120" t="s">
        <v>11</v>
      </c>
      <c r="J539">
        <v>4</v>
      </c>
      <c r="K539">
        <v>0</v>
      </c>
      <c r="L539">
        <v>0</v>
      </c>
      <c r="M539">
        <v>0</v>
      </c>
      <c r="N539">
        <v>0</v>
      </c>
    </row>
    <row r="540" spans="1:14" hidden="1" x14ac:dyDescent="0.25">
      <c r="A540" s="120" t="s">
        <v>3591</v>
      </c>
      <c r="B540" s="120" t="s">
        <v>3592</v>
      </c>
      <c r="C540" s="120" t="s">
        <v>301</v>
      </c>
      <c r="D540" s="120" t="s">
        <v>3614</v>
      </c>
      <c r="E540" s="120" t="s">
        <v>405</v>
      </c>
      <c r="F540" s="120" t="s">
        <v>10</v>
      </c>
      <c r="G540" s="120">
        <v>12</v>
      </c>
      <c r="H540">
        <v>0</v>
      </c>
      <c r="I540" s="120" t="s">
        <v>11</v>
      </c>
      <c r="J540">
        <v>12</v>
      </c>
      <c r="K540">
        <v>0</v>
      </c>
      <c r="L540" s="121">
        <v>0</v>
      </c>
      <c r="M540" s="121">
        <v>0</v>
      </c>
      <c r="N540" s="121">
        <v>0</v>
      </c>
    </row>
    <row r="541" spans="1:14" hidden="1" x14ac:dyDescent="0.25">
      <c r="A541" s="120" t="s">
        <v>3463</v>
      </c>
      <c r="B541" s="120" t="s">
        <v>3871</v>
      </c>
      <c r="C541" s="120" t="s">
        <v>301</v>
      </c>
      <c r="D541" s="120" t="s">
        <v>613</v>
      </c>
      <c r="E541" s="120" t="s">
        <v>614</v>
      </c>
      <c r="F541" s="120"/>
      <c r="G541" s="120">
        <v>5</v>
      </c>
      <c r="H541">
        <v>5</v>
      </c>
      <c r="I541" s="120" t="s">
        <v>57</v>
      </c>
      <c r="J541">
        <v>0</v>
      </c>
      <c r="K541">
        <v>1</v>
      </c>
      <c r="L541" s="121">
        <v>1.8</v>
      </c>
      <c r="M541" s="121">
        <v>9</v>
      </c>
      <c r="N541" s="121">
        <v>9</v>
      </c>
    </row>
    <row r="542" spans="1:14" hidden="1" x14ac:dyDescent="0.25">
      <c r="A542" s="120" t="s">
        <v>3591</v>
      </c>
      <c r="B542" s="120" t="s">
        <v>3709</v>
      </c>
      <c r="C542" s="120" t="s">
        <v>301</v>
      </c>
      <c r="D542" s="120" t="s">
        <v>3614</v>
      </c>
      <c r="E542" s="120" t="s">
        <v>405</v>
      </c>
      <c r="F542" s="120" t="s">
        <v>10</v>
      </c>
      <c r="G542" s="120">
        <v>1</v>
      </c>
      <c r="H542">
        <v>0</v>
      </c>
      <c r="I542" s="120" t="s">
        <v>11</v>
      </c>
      <c r="J542">
        <v>1</v>
      </c>
      <c r="K542">
        <v>0</v>
      </c>
      <c r="L542">
        <v>0</v>
      </c>
      <c r="M542">
        <v>0</v>
      </c>
      <c r="N542">
        <v>0</v>
      </c>
    </row>
    <row r="543" spans="1:14" hidden="1" x14ac:dyDescent="0.25">
      <c r="A543" s="120" t="s">
        <v>3591</v>
      </c>
      <c r="B543" s="120" t="s">
        <v>3701</v>
      </c>
      <c r="C543" s="120" t="s">
        <v>301</v>
      </c>
      <c r="D543" s="120" t="s">
        <v>3614</v>
      </c>
      <c r="E543" s="120" t="s">
        <v>405</v>
      </c>
      <c r="F543" s="120" t="s">
        <v>10</v>
      </c>
      <c r="G543" s="120">
        <v>4</v>
      </c>
      <c r="H543">
        <v>0</v>
      </c>
      <c r="I543" s="120" t="s">
        <v>47</v>
      </c>
      <c r="J543">
        <v>4</v>
      </c>
      <c r="K543">
        <v>0</v>
      </c>
      <c r="L543">
        <v>0</v>
      </c>
      <c r="M543">
        <v>0</v>
      </c>
      <c r="N543">
        <v>0</v>
      </c>
    </row>
    <row r="544" spans="1:14" hidden="1" x14ac:dyDescent="0.25">
      <c r="A544" s="120" t="s">
        <v>3463</v>
      </c>
      <c r="B544" s="120" t="s">
        <v>3871</v>
      </c>
      <c r="C544" s="120" t="s">
        <v>301</v>
      </c>
      <c r="D544" s="120" t="s">
        <v>1178</v>
      </c>
      <c r="E544" s="120" t="s">
        <v>43</v>
      </c>
      <c r="F544" s="120" t="s">
        <v>10</v>
      </c>
      <c r="G544" s="120">
        <v>1</v>
      </c>
      <c r="H544">
        <v>1</v>
      </c>
      <c r="I544" s="120" t="s">
        <v>11</v>
      </c>
      <c r="J544">
        <v>0</v>
      </c>
      <c r="K544">
        <v>1</v>
      </c>
      <c r="L544" s="121">
        <v>17</v>
      </c>
      <c r="M544" s="121">
        <v>17</v>
      </c>
      <c r="N544" s="121">
        <v>17</v>
      </c>
    </row>
    <row r="545" spans="1:14" hidden="1" x14ac:dyDescent="0.25">
      <c r="A545" s="120" t="s">
        <v>3591</v>
      </c>
      <c r="B545" s="120" t="s">
        <v>3592</v>
      </c>
      <c r="C545" s="120" t="s">
        <v>301</v>
      </c>
      <c r="D545" s="120" t="s">
        <v>3615</v>
      </c>
      <c r="E545" s="120" t="s">
        <v>406</v>
      </c>
      <c r="F545" s="120" t="s">
        <v>10</v>
      </c>
      <c r="G545" s="120">
        <v>1</v>
      </c>
      <c r="H545">
        <v>0</v>
      </c>
      <c r="I545" s="120" t="s">
        <v>47</v>
      </c>
      <c r="J545">
        <v>1</v>
      </c>
      <c r="K545">
        <v>0</v>
      </c>
      <c r="L545" s="121">
        <v>0</v>
      </c>
      <c r="M545" s="121">
        <v>0</v>
      </c>
      <c r="N545" s="121">
        <v>0</v>
      </c>
    </row>
    <row r="546" spans="1:14" hidden="1" x14ac:dyDescent="0.25">
      <c r="A546" s="120" t="s">
        <v>3463</v>
      </c>
      <c r="B546" s="120" t="s">
        <v>3871</v>
      </c>
      <c r="C546" s="120" t="s">
        <v>301</v>
      </c>
      <c r="D546" s="120" t="s">
        <v>638</v>
      </c>
      <c r="E546" s="120" t="s">
        <v>60</v>
      </c>
      <c r="F546" s="120" t="s">
        <v>10</v>
      </c>
      <c r="G546" s="120">
        <v>2</v>
      </c>
      <c r="H546">
        <v>2</v>
      </c>
      <c r="I546" s="120" t="s">
        <v>11</v>
      </c>
      <c r="J546">
        <v>0</v>
      </c>
      <c r="K546">
        <v>1</v>
      </c>
      <c r="L546" s="121">
        <v>3.5</v>
      </c>
      <c r="M546" s="121">
        <v>7</v>
      </c>
      <c r="N546" s="121">
        <v>7</v>
      </c>
    </row>
    <row r="547" spans="1:14" hidden="1" x14ac:dyDescent="0.25">
      <c r="A547" s="120" t="s">
        <v>3591</v>
      </c>
      <c r="B547" s="120" t="s">
        <v>3709</v>
      </c>
      <c r="C547" s="120" t="s">
        <v>301</v>
      </c>
      <c r="D547" s="120" t="s">
        <v>3615</v>
      </c>
      <c r="E547" s="120" t="s">
        <v>406</v>
      </c>
      <c r="F547" s="120" t="s">
        <v>10</v>
      </c>
      <c r="G547" s="120">
        <v>2</v>
      </c>
      <c r="H547">
        <v>0</v>
      </c>
      <c r="I547" s="120" t="s">
        <v>47</v>
      </c>
      <c r="J547">
        <v>2</v>
      </c>
      <c r="K547">
        <v>0</v>
      </c>
      <c r="L547">
        <v>0</v>
      </c>
      <c r="M547">
        <v>0</v>
      </c>
      <c r="N547">
        <v>0</v>
      </c>
    </row>
    <row r="548" spans="1:14" hidden="1" x14ac:dyDescent="0.25">
      <c r="A548" s="120" t="s">
        <v>3591</v>
      </c>
      <c r="B548" s="120" t="s">
        <v>3701</v>
      </c>
      <c r="C548" s="120" t="s">
        <v>301</v>
      </c>
      <c r="D548" s="120" t="s">
        <v>3615</v>
      </c>
      <c r="E548" s="120" t="s">
        <v>406</v>
      </c>
      <c r="F548" s="120" t="s">
        <v>10</v>
      </c>
      <c r="G548" s="120">
        <v>5</v>
      </c>
      <c r="H548">
        <v>0</v>
      </c>
      <c r="I548" s="120" t="s">
        <v>11</v>
      </c>
      <c r="J548">
        <v>5</v>
      </c>
      <c r="K548">
        <v>0</v>
      </c>
      <c r="L548">
        <v>0</v>
      </c>
      <c r="M548">
        <v>0</v>
      </c>
      <c r="N548">
        <v>0</v>
      </c>
    </row>
    <row r="549" spans="1:14" hidden="1" x14ac:dyDescent="0.25">
      <c r="A549" s="120" t="s">
        <v>3591</v>
      </c>
      <c r="B549" s="120" t="s">
        <v>3592</v>
      </c>
      <c r="C549" s="120" t="s">
        <v>301</v>
      </c>
      <c r="D549" s="120" t="s">
        <v>3616</v>
      </c>
      <c r="E549" s="120" t="s">
        <v>407</v>
      </c>
      <c r="F549" s="120" t="s">
        <v>10</v>
      </c>
      <c r="G549" s="120">
        <v>2</v>
      </c>
      <c r="H549">
        <v>0</v>
      </c>
      <c r="I549" s="120" t="s">
        <v>57</v>
      </c>
      <c r="J549">
        <v>2</v>
      </c>
      <c r="K549">
        <v>0</v>
      </c>
      <c r="L549" s="121">
        <v>0</v>
      </c>
      <c r="M549" s="121">
        <v>0</v>
      </c>
      <c r="N549" s="121">
        <v>0</v>
      </c>
    </row>
    <row r="550" spans="1:14" hidden="1" x14ac:dyDescent="0.25">
      <c r="A550" s="120" t="s">
        <v>3463</v>
      </c>
      <c r="B550" s="120" t="s">
        <v>3871</v>
      </c>
      <c r="C550" s="120" t="s">
        <v>301</v>
      </c>
      <c r="D550" s="120" t="s">
        <v>1143</v>
      </c>
      <c r="E550" s="120" t="s">
        <v>54</v>
      </c>
      <c r="F550" s="120" t="s">
        <v>14</v>
      </c>
      <c r="G550" s="120">
        <v>3</v>
      </c>
      <c r="H550">
        <v>3</v>
      </c>
      <c r="I550" s="120" t="s">
        <v>47</v>
      </c>
      <c r="J550">
        <v>0</v>
      </c>
      <c r="K550">
        <v>1</v>
      </c>
      <c r="L550" s="121">
        <v>17</v>
      </c>
      <c r="M550" s="121">
        <v>51</v>
      </c>
      <c r="N550" s="121">
        <v>51</v>
      </c>
    </row>
    <row r="551" spans="1:14" hidden="1" x14ac:dyDescent="0.25">
      <c r="A551" s="120" t="s">
        <v>3463</v>
      </c>
      <c r="B551" s="120" t="s">
        <v>3871</v>
      </c>
      <c r="C551" s="120" t="s">
        <v>301</v>
      </c>
      <c r="D551" s="120" t="s">
        <v>711</v>
      </c>
      <c r="E551" s="120" t="s">
        <v>431</v>
      </c>
      <c r="F551" s="120" t="s">
        <v>10</v>
      </c>
      <c r="G551" s="120">
        <v>2</v>
      </c>
      <c r="H551">
        <v>2</v>
      </c>
      <c r="I551" s="120" t="s">
        <v>11</v>
      </c>
      <c r="J551">
        <v>0</v>
      </c>
      <c r="K551">
        <v>1</v>
      </c>
      <c r="L551" s="121">
        <v>10</v>
      </c>
      <c r="M551" s="121">
        <v>20</v>
      </c>
      <c r="N551" s="121">
        <v>20</v>
      </c>
    </row>
    <row r="552" spans="1:14" hidden="1" x14ac:dyDescent="0.25">
      <c r="A552" s="120" t="s">
        <v>3463</v>
      </c>
      <c r="B552" s="120" t="s">
        <v>3871</v>
      </c>
      <c r="C552" s="120" t="s">
        <v>301</v>
      </c>
      <c r="D552" s="120" t="s">
        <v>695</v>
      </c>
      <c r="E552" s="120" t="s">
        <v>62</v>
      </c>
      <c r="F552" s="120" t="s">
        <v>10</v>
      </c>
      <c r="G552" s="120">
        <v>2</v>
      </c>
      <c r="H552">
        <v>2</v>
      </c>
      <c r="I552" s="120" t="s">
        <v>47</v>
      </c>
      <c r="J552">
        <v>0</v>
      </c>
      <c r="K552">
        <v>1</v>
      </c>
      <c r="L552" s="121">
        <v>15.9</v>
      </c>
      <c r="M552" s="121">
        <v>31.8</v>
      </c>
      <c r="N552" s="121">
        <v>31.8</v>
      </c>
    </row>
    <row r="553" spans="1:14" hidden="1" x14ac:dyDescent="0.25">
      <c r="A553" s="120" t="s">
        <v>3591</v>
      </c>
      <c r="B553" s="120" t="s">
        <v>3693</v>
      </c>
      <c r="C553" s="120" t="s">
        <v>301</v>
      </c>
      <c r="D553" s="120" t="s">
        <v>3617</v>
      </c>
      <c r="E553" s="120" t="s">
        <v>408</v>
      </c>
      <c r="F553" s="120" t="s">
        <v>10</v>
      </c>
      <c r="G553" s="120">
        <v>2</v>
      </c>
      <c r="H553">
        <v>0</v>
      </c>
      <c r="I553" s="120" t="s">
        <v>11</v>
      </c>
      <c r="J553">
        <v>2</v>
      </c>
      <c r="K553">
        <v>0</v>
      </c>
      <c r="L553">
        <v>0</v>
      </c>
      <c r="M553">
        <v>0</v>
      </c>
      <c r="N553">
        <v>0</v>
      </c>
    </row>
    <row r="554" spans="1:14" hidden="1" x14ac:dyDescent="0.25">
      <c r="A554" s="120" t="s">
        <v>3591</v>
      </c>
      <c r="B554" s="120" t="s">
        <v>3709</v>
      </c>
      <c r="C554" s="120" t="s">
        <v>301</v>
      </c>
      <c r="D554" s="120" t="s">
        <v>3617</v>
      </c>
      <c r="E554" s="120" t="s">
        <v>408</v>
      </c>
      <c r="F554" s="120" t="s">
        <v>10</v>
      </c>
      <c r="G554" s="120">
        <v>3</v>
      </c>
      <c r="H554">
        <v>0</v>
      </c>
      <c r="I554" s="120" t="s">
        <v>11</v>
      </c>
      <c r="J554">
        <v>3</v>
      </c>
      <c r="K554">
        <v>0</v>
      </c>
      <c r="L554">
        <v>0</v>
      </c>
      <c r="M554">
        <v>0</v>
      </c>
      <c r="N554">
        <v>0</v>
      </c>
    </row>
    <row r="555" spans="1:14" hidden="1" x14ac:dyDescent="0.25">
      <c r="A555" s="120" t="s">
        <v>3591</v>
      </c>
      <c r="B555" s="120" t="s">
        <v>3701</v>
      </c>
      <c r="C555" s="120" t="s">
        <v>301</v>
      </c>
      <c r="D555" s="120" t="s">
        <v>3617</v>
      </c>
      <c r="E555" s="120" t="s">
        <v>408</v>
      </c>
      <c r="F555" s="120" t="s">
        <v>10</v>
      </c>
      <c r="G555" s="120">
        <v>6</v>
      </c>
      <c r="H555">
        <v>0</v>
      </c>
      <c r="I555" s="120" t="s">
        <v>11</v>
      </c>
      <c r="J555">
        <v>6</v>
      </c>
      <c r="K555">
        <v>0</v>
      </c>
      <c r="L555">
        <v>0</v>
      </c>
      <c r="M555">
        <v>0</v>
      </c>
      <c r="N555">
        <v>0</v>
      </c>
    </row>
    <row r="556" spans="1:14" hidden="1" x14ac:dyDescent="0.25">
      <c r="A556" s="120" t="s">
        <v>3591</v>
      </c>
      <c r="B556" s="120" t="s">
        <v>3592</v>
      </c>
      <c r="C556" s="120" t="s">
        <v>301</v>
      </c>
      <c r="D556" s="120" t="s">
        <v>3618</v>
      </c>
      <c r="E556" s="120" t="s">
        <v>409</v>
      </c>
      <c r="F556" s="120" t="s">
        <v>10</v>
      </c>
      <c r="G556" s="120">
        <v>10</v>
      </c>
      <c r="H556">
        <v>0</v>
      </c>
      <c r="I556" s="120" t="s">
        <v>47</v>
      </c>
      <c r="J556">
        <v>10</v>
      </c>
      <c r="K556">
        <v>0</v>
      </c>
      <c r="L556" s="121">
        <v>0</v>
      </c>
      <c r="M556" s="121">
        <v>0</v>
      </c>
      <c r="N556" s="121">
        <v>0</v>
      </c>
    </row>
    <row r="557" spans="1:14" hidden="1" x14ac:dyDescent="0.25">
      <c r="A557" s="120" t="s">
        <v>3463</v>
      </c>
      <c r="B557" s="120" t="s">
        <v>3871</v>
      </c>
      <c r="C557" s="120" t="s">
        <v>301</v>
      </c>
      <c r="D557" s="120" t="s">
        <v>1130</v>
      </c>
      <c r="E557" s="120" t="s">
        <v>1131</v>
      </c>
      <c r="F557" s="120" t="s">
        <v>157</v>
      </c>
      <c r="G557" s="120">
        <v>1</v>
      </c>
      <c r="H557">
        <v>1</v>
      </c>
      <c r="I557" s="120" t="s">
        <v>47</v>
      </c>
      <c r="J557">
        <v>0</v>
      </c>
      <c r="K557">
        <v>1</v>
      </c>
      <c r="L557" s="121">
        <v>90</v>
      </c>
      <c r="M557" s="121">
        <v>90</v>
      </c>
      <c r="N557" s="121">
        <v>90</v>
      </c>
    </row>
    <row r="558" spans="1:14" hidden="1" x14ac:dyDescent="0.25">
      <c r="A558" s="120" t="s">
        <v>3591</v>
      </c>
      <c r="B558" s="120" t="s">
        <v>3693</v>
      </c>
      <c r="C558" s="120" t="s">
        <v>301</v>
      </c>
      <c r="D558" s="120" t="s">
        <v>3618</v>
      </c>
      <c r="E558" s="120" t="s">
        <v>409</v>
      </c>
      <c r="F558" s="120" t="s">
        <v>10</v>
      </c>
      <c r="G558" s="120">
        <v>2</v>
      </c>
      <c r="H558">
        <v>0</v>
      </c>
      <c r="I558" s="120" t="s">
        <v>11</v>
      </c>
      <c r="J558">
        <v>2</v>
      </c>
      <c r="K558">
        <v>0</v>
      </c>
      <c r="L558">
        <v>0</v>
      </c>
      <c r="M558">
        <v>0</v>
      </c>
      <c r="N558">
        <v>0</v>
      </c>
    </row>
    <row r="559" spans="1:14" hidden="1" x14ac:dyDescent="0.25">
      <c r="A559" s="120" t="s">
        <v>3591</v>
      </c>
      <c r="B559" s="120" t="s">
        <v>3709</v>
      </c>
      <c r="C559" s="120" t="s">
        <v>301</v>
      </c>
      <c r="D559" s="120" t="s">
        <v>3618</v>
      </c>
      <c r="E559" s="120" t="s">
        <v>409</v>
      </c>
      <c r="F559" s="120" t="s">
        <v>10</v>
      </c>
      <c r="G559" s="120">
        <v>4</v>
      </c>
      <c r="H559">
        <v>0</v>
      </c>
      <c r="I559" s="120" t="s">
        <v>11</v>
      </c>
      <c r="J559">
        <v>4</v>
      </c>
      <c r="K559">
        <v>0</v>
      </c>
      <c r="L559">
        <v>0</v>
      </c>
      <c r="M559">
        <v>0</v>
      </c>
      <c r="N559">
        <v>0</v>
      </c>
    </row>
    <row r="560" spans="1:14" hidden="1" x14ac:dyDescent="0.25">
      <c r="A560" s="120" t="s">
        <v>3591</v>
      </c>
      <c r="B560" s="120" t="s">
        <v>3701</v>
      </c>
      <c r="C560" s="120" t="s">
        <v>301</v>
      </c>
      <c r="D560" s="120" t="s">
        <v>3618</v>
      </c>
      <c r="E560" s="120" t="s">
        <v>409</v>
      </c>
      <c r="F560" s="120" t="s">
        <v>10</v>
      </c>
      <c r="G560" s="120">
        <v>6</v>
      </c>
      <c r="H560">
        <v>0</v>
      </c>
      <c r="I560" s="120" t="s">
        <v>11</v>
      </c>
      <c r="J560">
        <v>6</v>
      </c>
      <c r="K560">
        <v>0</v>
      </c>
      <c r="L560">
        <v>0</v>
      </c>
      <c r="M560">
        <v>0</v>
      </c>
      <c r="N560">
        <v>0</v>
      </c>
    </row>
    <row r="561" spans="1:14" hidden="1" x14ac:dyDescent="0.25">
      <c r="A561" s="120" t="s">
        <v>3591</v>
      </c>
      <c r="B561" s="120" t="s">
        <v>3592</v>
      </c>
      <c r="C561" s="120" t="s">
        <v>301</v>
      </c>
      <c r="D561" s="120" t="s">
        <v>3620</v>
      </c>
      <c r="E561" s="120" t="s">
        <v>415</v>
      </c>
      <c r="F561" s="120" t="s">
        <v>10</v>
      </c>
      <c r="G561" s="120">
        <v>7</v>
      </c>
      <c r="H561">
        <v>0</v>
      </c>
      <c r="I561" s="120" t="s">
        <v>47</v>
      </c>
      <c r="J561">
        <v>7</v>
      </c>
      <c r="K561">
        <v>0</v>
      </c>
      <c r="L561" s="121">
        <v>0</v>
      </c>
      <c r="M561" s="121">
        <v>0</v>
      </c>
      <c r="N561" s="121">
        <v>0</v>
      </c>
    </row>
    <row r="562" spans="1:14" hidden="1" x14ac:dyDescent="0.25">
      <c r="A562" s="120" t="s">
        <v>3591</v>
      </c>
      <c r="B562" s="120" t="s">
        <v>3701</v>
      </c>
      <c r="C562" s="120" t="s">
        <v>301</v>
      </c>
      <c r="D562" s="120" t="s">
        <v>3620</v>
      </c>
      <c r="E562" s="120" t="s">
        <v>415</v>
      </c>
      <c r="F562" s="120" t="s">
        <v>10</v>
      </c>
      <c r="G562" s="120">
        <v>1</v>
      </c>
      <c r="H562">
        <v>0</v>
      </c>
      <c r="I562" s="120" t="s">
        <v>47</v>
      </c>
      <c r="J562">
        <v>1</v>
      </c>
      <c r="K562">
        <v>0</v>
      </c>
      <c r="L562">
        <v>0</v>
      </c>
      <c r="M562">
        <v>0</v>
      </c>
      <c r="N562">
        <v>0</v>
      </c>
    </row>
    <row r="563" spans="1:14" hidden="1" x14ac:dyDescent="0.25">
      <c r="A563" s="120" t="s">
        <v>3591</v>
      </c>
      <c r="B563" s="120" t="s">
        <v>3592</v>
      </c>
      <c r="C563" s="120" t="s">
        <v>301</v>
      </c>
      <c r="D563" s="120" t="s">
        <v>3621</v>
      </c>
      <c r="E563" s="120" t="s">
        <v>416</v>
      </c>
      <c r="F563" s="120" t="s">
        <v>10</v>
      </c>
      <c r="G563" s="120">
        <v>8</v>
      </c>
      <c r="H563">
        <v>0</v>
      </c>
      <c r="I563" s="120" t="s">
        <v>11</v>
      </c>
      <c r="J563">
        <v>8</v>
      </c>
      <c r="K563">
        <v>0</v>
      </c>
      <c r="L563" s="121">
        <v>0</v>
      </c>
      <c r="M563" s="121">
        <v>0</v>
      </c>
      <c r="N563" s="121">
        <v>0</v>
      </c>
    </row>
    <row r="564" spans="1:14" hidden="1" x14ac:dyDescent="0.25">
      <c r="A564" s="120" t="s">
        <v>3463</v>
      </c>
      <c r="B564" s="120" t="s">
        <v>3871</v>
      </c>
      <c r="C564" s="120" t="s">
        <v>301</v>
      </c>
      <c r="D564" s="120" t="s">
        <v>689</v>
      </c>
      <c r="E564" s="120" t="s">
        <v>412</v>
      </c>
      <c r="F564" s="120" t="s">
        <v>10</v>
      </c>
      <c r="G564" s="120">
        <v>1</v>
      </c>
      <c r="H564">
        <v>1</v>
      </c>
      <c r="I564" s="120" t="s">
        <v>47</v>
      </c>
      <c r="J564">
        <v>0</v>
      </c>
      <c r="K564">
        <v>1</v>
      </c>
      <c r="L564" s="121">
        <v>17.399999999999999</v>
      </c>
      <c r="M564" s="121">
        <v>17.399999999999999</v>
      </c>
      <c r="N564" s="121">
        <v>17.399999999999999</v>
      </c>
    </row>
    <row r="565" spans="1:14" hidden="1" x14ac:dyDescent="0.25">
      <c r="A565" s="120" t="s">
        <v>3591</v>
      </c>
      <c r="B565" s="120" t="s">
        <v>3693</v>
      </c>
      <c r="C565" s="120" t="s">
        <v>301</v>
      </c>
      <c r="D565" s="120" t="s">
        <v>3621</v>
      </c>
      <c r="E565" s="120" t="s">
        <v>416</v>
      </c>
      <c r="F565" s="120" t="s">
        <v>10</v>
      </c>
      <c r="G565" s="120">
        <v>2</v>
      </c>
      <c r="H565">
        <v>0</v>
      </c>
      <c r="I565" s="120" t="s">
        <v>11</v>
      </c>
      <c r="J565">
        <v>2</v>
      </c>
      <c r="K565">
        <v>0</v>
      </c>
      <c r="L565">
        <v>0</v>
      </c>
      <c r="M565">
        <v>0</v>
      </c>
      <c r="N565">
        <v>0</v>
      </c>
    </row>
    <row r="566" spans="1:14" hidden="1" x14ac:dyDescent="0.25">
      <c r="A566" s="120" t="s">
        <v>3591</v>
      </c>
      <c r="B566" s="120" t="s">
        <v>3709</v>
      </c>
      <c r="C566" s="120" t="s">
        <v>301</v>
      </c>
      <c r="D566" s="120" t="s">
        <v>3621</v>
      </c>
      <c r="E566" s="120" t="s">
        <v>416</v>
      </c>
      <c r="F566" s="120" t="s">
        <v>10</v>
      </c>
      <c r="G566" s="120">
        <v>3</v>
      </c>
      <c r="H566">
        <v>0</v>
      </c>
      <c r="I566" s="120" t="s">
        <v>11</v>
      </c>
      <c r="J566">
        <v>3</v>
      </c>
      <c r="K566">
        <v>0</v>
      </c>
      <c r="L566">
        <v>0</v>
      </c>
      <c r="M566">
        <v>0</v>
      </c>
      <c r="N566">
        <v>0</v>
      </c>
    </row>
    <row r="567" spans="1:14" hidden="1" x14ac:dyDescent="0.25">
      <c r="A567" s="120" t="s">
        <v>3591</v>
      </c>
      <c r="B567" s="120" t="s">
        <v>3701</v>
      </c>
      <c r="C567" s="120" t="s">
        <v>301</v>
      </c>
      <c r="D567" s="120" t="s">
        <v>3621</v>
      </c>
      <c r="E567" s="120" t="s">
        <v>416</v>
      </c>
      <c r="F567" s="120" t="s">
        <v>10</v>
      </c>
      <c r="G567" s="120">
        <v>4</v>
      </c>
      <c r="H567">
        <v>0</v>
      </c>
      <c r="I567" s="120" t="s">
        <v>11</v>
      </c>
      <c r="J567">
        <v>4</v>
      </c>
      <c r="K567">
        <v>0</v>
      </c>
      <c r="L567">
        <v>0</v>
      </c>
      <c r="M567">
        <v>0</v>
      </c>
      <c r="N567">
        <v>0</v>
      </c>
    </row>
    <row r="568" spans="1:14" hidden="1" x14ac:dyDescent="0.25">
      <c r="A568" s="120" t="s">
        <v>3591</v>
      </c>
      <c r="B568" s="120" t="s">
        <v>3592</v>
      </c>
      <c r="C568" s="120" t="s">
        <v>301</v>
      </c>
      <c r="D568" s="120" t="s">
        <v>1197</v>
      </c>
      <c r="E568" s="120" t="s">
        <v>473</v>
      </c>
      <c r="F568" s="120" t="s">
        <v>18</v>
      </c>
      <c r="G568" s="120">
        <v>2</v>
      </c>
      <c r="H568">
        <v>0</v>
      </c>
      <c r="I568" s="120" t="s">
        <v>11</v>
      </c>
      <c r="J568">
        <v>2</v>
      </c>
      <c r="K568">
        <v>0</v>
      </c>
      <c r="L568" s="121">
        <v>10000</v>
      </c>
      <c r="M568" s="121">
        <v>20000</v>
      </c>
      <c r="N568" s="121">
        <v>0</v>
      </c>
    </row>
    <row r="569" spans="1:14" hidden="1" x14ac:dyDescent="0.25">
      <c r="A569" s="120" t="s">
        <v>3463</v>
      </c>
      <c r="B569" s="120" t="s">
        <v>3871</v>
      </c>
      <c r="C569" s="120" t="s">
        <v>301</v>
      </c>
      <c r="D569" s="120" t="s">
        <v>1129</v>
      </c>
      <c r="E569" s="120" t="s">
        <v>154</v>
      </c>
      <c r="F569" s="120" t="s">
        <v>14</v>
      </c>
      <c r="G569" s="120">
        <v>1</v>
      </c>
      <c r="H569">
        <v>1</v>
      </c>
      <c r="I569" s="120" t="s">
        <v>47</v>
      </c>
      <c r="J569">
        <v>0</v>
      </c>
      <c r="K569">
        <v>1</v>
      </c>
      <c r="L569" s="121">
        <v>13.6</v>
      </c>
      <c r="M569" s="121">
        <v>13.6</v>
      </c>
      <c r="N569" s="121">
        <v>13.6</v>
      </c>
    </row>
    <row r="570" spans="1:14" hidden="1" x14ac:dyDescent="0.25">
      <c r="A570" s="120" t="s">
        <v>3591</v>
      </c>
      <c r="B570" s="120" t="s">
        <v>3592</v>
      </c>
      <c r="C570" s="120" t="s">
        <v>301</v>
      </c>
      <c r="D570" s="120" t="s">
        <v>3622</v>
      </c>
      <c r="E570" s="120" t="s">
        <v>417</v>
      </c>
      <c r="F570" s="120" t="s">
        <v>10</v>
      </c>
      <c r="G570" s="120">
        <v>7</v>
      </c>
      <c r="H570">
        <v>0</v>
      </c>
      <c r="I570" s="120" t="s">
        <v>47</v>
      </c>
      <c r="J570">
        <v>7</v>
      </c>
      <c r="K570">
        <v>0</v>
      </c>
      <c r="L570" s="121">
        <v>0</v>
      </c>
      <c r="M570" s="121">
        <v>0</v>
      </c>
      <c r="N570" s="121">
        <v>0</v>
      </c>
    </row>
    <row r="571" spans="1:14" hidden="1" x14ac:dyDescent="0.25">
      <c r="A571" s="120" t="s">
        <v>3463</v>
      </c>
      <c r="B571" s="120" t="s">
        <v>3871</v>
      </c>
      <c r="C571" s="120" t="s">
        <v>301</v>
      </c>
      <c r="D571" s="120" t="s">
        <v>1772</v>
      </c>
      <c r="E571" s="120" t="s">
        <v>496</v>
      </c>
      <c r="F571" s="120" t="s">
        <v>10</v>
      </c>
      <c r="G571" s="120">
        <v>1</v>
      </c>
      <c r="H571">
        <v>1</v>
      </c>
      <c r="I571" s="120" t="s">
        <v>47</v>
      </c>
      <c r="J571">
        <v>0</v>
      </c>
      <c r="K571">
        <v>1</v>
      </c>
      <c r="L571" s="121">
        <v>9.8000000000000007</v>
      </c>
      <c r="M571" s="121">
        <v>9.8000000000000007</v>
      </c>
      <c r="N571" s="121">
        <v>9.8000000000000007</v>
      </c>
    </row>
    <row r="572" spans="1:14" hidden="1" x14ac:dyDescent="0.25">
      <c r="A572" s="120" t="s">
        <v>3591</v>
      </c>
      <c r="B572" s="120" t="s">
        <v>3693</v>
      </c>
      <c r="C572" s="120" t="s">
        <v>301</v>
      </c>
      <c r="D572" s="120" t="s">
        <v>3622</v>
      </c>
      <c r="E572" s="120" t="s">
        <v>417</v>
      </c>
      <c r="F572" s="120" t="s">
        <v>10</v>
      </c>
      <c r="G572" s="120">
        <v>1</v>
      </c>
      <c r="H572">
        <v>0</v>
      </c>
      <c r="I572" s="120" t="s">
        <v>11</v>
      </c>
      <c r="J572">
        <v>1</v>
      </c>
      <c r="K572">
        <v>0</v>
      </c>
      <c r="L572">
        <v>0</v>
      </c>
      <c r="M572">
        <v>0</v>
      </c>
      <c r="N572">
        <v>0</v>
      </c>
    </row>
    <row r="573" spans="1:14" hidden="1" x14ac:dyDescent="0.25">
      <c r="A573" s="120" t="s">
        <v>3591</v>
      </c>
      <c r="B573" s="120" t="s">
        <v>3701</v>
      </c>
      <c r="C573" s="120" t="s">
        <v>301</v>
      </c>
      <c r="D573" s="120" t="s">
        <v>3622</v>
      </c>
      <c r="E573" s="120" t="s">
        <v>417</v>
      </c>
      <c r="F573" s="120" t="s">
        <v>18</v>
      </c>
      <c r="G573" s="120">
        <v>1</v>
      </c>
      <c r="H573">
        <v>0</v>
      </c>
      <c r="I573" s="120" t="s">
        <v>57</v>
      </c>
      <c r="J573">
        <v>1</v>
      </c>
      <c r="K573">
        <v>0</v>
      </c>
      <c r="L573">
        <v>0</v>
      </c>
      <c r="M573">
        <v>0</v>
      </c>
      <c r="N573">
        <v>0</v>
      </c>
    </row>
    <row r="574" spans="1:14" hidden="1" x14ac:dyDescent="0.25">
      <c r="A574" s="120" t="s">
        <v>3591</v>
      </c>
      <c r="B574" s="120" t="s">
        <v>3592</v>
      </c>
      <c r="C574" s="120" t="s">
        <v>301</v>
      </c>
      <c r="D574" s="120" t="s">
        <v>3623</v>
      </c>
      <c r="E574" s="120" t="s">
        <v>418</v>
      </c>
      <c r="F574" s="120" t="s">
        <v>18</v>
      </c>
      <c r="G574" s="120">
        <v>10</v>
      </c>
      <c r="H574">
        <v>0</v>
      </c>
      <c r="I574" s="120" t="s">
        <v>11</v>
      </c>
      <c r="J574">
        <v>10</v>
      </c>
      <c r="K574">
        <v>0</v>
      </c>
      <c r="L574" s="121">
        <v>0</v>
      </c>
      <c r="M574" s="121">
        <v>0</v>
      </c>
      <c r="N574" s="121">
        <v>0</v>
      </c>
    </row>
    <row r="575" spans="1:14" hidden="1" x14ac:dyDescent="0.25">
      <c r="A575" s="120" t="s">
        <v>3591</v>
      </c>
      <c r="B575" s="120" t="s">
        <v>3698</v>
      </c>
      <c r="C575" s="120" t="s">
        <v>301</v>
      </c>
      <c r="D575" s="120" t="s">
        <v>3623</v>
      </c>
      <c r="E575" s="120" t="s">
        <v>418</v>
      </c>
      <c r="F575" s="120" t="s">
        <v>18</v>
      </c>
      <c r="G575" s="120">
        <v>1</v>
      </c>
      <c r="H575">
        <v>0</v>
      </c>
      <c r="I575" s="120" t="s">
        <v>11</v>
      </c>
      <c r="J575">
        <v>1</v>
      </c>
      <c r="K575">
        <v>0</v>
      </c>
      <c r="L575">
        <v>0</v>
      </c>
      <c r="M575">
        <v>0</v>
      </c>
      <c r="N575">
        <v>0</v>
      </c>
    </row>
    <row r="576" spans="1:14" hidden="1" x14ac:dyDescent="0.25">
      <c r="A576" s="120" t="s">
        <v>3591</v>
      </c>
      <c r="B576" s="120" t="s">
        <v>3693</v>
      </c>
      <c r="C576" s="120" t="s">
        <v>301</v>
      </c>
      <c r="D576" s="120" t="s">
        <v>3623</v>
      </c>
      <c r="E576" s="120" t="s">
        <v>418</v>
      </c>
      <c r="F576" s="120" t="s">
        <v>18</v>
      </c>
      <c r="G576" s="120">
        <v>1</v>
      </c>
      <c r="H576">
        <v>0</v>
      </c>
      <c r="I576" s="120" t="s">
        <v>11</v>
      </c>
      <c r="J576">
        <v>1</v>
      </c>
      <c r="K576">
        <v>0</v>
      </c>
      <c r="L576">
        <v>0</v>
      </c>
      <c r="M576">
        <v>0</v>
      </c>
      <c r="N576">
        <v>0</v>
      </c>
    </row>
    <row r="577" spans="1:14" hidden="1" x14ac:dyDescent="0.25">
      <c r="A577" s="120" t="s">
        <v>3591</v>
      </c>
      <c r="B577" s="120" t="s">
        <v>3709</v>
      </c>
      <c r="C577" s="120" t="s">
        <v>301</v>
      </c>
      <c r="D577" s="120" t="s">
        <v>3623</v>
      </c>
      <c r="E577" s="120" t="s">
        <v>418</v>
      </c>
      <c r="F577" s="120" t="s">
        <v>18</v>
      </c>
      <c r="G577" s="120">
        <v>3</v>
      </c>
      <c r="H577">
        <v>0</v>
      </c>
      <c r="I577" s="120" t="s">
        <v>11</v>
      </c>
      <c r="J577">
        <v>3</v>
      </c>
      <c r="K577">
        <v>0</v>
      </c>
      <c r="L577">
        <v>0</v>
      </c>
      <c r="M577">
        <v>0</v>
      </c>
      <c r="N577">
        <v>0</v>
      </c>
    </row>
    <row r="578" spans="1:14" hidden="1" x14ac:dyDescent="0.25">
      <c r="A578" s="120" t="s">
        <v>3591</v>
      </c>
      <c r="B578" s="120" t="s">
        <v>3701</v>
      </c>
      <c r="C578" s="120" t="s">
        <v>301</v>
      </c>
      <c r="D578" s="120" t="s">
        <v>3623</v>
      </c>
      <c r="E578" s="120" t="s">
        <v>418</v>
      </c>
      <c r="F578" s="120" t="s">
        <v>18</v>
      </c>
      <c r="G578" s="120">
        <v>2</v>
      </c>
      <c r="H578">
        <v>0</v>
      </c>
      <c r="I578" s="120" t="s">
        <v>11</v>
      </c>
      <c r="J578">
        <v>2</v>
      </c>
      <c r="K578">
        <v>0</v>
      </c>
      <c r="L578">
        <v>0</v>
      </c>
      <c r="M578">
        <v>0</v>
      </c>
      <c r="N578">
        <v>0</v>
      </c>
    </row>
    <row r="579" spans="1:14" hidden="1" x14ac:dyDescent="0.25">
      <c r="A579" s="120" t="s">
        <v>3463</v>
      </c>
      <c r="B579" s="120" t="s">
        <v>3871</v>
      </c>
      <c r="C579" s="120" t="s">
        <v>301</v>
      </c>
      <c r="D579" s="120" t="s">
        <v>604</v>
      </c>
      <c r="E579" s="120" t="s">
        <v>605</v>
      </c>
      <c r="F579" s="120"/>
      <c r="G579" s="120">
        <v>1</v>
      </c>
      <c r="H579">
        <v>1</v>
      </c>
      <c r="I579" s="120" t="s">
        <v>57</v>
      </c>
      <c r="J579">
        <v>0</v>
      </c>
      <c r="K579">
        <v>1</v>
      </c>
      <c r="L579" s="121">
        <v>11</v>
      </c>
      <c r="M579" s="121">
        <v>11</v>
      </c>
      <c r="N579" s="121">
        <v>11</v>
      </c>
    </row>
    <row r="580" spans="1:14" hidden="1" x14ac:dyDescent="0.25">
      <c r="A580" s="120" t="s">
        <v>3591</v>
      </c>
      <c r="B580" s="120" t="s">
        <v>3592</v>
      </c>
      <c r="C580" s="120" t="s">
        <v>301</v>
      </c>
      <c r="D580" s="120" t="s">
        <v>1201</v>
      </c>
      <c r="E580" s="120" t="s">
        <v>480</v>
      </c>
      <c r="F580" s="120" t="s">
        <v>71</v>
      </c>
      <c r="G580" s="120">
        <v>0</v>
      </c>
      <c r="H580">
        <v>2</v>
      </c>
      <c r="I580" s="120" t="s">
        <v>57</v>
      </c>
      <c r="J580">
        <v>-2</v>
      </c>
      <c r="K580">
        <v>0</v>
      </c>
      <c r="L580">
        <v>26.1</v>
      </c>
      <c r="M580">
        <v>0</v>
      </c>
      <c r="N580">
        <v>52.2</v>
      </c>
    </row>
    <row r="581" spans="1:14" hidden="1" x14ac:dyDescent="0.25">
      <c r="A581" s="120" t="s">
        <v>3591</v>
      </c>
      <c r="B581" s="120" t="s">
        <v>3592</v>
      </c>
      <c r="C581" s="120" t="s">
        <v>301</v>
      </c>
      <c r="D581" s="120" t="s">
        <v>3625</v>
      </c>
      <c r="E581" s="120" t="s">
        <v>420</v>
      </c>
      <c r="F581" s="120" t="s">
        <v>18</v>
      </c>
      <c r="G581" s="120">
        <v>1</v>
      </c>
      <c r="H581">
        <v>0</v>
      </c>
      <c r="I581" s="120" t="s">
        <v>57</v>
      </c>
      <c r="J581">
        <v>1</v>
      </c>
      <c r="K581">
        <v>0</v>
      </c>
      <c r="L581" s="121">
        <v>0</v>
      </c>
      <c r="M581" s="121">
        <v>0</v>
      </c>
      <c r="N581" s="121">
        <v>0</v>
      </c>
    </row>
    <row r="582" spans="1:14" hidden="1" x14ac:dyDescent="0.25">
      <c r="A582" s="120" t="s">
        <v>3591</v>
      </c>
      <c r="B582" s="120" t="s">
        <v>3592</v>
      </c>
      <c r="C582" s="120" t="s">
        <v>301</v>
      </c>
      <c r="D582" s="120" t="s">
        <v>3626</v>
      </c>
      <c r="E582" s="120" t="s">
        <v>421</v>
      </c>
      <c r="F582" s="120" t="s">
        <v>10</v>
      </c>
      <c r="G582" s="120">
        <v>4</v>
      </c>
      <c r="H582">
        <v>0</v>
      </c>
      <c r="I582" s="120" t="s">
        <v>47</v>
      </c>
      <c r="J582">
        <v>4</v>
      </c>
      <c r="K582">
        <v>0</v>
      </c>
      <c r="L582" s="121">
        <v>0</v>
      </c>
      <c r="M582" s="121">
        <v>0</v>
      </c>
      <c r="N582" s="121">
        <v>0</v>
      </c>
    </row>
    <row r="583" spans="1:14" hidden="1" x14ac:dyDescent="0.25">
      <c r="A583" s="120" t="s">
        <v>3463</v>
      </c>
      <c r="B583" s="120" t="s">
        <v>3871</v>
      </c>
      <c r="C583" s="120" t="s">
        <v>301</v>
      </c>
      <c r="D583" s="120" t="s">
        <v>606</v>
      </c>
      <c r="E583" s="120" t="s">
        <v>607</v>
      </c>
      <c r="F583" s="120" t="s">
        <v>10</v>
      </c>
      <c r="G583" s="120">
        <v>1</v>
      </c>
      <c r="H583">
        <v>1</v>
      </c>
      <c r="I583" s="120" t="s">
        <v>47</v>
      </c>
      <c r="J583">
        <v>0</v>
      </c>
      <c r="K583">
        <v>1</v>
      </c>
      <c r="L583" s="121">
        <v>12</v>
      </c>
      <c r="M583" s="121">
        <v>12</v>
      </c>
      <c r="N583" s="121">
        <v>12</v>
      </c>
    </row>
    <row r="584" spans="1:14" hidden="1" x14ac:dyDescent="0.25">
      <c r="A584" s="120" t="s">
        <v>3591</v>
      </c>
      <c r="B584" s="120" t="s">
        <v>3701</v>
      </c>
      <c r="C584" s="120" t="s">
        <v>301</v>
      </c>
      <c r="D584" s="120" t="s">
        <v>3626</v>
      </c>
      <c r="E584" s="120" t="s">
        <v>421</v>
      </c>
      <c r="F584" s="120" t="s">
        <v>10</v>
      </c>
      <c r="G584" s="120">
        <v>4</v>
      </c>
      <c r="H584">
        <v>0</v>
      </c>
      <c r="I584" s="120" t="s">
        <v>57</v>
      </c>
      <c r="J584">
        <v>4</v>
      </c>
      <c r="K584">
        <v>0</v>
      </c>
      <c r="L584">
        <v>0</v>
      </c>
      <c r="M584">
        <v>0</v>
      </c>
      <c r="N584">
        <v>0</v>
      </c>
    </row>
    <row r="585" spans="1:14" hidden="1" x14ac:dyDescent="0.25">
      <c r="A585" s="120" t="s">
        <v>3591</v>
      </c>
      <c r="B585" s="120" t="s">
        <v>3592</v>
      </c>
      <c r="C585" s="120" t="s">
        <v>301</v>
      </c>
      <c r="D585" s="120" t="s">
        <v>3627</v>
      </c>
      <c r="E585" s="120" t="s">
        <v>421</v>
      </c>
      <c r="F585" s="120" t="s">
        <v>18</v>
      </c>
      <c r="G585" s="120">
        <v>4</v>
      </c>
      <c r="H585">
        <v>0</v>
      </c>
      <c r="I585" s="120" t="s">
        <v>57</v>
      </c>
      <c r="J585">
        <v>4</v>
      </c>
      <c r="K585">
        <v>0</v>
      </c>
      <c r="L585" s="121">
        <v>0</v>
      </c>
      <c r="M585" s="121">
        <v>0</v>
      </c>
      <c r="N585" s="121">
        <v>0</v>
      </c>
    </row>
    <row r="586" spans="1:14" hidden="1" x14ac:dyDescent="0.25">
      <c r="A586" s="120" t="s">
        <v>3591</v>
      </c>
      <c r="B586" s="120" t="s">
        <v>3709</v>
      </c>
      <c r="C586" s="120" t="s">
        <v>301</v>
      </c>
      <c r="D586" s="120" t="s">
        <v>3627</v>
      </c>
      <c r="E586" s="120" t="s">
        <v>421</v>
      </c>
      <c r="F586" s="120" t="s">
        <v>18</v>
      </c>
      <c r="G586" s="120">
        <v>6</v>
      </c>
      <c r="H586">
        <v>0</v>
      </c>
      <c r="I586" s="120" t="s">
        <v>11</v>
      </c>
      <c r="J586">
        <v>6</v>
      </c>
      <c r="K586">
        <v>0</v>
      </c>
      <c r="L586">
        <v>0</v>
      </c>
      <c r="M586">
        <v>0</v>
      </c>
      <c r="N586">
        <v>0</v>
      </c>
    </row>
    <row r="587" spans="1:14" hidden="1" x14ac:dyDescent="0.25">
      <c r="A587" s="120" t="s">
        <v>3463</v>
      </c>
      <c r="B587" s="120" t="s">
        <v>3871</v>
      </c>
      <c r="C587" s="120" t="s">
        <v>301</v>
      </c>
      <c r="D587" s="120" t="s">
        <v>610</v>
      </c>
      <c r="E587" s="120" t="s">
        <v>611</v>
      </c>
      <c r="F587" s="120" t="s">
        <v>18</v>
      </c>
      <c r="G587" s="120">
        <v>1</v>
      </c>
      <c r="H587">
        <v>1</v>
      </c>
      <c r="I587" s="120" t="s">
        <v>11</v>
      </c>
      <c r="J587">
        <v>0</v>
      </c>
      <c r="K587">
        <v>1</v>
      </c>
      <c r="L587" s="121">
        <v>17.333300000000001</v>
      </c>
      <c r="M587" s="121">
        <v>17.333300000000001</v>
      </c>
      <c r="N587" s="121">
        <v>17.333300000000001</v>
      </c>
    </row>
    <row r="588" spans="1:14" hidden="1" x14ac:dyDescent="0.25">
      <c r="A588" s="120" t="s">
        <v>3591</v>
      </c>
      <c r="B588" s="120" t="s">
        <v>3592</v>
      </c>
      <c r="C588" s="120" t="s">
        <v>301</v>
      </c>
      <c r="D588" s="120" t="s">
        <v>3628</v>
      </c>
      <c r="E588" s="120" t="s">
        <v>422</v>
      </c>
      <c r="F588" s="120" t="s">
        <v>10</v>
      </c>
      <c r="G588" s="120">
        <v>11</v>
      </c>
      <c r="H588">
        <v>0</v>
      </c>
      <c r="I588" s="120" t="s">
        <v>11</v>
      </c>
      <c r="J588">
        <v>11</v>
      </c>
      <c r="K588">
        <v>0</v>
      </c>
      <c r="L588" s="121">
        <v>0</v>
      </c>
      <c r="M588" s="121">
        <v>0</v>
      </c>
      <c r="N588" s="121">
        <v>0</v>
      </c>
    </row>
    <row r="589" spans="1:14" hidden="1" x14ac:dyDescent="0.25">
      <c r="A589" s="120" t="s">
        <v>3463</v>
      </c>
      <c r="B589" s="120" t="s">
        <v>3871</v>
      </c>
      <c r="C589" s="120" t="s">
        <v>301</v>
      </c>
      <c r="D589" s="120" t="s">
        <v>628</v>
      </c>
      <c r="E589" s="120" t="s">
        <v>629</v>
      </c>
      <c r="F589" s="120" t="s">
        <v>18</v>
      </c>
      <c r="G589" s="120">
        <v>7</v>
      </c>
      <c r="H589">
        <v>7</v>
      </c>
      <c r="I589" s="120" t="s">
        <v>47</v>
      </c>
      <c r="J589">
        <v>0</v>
      </c>
      <c r="K589">
        <v>1</v>
      </c>
      <c r="L589" s="121">
        <v>2.69</v>
      </c>
      <c r="M589" s="121">
        <v>18.829999999999998</v>
      </c>
      <c r="N589" s="121">
        <v>18.829999999999998</v>
      </c>
    </row>
    <row r="590" spans="1:14" hidden="1" x14ac:dyDescent="0.25">
      <c r="A590" s="120" t="s">
        <v>3591</v>
      </c>
      <c r="B590" s="120" t="s">
        <v>3693</v>
      </c>
      <c r="C590" s="120" t="s">
        <v>301</v>
      </c>
      <c r="D590" s="120" t="s">
        <v>3628</v>
      </c>
      <c r="E590" s="120" t="s">
        <v>422</v>
      </c>
      <c r="F590" s="120" t="s">
        <v>10</v>
      </c>
      <c r="G590" s="120">
        <v>2</v>
      </c>
      <c r="H590">
        <v>0</v>
      </c>
      <c r="I590" s="120" t="s">
        <v>11</v>
      </c>
      <c r="J590">
        <v>2</v>
      </c>
      <c r="K590">
        <v>0</v>
      </c>
      <c r="L590">
        <v>0</v>
      </c>
      <c r="M590">
        <v>0</v>
      </c>
      <c r="N590">
        <v>0</v>
      </c>
    </row>
    <row r="591" spans="1:14" hidden="1" x14ac:dyDescent="0.25">
      <c r="A591" s="120" t="s">
        <v>3591</v>
      </c>
      <c r="B591" s="120" t="s">
        <v>3709</v>
      </c>
      <c r="C591" s="120" t="s">
        <v>301</v>
      </c>
      <c r="D591" s="120" t="s">
        <v>3628</v>
      </c>
      <c r="E591" s="120" t="s">
        <v>422</v>
      </c>
      <c r="F591" s="120" t="s">
        <v>10</v>
      </c>
      <c r="G591" s="120">
        <v>3</v>
      </c>
      <c r="H591">
        <v>0</v>
      </c>
      <c r="I591" s="120" t="s">
        <v>11</v>
      </c>
      <c r="J591">
        <v>3</v>
      </c>
      <c r="K591">
        <v>0</v>
      </c>
      <c r="L591">
        <v>0</v>
      </c>
      <c r="M591">
        <v>0</v>
      </c>
      <c r="N591">
        <v>0</v>
      </c>
    </row>
    <row r="592" spans="1:14" hidden="1" x14ac:dyDescent="0.25">
      <c r="A592" s="120" t="s">
        <v>3591</v>
      </c>
      <c r="B592" s="120" t="s">
        <v>3701</v>
      </c>
      <c r="C592" s="120" t="s">
        <v>301</v>
      </c>
      <c r="D592" s="120" t="s">
        <v>3628</v>
      </c>
      <c r="E592" s="120" t="s">
        <v>422</v>
      </c>
      <c r="F592" s="120" t="s">
        <v>10</v>
      </c>
      <c r="G592" s="120">
        <v>10</v>
      </c>
      <c r="H592">
        <v>0</v>
      </c>
      <c r="I592" s="120" t="s">
        <v>11</v>
      </c>
      <c r="J592">
        <v>10</v>
      </c>
      <c r="K592">
        <v>0</v>
      </c>
      <c r="L592">
        <v>0</v>
      </c>
      <c r="M592">
        <v>0</v>
      </c>
      <c r="N592">
        <v>0</v>
      </c>
    </row>
    <row r="593" spans="1:14" hidden="1" x14ac:dyDescent="0.25">
      <c r="A593" s="120" t="s">
        <v>3463</v>
      </c>
      <c r="B593" s="120" t="s">
        <v>3871</v>
      </c>
      <c r="C593" s="120" t="s">
        <v>301</v>
      </c>
      <c r="D593" s="120" t="s">
        <v>640</v>
      </c>
      <c r="E593" s="120" t="s">
        <v>641</v>
      </c>
      <c r="F593" s="120"/>
      <c r="G593" s="120">
        <v>1</v>
      </c>
      <c r="H593">
        <v>1</v>
      </c>
      <c r="I593" s="120" t="s">
        <v>57</v>
      </c>
      <c r="J593">
        <v>0</v>
      </c>
      <c r="K593">
        <v>1</v>
      </c>
      <c r="L593" s="121">
        <v>11</v>
      </c>
      <c r="M593" s="121">
        <v>11</v>
      </c>
      <c r="N593" s="121">
        <v>11</v>
      </c>
    </row>
    <row r="594" spans="1:14" hidden="1" x14ac:dyDescent="0.25">
      <c r="A594" s="120" t="s">
        <v>3463</v>
      </c>
      <c r="B594" s="120" t="s">
        <v>3871</v>
      </c>
      <c r="C594" s="120" t="s">
        <v>301</v>
      </c>
      <c r="D594" s="120" t="s">
        <v>692</v>
      </c>
      <c r="E594" s="120" t="s">
        <v>61</v>
      </c>
      <c r="F594" s="120" t="s">
        <v>10</v>
      </c>
      <c r="G594" s="120">
        <v>2</v>
      </c>
      <c r="H594">
        <v>2</v>
      </c>
      <c r="I594" s="120" t="s">
        <v>57</v>
      </c>
      <c r="J594">
        <v>0</v>
      </c>
      <c r="K594">
        <v>1</v>
      </c>
      <c r="L594" s="121">
        <v>15</v>
      </c>
      <c r="M594" s="121">
        <v>30</v>
      </c>
      <c r="N594" s="121">
        <v>30</v>
      </c>
    </row>
    <row r="595" spans="1:14" hidden="1" x14ac:dyDescent="0.25">
      <c r="A595" s="120" t="s">
        <v>3463</v>
      </c>
      <c r="B595" s="120" t="s">
        <v>3871</v>
      </c>
      <c r="C595" s="120" t="s">
        <v>301</v>
      </c>
      <c r="D595" s="120" t="s">
        <v>697</v>
      </c>
      <c r="E595" s="120" t="s">
        <v>27</v>
      </c>
      <c r="F595" s="120" t="s">
        <v>10</v>
      </c>
      <c r="G595" s="120">
        <v>3</v>
      </c>
      <c r="H595">
        <v>3</v>
      </c>
      <c r="I595" s="120" t="s">
        <v>11</v>
      </c>
      <c r="J595">
        <v>0</v>
      </c>
      <c r="K595">
        <v>1</v>
      </c>
      <c r="L595" s="121">
        <v>15</v>
      </c>
      <c r="M595" s="121">
        <v>45</v>
      </c>
      <c r="N595" s="121">
        <v>45</v>
      </c>
    </row>
    <row r="596" spans="1:14" hidden="1" x14ac:dyDescent="0.25">
      <c r="A596" s="120" t="s">
        <v>3463</v>
      </c>
      <c r="B596" s="120" t="s">
        <v>3871</v>
      </c>
      <c r="C596" s="120" t="s">
        <v>301</v>
      </c>
      <c r="D596" s="120" t="s">
        <v>718</v>
      </c>
      <c r="E596" s="120" t="s">
        <v>719</v>
      </c>
      <c r="F596" s="120" t="s">
        <v>14</v>
      </c>
      <c r="G596" s="120">
        <v>5</v>
      </c>
      <c r="H596">
        <v>5</v>
      </c>
      <c r="I596" s="120" t="s">
        <v>47</v>
      </c>
      <c r="J596">
        <v>0</v>
      </c>
      <c r="K596">
        <v>1</v>
      </c>
      <c r="L596" s="121">
        <v>9</v>
      </c>
      <c r="M596" s="121">
        <v>45</v>
      </c>
      <c r="N596" s="121">
        <v>45</v>
      </c>
    </row>
    <row r="597" spans="1:14" hidden="1" x14ac:dyDescent="0.25">
      <c r="A597" s="120" t="s">
        <v>3591</v>
      </c>
      <c r="B597" s="120" t="s">
        <v>3693</v>
      </c>
      <c r="C597" s="120" t="s">
        <v>301</v>
      </c>
      <c r="D597" s="120" t="s">
        <v>3632</v>
      </c>
      <c r="E597" s="120" t="s">
        <v>434</v>
      </c>
      <c r="F597" s="120" t="s">
        <v>10</v>
      </c>
      <c r="G597" s="120">
        <v>1</v>
      </c>
      <c r="H597">
        <v>0</v>
      </c>
      <c r="I597" s="120" t="s">
        <v>11</v>
      </c>
      <c r="J597">
        <v>1</v>
      </c>
      <c r="K597">
        <v>0</v>
      </c>
      <c r="L597">
        <v>0</v>
      </c>
      <c r="M597">
        <v>0</v>
      </c>
      <c r="N597">
        <v>0</v>
      </c>
    </row>
    <row r="598" spans="1:14" hidden="1" x14ac:dyDescent="0.25">
      <c r="A598" s="120" t="s">
        <v>3591</v>
      </c>
      <c r="B598" s="120" t="s">
        <v>3709</v>
      </c>
      <c r="C598" s="120" t="s">
        <v>301</v>
      </c>
      <c r="D598" s="120" t="s">
        <v>3632</v>
      </c>
      <c r="E598" s="120" t="s">
        <v>434</v>
      </c>
      <c r="F598" s="120" t="s">
        <v>10</v>
      </c>
      <c r="G598" s="120">
        <v>6</v>
      </c>
      <c r="H598">
        <v>0</v>
      </c>
      <c r="I598" s="120" t="s">
        <v>11</v>
      </c>
      <c r="J598">
        <v>6</v>
      </c>
      <c r="K598">
        <v>0</v>
      </c>
      <c r="L598">
        <v>0</v>
      </c>
      <c r="M598">
        <v>0</v>
      </c>
      <c r="N598">
        <v>0</v>
      </c>
    </row>
    <row r="599" spans="1:14" hidden="1" x14ac:dyDescent="0.25">
      <c r="A599" s="120" t="s">
        <v>3591</v>
      </c>
      <c r="B599" s="120" t="s">
        <v>3701</v>
      </c>
      <c r="C599" s="120" t="s">
        <v>301</v>
      </c>
      <c r="D599" s="120" t="s">
        <v>3632</v>
      </c>
      <c r="E599" s="120" t="s">
        <v>434</v>
      </c>
      <c r="F599" s="120" t="s">
        <v>10</v>
      </c>
      <c r="G599" s="120">
        <v>1</v>
      </c>
      <c r="H599">
        <v>0</v>
      </c>
      <c r="I599" s="120" t="s">
        <v>11</v>
      </c>
      <c r="J599">
        <v>1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 s="120" t="s">
        <v>3758</v>
      </c>
      <c r="B600" s="120" t="s">
        <v>3759</v>
      </c>
      <c r="C600" s="120" t="s">
        <v>301</v>
      </c>
      <c r="D600" s="120" t="s">
        <v>3632</v>
      </c>
      <c r="E600" s="120" t="s">
        <v>434</v>
      </c>
      <c r="F600" s="120" t="s">
        <v>10</v>
      </c>
      <c r="G600" s="120">
        <v>63</v>
      </c>
      <c r="H600">
        <v>0</v>
      </c>
      <c r="I600" s="120" t="s">
        <v>11</v>
      </c>
      <c r="J600">
        <v>63</v>
      </c>
      <c r="K600">
        <v>0</v>
      </c>
      <c r="L600">
        <v>0</v>
      </c>
      <c r="M600">
        <v>0</v>
      </c>
      <c r="N600">
        <v>0</v>
      </c>
    </row>
    <row r="601" spans="1:14" hidden="1" x14ac:dyDescent="0.25">
      <c r="A601" s="120" t="s">
        <v>3463</v>
      </c>
      <c r="B601" s="120" t="s">
        <v>3871</v>
      </c>
      <c r="C601" s="120" t="s">
        <v>301</v>
      </c>
      <c r="D601" s="120" t="s">
        <v>721</v>
      </c>
      <c r="E601" s="120" t="s">
        <v>31</v>
      </c>
      <c r="F601" s="120" t="s">
        <v>18</v>
      </c>
      <c r="G601" s="120">
        <v>7</v>
      </c>
      <c r="H601">
        <v>7</v>
      </c>
      <c r="I601" s="120" t="s">
        <v>11</v>
      </c>
      <c r="J601">
        <v>0</v>
      </c>
      <c r="K601">
        <v>1</v>
      </c>
      <c r="L601" s="121">
        <v>60</v>
      </c>
      <c r="M601" s="121">
        <v>420</v>
      </c>
      <c r="N601" s="121">
        <v>420</v>
      </c>
    </row>
    <row r="602" spans="1:14" hidden="1" x14ac:dyDescent="0.25">
      <c r="A602" s="120" t="s">
        <v>3463</v>
      </c>
      <c r="B602" s="120" t="s">
        <v>3871</v>
      </c>
      <c r="C602" s="120" t="s">
        <v>301</v>
      </c>
      <c r="D602" s="120" t="s">
        <v>1116</v>
      </c>
      <c r="E602" s="120" t="s">
        <v>152</v>
      </c>
      <c r="F602" s="120" t="s">
        <v>14</v>
      </c>
      <c r="G602" s="120">
        <v>1</v>
      </c>
      <c r="H602">
        <v>1</v>
      </c>
      <c r="I602" s="120" t="s">
        <v>47</v>
      </c>
      <c r="J602">
        <v>0</v>
      </c>
      <c r="K602">
        <v>1</v>
      </c>
      <c r="L602" s="121">
        <v>227.3</v>
      </c>
      <c r="M602" s="121">
        <v>227.3</v>
      </c>
      <c r="N602" s="121">
        <v>227.3</v>
      </c>
    </row>
    <row r="603" spans="1:14" hidden="1" x14ac:dyDescent="0.25">
      <c r="A603" s="120" t="s">
        <v>3591</v>
      </c>
      <c r="B603" s="120" t="s">
        <v>3693</v>
      </c>
      <c r="C603" s="120" t="s">
        <v>301</v>
      </c>
      <c r="D603" s="120" t="s">
        <v>3633</v>
      </c>
      <c r="E603" s="120" t="s">
        <v>435</v>
      </c>
      <c r="F603" s="120" t="s">
        <v>10</v>
      </c>
      <c r="G603" s="120">
        <v>4</v>
      </c>
      <c r="H603">
        <v>0</v>
      </c>
      <c r="I603" s="120" t="s">
        <v>11</v>
      </c>
      <c r="J603">
        <v>4</v>
      </c>
      <c r="K603">
        <v>0</v>
      </c>
      <c r="L603">
        <v>0</v>
      </c>
      <c r="M603">
        <v>0</v>
      </c>
      <c r="N603">
        <v>0</v>
      </c>
    </row>
    <row r="604" spans="1:14" hidden="1" x14ac:dyDescent="0.25">
      <c r="A604" s="120" t="s">
        <v>3591</v>
      </c>
      <c r="B604" s="120" t="s">
        <v>3709</v>
      </c>
      <c r="C604" s="120" t="s">
        <v>301</v>
      </c>
      <c r="D604" s="120" t="s">
        <v>3633</v>
      </c>
      <c r="E604" s="120" t="s">
        <v>435</v>
      </c>
      <c r="F604" s="120" t="s">
        <v>10</v>
      </c>
      <c r="G604" s="120">
        <v>4</v>
      </c>
      <c r="H604">
        <v>0</v>
      </c>
      <c r="I604" s="120" t="s">
        <v>11</v>
      </c>
      <c r="J604">
        <v>4</v>
      </c>
      <c r="K604">
        <v>0</v>
      </c>
      <c r="L604">
        <v>0</v>
      </c>
      <c r="M604">
        <v>0</v>
      </c>
      <c r="N604">
        <v>0</v>
      </c>
    </row>
    <row r="605" spans="1:14" hidden="1" x14ac:dyDescent="0.25">
      <c r="A605" s="120" t="s">
        <v>3591</v>
      </c>
      <c r="B605" s="120" t="s">
        <v>3701</v>
      </c>
      <c r="C605" s="120" t="s">
        <v>301</v>
      </c>
      <c r="D605" s="120" t="s">
        <v>3633</v>
      </c>
      <c r="E605" s="120" t="s">
        <v>435</v>
      </c>
      <c r="F605" s="120" t="s">
        <v>10</v>
      </c>
      <c r="G605" s="120">
        <v>4</v>
      </c>
      <c r="H605">
        <v>0</v>
      </c>
      <c r="I605" s="120" t="s">
        <v>11</v>
      </c>
      <c r="J605">
        <v>4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 s="120" t="s">
        <v>3758</v>
      </c>
      <c r="B606" s="120" t="s">
        <v>3759</v>
      </c>
      <c r="C606" s="120" t="s">
        <v>301</v>
      </c>
      <c r="D606" s="120" t="s">
        <v>3633</v>
      </c>
      <c r="E606" s="120" t="s">
        <v>435</v>
      </c>
      <c r="F606" s="120" t="s">
        <v>10</v>
      </c>
      <c r="G606" s="120">
        <v>75</v>
      </c>
      <c r="H606">
        <v>0</v>
      </c>
      <c r="I606" s="120" t="s">
        <v>11</v>
      </c>
      <c r="J606">
        <v>75</v>
      </c>
      <c r="K606">
        <v>0</v>
      </c>
      <c r="L606">
        <v>0</v>
      </c>
      <c r="M606">
        <v>0</v>
      </c>
      <c r="N606">
        <v>0</v>
      </c>
    </row>
    <row r="607" spans="1:14" hidden="1" x14ac:dyDescent="0.25">
      <c r="A607" s="120" t="s">
        <v>3463</v>
      </c>
      <c r="B607" s="120" t="s">
        <v>3871</v>
      </c>
      <c r="C607" s="120" t="s">
        <v>301</v>
      </c>
      <c r="D607" s="120" t="s">
        <v>1128</v>
      </c>
      <c r="E607" s="120" t="s">
        <v>40</v>
      </c>
      <c r="F607" s="120" t="s">
        <v>18</v>
      </c>
      <c r="G607" s="120">
        <v>1</v>
      </c>
      <c r="H607">
        <v>1</v>
      </c>
      <c r="I607" s="120" t="s">
        <v>11</v>
      </c>
      <c r="J607">
        <v>0</v>
      </c>
      <c r="K607">
        <v>1</v>
      </c>
      <c r="L607" s="121">
        <v>69</v>
      </c>
      <c r="M607" s="121">
        <v>69</v>
      </c>
      <c r="N607" s="121">
        <v>69</v>
      </c>
    </row>
    <row r="608" spans="1:14" hidden="1" x14ac:dyDescent="0.25">
      <c r="A608" s="120" t="s">
        <v>3463</v>
      </c>
      <c r="B608" s="120" t="s">
        <v>3871</v>
      </c>
      <c r="C608" s="120" t="s">
        <v>301</v>
      </c>
      <c r="D608" s="120" t="s">
        <v>3873</v>
      </c>
      <c r="E608" s="120" t="s">
        <v>2490</v>
      </c>
      <c r="F608" s="120"/>
      <c r="G608" s="120">
        <v>0</v>
      </c>
      <c r="H608">
        <v>0</v>
      </c>
      <c r="I608" s="120" t="s">
        <v>57</v>
      </c>
      <c r="J608">
        <v>0</v>
      </c>
      <c r="K608">
        <v>1</v>
      </c>
      <c r="L608" s="121">
        <v>0</v>
      </c>
      <c r="M608" s="121">
        <v>0</v>
      </c>
      <c r="N608" s="121">
        <v>0</v>
      </c>
    </row>
    <row r="609" spans="1:14" hidden="1" x14ac:dyDescent="0.25">
      <c r="A609" s="120" t="s">
        <v>3591</v>
      </c>
      <c r="B609" s="120" t="s">
        <v>3693</v>
      </c>
      <c r="C609" s="120" t="s">
        <v>301</v>
      </c>
      <c r="D609" s="120" t="s">
        <v>3634</v>
      </c>
      <c r="E609" s="120" t="s">
        <v>436</v>
      </c>
      <c r="F609" s="120" t="s">
        <v>10</v>
      </c>
      <c r="G609" s="120">
        <v>4</v>
      </c>
      <c r="H609">
        <v>0</v>
      </c>
      <c r="I609" s="120" t="s">
        <v>11</v>
      </c>
      <c r="J609">
        <v>4</v>
      </c>
      <c r="K609">
        <v>0</v>
      </c>
      <c r="L609">
        <v>0</v>
      </c>
      <c r="M609">
        <v>0</v>
      </c>
      <c r="N609">
        <v>0</v>
      </c>
    </row>
    <row r="610" spans="1:14" hidden="1" x14ac:dyDescent="0.25">
      <c r="A610" s="120" t="s">
        <v>3591</v>
      </c>
      <c r="B610" s="120" t="s">
        <v>3709</v>
      </c>
      <c r="C610" s="120" t="s">
        <v>301</v>
      </c>
      <c r="D610" s="120" t="s">
        <v>3634</v>
      </c>
      <c r="E610" s="120" t="s">
        <v>436</v>
      </c>
      <c r="F610" s="120" t="s">
        <v>10</v>
      </c>
      <c r="G610" s="120">
        <v>4</v>
      </c>
      <c r="H610">
        <v>0</v>
      </c>
      <c r="I610" s="120" t="s">
        <v>11</v>
      </c>
      <c r="J610">
        <v>4</v>
      </c>
      <c r="K610">
        <v>0</v>
      </c>
      <c r="L610">
        <v>0</v>
      </c>
      <c r="M610">
        <v>0</v>
      </c>
      <c r="N610">
        <v>0</v>
      </c>
    </row>
    <row r="611" spans="1:14" hidden="1" x14ac:dyDescent="0.25">
      <c r="A611" s="120" t="s">
        <v>3591</v>
      </c>
      <c r="B611" s="120" t="s">
        <v>3701</v>
      </c>
      <c r="C611" s="120" t="s">
        <v>301</v>
      </c>
      <c r="D611" s="120" t="s">
        <v>3634</v>
      </c>
      <c r="E611" s="120" t="s">
        <v>436</v>
      </c>
      <c r="F611" s="120" t="s">
        <v>10</v>
      </c>
      <c r="G611" s="120">
        <v>5</v>
      </c>
      <c r="H611">
        <v>0</v>
      </c>
      <c r="I611" s="120" t="s">
        <v>11</v>
      </c>
      <c r="J611">
        <v>5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 s="120" t="s">
        <v>3758</v>
      </c>
      <c r="B612" s="120" t="s">
        <v>3759</v>
      </c>
      <c r="C612" s="120" t="s">
        <v>301</v>
      </c>
      <c r="D612" s="120" t="s">
        <v>3634</v>
      </c>
      <c r="E612" s="120" t="s">
        <v>436</v>
      </c>
      <c r="F612" s="120" t="s">
        <v>10</v>
      </c>
      <c r="G612" s="120">
        <v>81</v>
      </c>
      <c r="H612">
        <v>0</v>
      </c>
      <c r="I612" s="120" t="s">
        <v>11</v>
      </c>
      <c r="J612">
        <v>81</v>
      </c>
      <c r="K612">
        <v>0</v>
      </c>
      <c r="L612">
        <v>0</v>
      </c>
      <c r="M612">
        <v>0</v>
      </c>
      <c r="N612">
        <v>0</v>
      </c>
    </row>
    <row r="613" spans="1:14" hidden="1" x14ac:dyDescent="0.25">
      <c r="A613" s="120" t="s">
        <v>3463</v>
      </c>
      <c r="B613" s="120" t="s">
        <v>3871</v>
      </c>
      <c r="C613" s="120" t="s">
        <v>301</v>
      </c>
      <c r="D613" s="120" t="s">
        <v>1770</v>
      </c>
      <c r="E613" s="120" t="s">
        <v>1771</v>
      </c>
      <c r="F613" s="120"/>
      <c r="G613" s="120">
        <v>3</v>
      </c>
      <c r="H613">
        <v>3</v>
      </c>
      <c r="I613" s="120" t="s">
        <v>57</v>
      </c>
      <c r="J613">
        <v>0</v>
      </c>
      <c r="K613">
        <v>1</v>
      </c>
      <c r="L613" s="121">
        <v>11.12</v>
      </c>
      <c r="M613" s="121">
        <v>33.36</v>
      </c>
      <c r="N613" s="121">
        <v>33.36</v>
      </c>
    </row>
    <row r="614" spans="1:14" hidden="1" x14ac:dyDescent="0.25">
      <c r="A614" s="120" t="s">
        <v>3591</v>
      </c>
      <c r="B614" s="120" t="s">
        <v>3592</v>
      </c>
      <c r="C614" s="120" t="s">
        <v>301</v>
      </c>
      <c r="D614" s="120" t="s">
        <v>3636</v>
      </c>
      <c r="E614" s="120" t="s">
        <v>438</v>
      </c>
      <c r="F614" s="120" t="s">
        <v>18</v>
      </c>
      <c r="G614" s="120">
        <v>30</v>
      </c>
      <c r="H614">
        <v>0</v>
      </c>
      <c r="I614" s="120" t="s">
        <v>57</v>
      </c>
      <c r="J614">
        <v>30</v>
      </c>
      <c r="K614">
        <v>0</v>
      </c>
      <c r="L614" s="121">
        <v>0</v>
      </c>
      <c r="M614" s="121">
        <v>0</v>
      </c>
      <c r="N614" s="121">
        <v>0</v>
      </c>
    </row>
    <row r="615" spans="1:14" hidden="1" x14ac:dyDescent="0.25">
      <c r="A615" s="120" t="s">
        <v>3591</v>
      </c>
      <c r="B615" s="120" t="s">
        <v>3592</v>
      </c>
      <c r="C615" s="120" t="s">
        <v>301</v>
      </c>
      <c r="D615" s="120" t="s">
        <v>3637</v>
      </c>
      <c r="E615" s="120" t="s">
        <v>441</v>
      </c>
      <c r="F615" s="120" t="s">
        <v>10</v>
      </c>
      <c r="G615" s="120">
        <v>5</v>
      </c>
      <c r="H615">
        <v>0</v>
      </c>
      <c r="I615" s="120" t="s">
        <v>57</v>
      </c>
      <c r="J615">
        <v>5</v>
      </c>
      <c r="K615">
        <v>0</v>
      </c>
      <c r="L615" s="121">
        <v>0</v>
      </c>
      <c r="M615" s="121">
        <v>0</v>
      </c>
      <c r="N615" s="121">
        <v>0</v>
      </c>
    </row>
    <row r="616" spans="1:14" hidden="1" x14ac:dyDescent="0.25">
      <c r="A616" s="120" t="s">
        <v>3591</v>
      </c>
      <c r="B616" s="120" t="s">
        <v>3592</v>
      </c>
      <c r="C616" s="120" t="s">
        <v>301</v>
      </c>
      <c r="D616" s="120" t="s">
        <v>3638</v>
      </c>
      <c r="E616" s="120" t="s">
        <v>442</v>
      </c>
      <c r="F616" s="120" t="s">
        <v>18</v>
      </c>
      <c r="G616" s="120">
        <v>11</v>
      </c>
      <c r="H616">
        <v>0</v>
      </c>
      <c r="I616" s="120" t="s">
        <v>47</v>
      </c>
      <c r="J616">
        <v>11</v>
      </c>
      <c r="K616">
        <v>0</v>
      </c>
      <c r="L616" s="121">
        <v>0</v>
      </c>
      <c r="M616" s="121">
        <v>0</v>
      </c>
      <c r="N616" s="121">
        <v>0</v>
      </c>
    </row>
    <row r="617" spans="1:14" hidden="1" x14ac:dyDescent="0.25">
      <c r="A617" s="120" t="s">
        <v>3591</v>
      </c>
      <c r="B617" s="120" t="s">
        <v>3693</v>
      </c>
      <c r="C617" s="120" t="s">
        <v>301</v>
      </c>
      <c r="D617" s="120" t="s">
        <v>3638</v>
      </c>
      <c r="E617" s="120" t="s">
        <v>442</v>
      </c>
      <c r="F617" s="120" t="s">
        <v>14</v>
      </c>
      <c r="G617" s="120">
        <v>1</v>
      </c>
      <c r="H617">
        <v>0</v>
      </c>
      <c r="I617" s="120" t="s">
        <v>47</v>
      </c>
      <c r="J617">
        <v>1</v>
      </c>
      <c r="K617">
        <v>0</v>
      </c>
      <c r="L617">
        <v>0</v>
      </c>
      <c r="M617">
        <v>0</v>
      </c>
      <c r="N617">
        <v>0</v>
      </c>
    </row>
    <row r="618" spans="1:14" hidden="1" x14ac:dyDescent="0.25">
      <c r="A618" s="120" t="s">
        <v>3591</v>
      </c>
      <c r="B618" s="120" t="s">
        <v>3701</v>
      </c>
      <c r="C618" s="120" t="s">
        <v>301</v>
      </c>
      <c r="D618" s="120" t="s">
        <v>3638</v>
      </c>
      <c r="E618" s="120" t="s">
        <v>442</v>
      </c>
      <c r="F618" s="120" t="s">
        <v>14</v>
      </c>
      <c r="G618" s="120">
        <v>1</v>
      </c>
      <c r="H618">
        <v>0</v>
      </c>
      <c r="I618" s="120" t="s">
        <v>47</v>
      </c>
      <c r="J618">
        <v>1</v>
      </c>
      <c r="K618">
        <v>0</v>
      </c>
      <c r="L618">
        <v>0</v>
      </c>
      <c r="M618">
        <v>0</v>
      </c>
      <c r="N618">
        <v>0</v>
      </c>
    </row>
    <row r="619" spans="1:14" hidden="1" x14ac:dyDescent="0.25">
      <c r="A619" s="120" t="s">
        <v>3591</v>
      </c>
      <c r="B619" s="120" t="s">
        <v>3592</v>
      </c>
      <c r="C619" s="120" t="s">
        <v>301</v>
      </c>
      <c r="D619" s="120" t="s">
        <v>3641</v>
      </c>
      <c r="E619" s="120" t="s">
        <v>446</v>
      </c>
      <c r="F619" s="120" t="s">
        <v>10</v>
      </c>
      <c r="G619" s="120">
        <v>5</v>
      </c>
      <c r="H619">
        <v>0</v>
      </c>
      <c r="I619" s="120" t="s">
        <v>57</v>
      </c>
      <c r="J619">
        <v>5</v>
      </c>
      <c r="K619">
        <v>0</v>
      </c>
      <c r="L619" s="121">
        <v>0</v>
      </c>
      <c r="M619" s="121">
        <v>0</v>
      </c>
      <c r="N619" s="121">
        <v>0</v>
      </c>
    </row>
    <row r="620" spans="1:14" hidden="1" x14ac:dyDescent="0.25">
      <c r="A620" s="120" t="s">
        <v>3463</v>
      </c>
      <c r="B620" s="120" t="s">
        <v>3588</v>
      </c>
      <c r="C620" s="120" t="s">
        <v>301</v>
      </c>
      <c r="D620" s="120" t="s">
        <v>697</v>
      </c>
      <c r="E620" s="120" t="s">
        <v>325</v>
      </c>
      <c r="F620" s="120" t="s">
        <v>18</v>
      </c>
      <c r="G620" s="120">
        <v>26</v>
      </c>
      <c r="H620">
        <v>26</v>
      </c>
      <c r="I620" s="120" t="s">
        <v>47</v>
      </c>
      <c r="J620">
        <v>0</v>
      </c>
      <c r="K620">
        <v>1</v>
      </c>
      <c r="L620" s="121">
        <v>15</v>
      </c>
      <c r="M620" s="121">
        <v>390</v>
      </c>
      <c r="N620" s="121">
        <v>390</v>
      </c>
    </row>
    <row r="621" spans="1:14" hidden="1" x14ac:dyDescent="0.25">
      <c r="A621" s="120" t="s">
        <v>3591</v>
      </c>
      <c r="B621" s="120" t="s">
        <v>3701</v>
      </c>
      <c r="C621" s="120" t="s">
        <v>301</v>
      </c>
      <c r="D621" s="120" t="s">
        <v>3642</v>
      </c>
      <c r="E621" s="120" t="s">
        <v>447</v>
      </c>
      <c r="F621" s="120" t="s">
        <v>14</v>
      </c>
      <c r="G621" s="120">
        <v>1</v>
      </c>
      <c r="H621">
        <v>0</v>
      </c>
      <c r="I621" s="120" t="s">
        <v>57</v>
      </c>
      <c r="J621">
        <v>1</v>
      </c>
      <c r="K621">
        <v>0</v>
      </c>
      <c r="L621">
        <v>0</v>
      </c>
      <c r="M621">
        <v>0</v>
      </c>
      <c r="N621">
        <v>0</v>
      </c>
    </row>
    <row r="622" spans="1:14" hidden="1" x14ac:dyDescent="0.25">
      <c r="A622" s="120" t="s">
        <v>3463</v>
      </c>
      <c r="B622" s="120" t="s">
        <v>3588</v>
      </c>
      <c r="C622" s="120" t="s">
        <v>301</v>
      </c>
      <c r="D622" s="120" t="s">
        <v>689</v>
      </c>
      <c r="E622" s="120" t="s">
        <v>352</v>
      </c>
      <c r="F622" s="120" t="s">
        <v>18</v>
      </c>
      <c r="G622" s="120">
        <v>2</v>
      </c>
      <c r="H622">
        <v>2</v>
      </c>
      <c r="I622" s="120" t="s">
        <v>47</v>
      </c>
      <c r="J622">
        <v>0</v>
      </c>
      <c r="K622">
        <v>1</v>
      </c>
      <c r="L622" s="121">
        <v>17.399999999999999</v>
      </c>
      <c r="M622" s="121">
        <v>34.799999999999997</v>
      </c>
      <c r="N622" s="121">
        <v>34.799999999999997</v>
      </c>
    </row>
    <row r="623" spans="1:14" hidden="1" x14ac:dyDescent="0.25">
      <c r="A623" s="120" t="s">
        <v>3591</v>
      </c>
      <c r="B623" s="120" t="s">
        <v>3592</v>
      </c>
      <c r="C623" s="120" t="s">
        <v>301</v>
      </c>
      <c r="D623" s="120" t="s">
        <v>1777</v>
      </c>
      <c r="E623" s="120" t="s">
        <v>497</v>
      </c>
      <c r="F623" s="120" t="s">
        <v>18</v>
      </c>
      <c r="G623" s="120">
        <v>0</v>
      </c>
      <c r="H623">
        <v>16</v>
      </c>
      <c r="I623" s="120" t="s">
        <v>47</v>
      </c>
      <c r="J623">
        <v>-16</v>
      </c>
      <c r="K623">
        <v>0</v>
      </c>
      <c r="L623">
        <v>200</v>
      </c>
      <c r="M623">
        <v>0</v>
      </c>
      <c r="N623">
        <v>3200</v>
      </c>
    </row>
    <row r="624" spans="1:14" hidden="1" x14ac:dyDescent="0.25">
      <c r="A624" s="120" t="s">
        <v>3463</v>
      </c>
      <c r="B624" s="120" t="s">
        <v>3588</v>
      </c>
      <c r="C624" s="120" t="s">
        <v>301</v>
      </c>
      <c r="D624" s="120" t="s">
        <v>1776</v>
      </c>
      <c r="E624" s="120" t="s">
        <v>67</v>
      </c>
      <c r="F624" s="120" t="s">
        <v>18</v>
      </c>
      <c r="G624" s="120">
        <v>2</v>
      </c>
      <c r="H624">
        <v>2</v>
      </c>
      <c r="I624" s="120" t="s">
        <v>47</v>
      </c>
      <c r="J624">
        <v>0</v>
      </c>
      <c r="K624">
        <v>1</v>
      </c>
      <c r="L624" s="121">
        <v>26.9</v>
      </c>
      <c r="M624" s="121">
        <v>53.8</v>
      </c>
      <c r="N624" s="121">
        <v>53.8</v>
      </c>
    </row>
    <row r="625" spans="1:14" hidden="1" x14ac:dyDescent="0.25">
      <c r="A625" s="120" t="s">
        <v>3463</v>
      </c>
      <c r="B625" s="120" t="s">
        <v>3588</v>
      </c>
      <c r="C625" s="120" t="s">
        <v>301</v>
      </c>
      <c r="D625" s="120" t="s">
        <v>695</v>
      </c>
      <c r="E625" s="120" t="s">
        <v>351</v>
      </c>
      <c r="F625" s="120" t="s">
        <v>18</v>
      </c>
      <c r="G625" s="120">
        <v>2</v>
      </c>
      <c r="H625">
        <v>2</v>
      </c>
      <c r="I625" s="120" t="s">
        <v>47</v>
      </c>
      <c r="J625">
        <v>0</v>
      </c>
      <c r="K625">
        <v>1</v>
      </c>
      <c r="L625" s="121">
        <v>15.9</v>
      </c>
      <c r="M625" s="121">
        <v>31.8</v>
      </c>
      <c r="N625" s="121">
        <v>31.8</v>
      </c>
    </row>
    <row r="626" spans="1:14" hidden="1" x14ac:dyDescent="0.25">
      <c r="A626" s="120" t="s">
        <v>3591</v>
      </c>
      <c r="B626" s="120" t="s">
        <v>3592</v>
      </c>
      <c r="C626" s="120" t="s">
        <v>301</v>
      </c>
      <c r="D626" s="120" t="s">
        <v>3646</v>
      </c>
      <c r="E626" s="120" t="s">
        <v>453</v>
      </c>
      <c r="F626" s="120" t="s">
        <v>18</v>
      </c>
      <c r="G626" s="120">
        <v>2</v>
      </c>
      <c r="H626">
        <v>0</v>
      </c>
      <c r="I626" s="120" t="s">
        <v>47</v>
      </c>
      <c r="J626">
        <v>2</v>
      </c>
      <c r="K626">
        <v>0</v>
      </c>
      <c r="L626" s="121">
        <v>0</v>
      </c>
      <c r="M626" s="121">
        <v>0</v>
      </c>
      <c r="N626" s="121">
        <v>0</v>
      </c>
    </row>
    <row r="627" spans="1:14" hidden="1" x14ac:dyDescent="0.25">
      <c r="A627" s="120" t="s">
        <v>3463</v>
      </c>
      <c r="B627" s="120" t="s">
        <v>3510</v>
      </c>
      <c r="C627" s="120" t="s">
        <v>301</v>
      </c>
      <c r="D627" s="120" t="s">
        <v>542</v>
      </c>
      <c r="E627" s="120" t="s">
        <v>9</v>
      </c>
      <c r="F627" s="120" t="s">
        <v>10</v>
      </c>
      <c r="G627" s="120">
        <v>9</v>
      </c>
      <c r="H627">
        <v>9</v>
      </c>
      <c r="I627" s="120" t="s">
        <v>11</v>
      </c>
      <c r="J627">
        <v>0</v>
      </c>
      <c r="K627">
        <v>1</v>
      </c>
      <c r="L627" s="121">
        <v>35</v>
      </c>
      <c r="M627" s="121">
        <v>315</v>
      </c>
      <c r="N627" s="121">
        <v>315</v>
      </c>
    </row>
    <row r="628" spans="1:14" hidden="1" x14ac:dyDescent="0.25">
      <c r="A628" s="120" t="s">
        <v>3591</v>
      </c>
      <c r="B628" s="120" t="s">
        <v>3592</v>
      </c>
      <c r="C628" s="120" t="s">
        <v>301</v>
      </c>
      <c r="D628" s="120" t="s">
        <v>3647</v>
      </c>
      <c r="E628" s="120" t="s">
        <v>454</v>
      </c>
      <c r="F628" s="120" t="s">
        <v>18</v>
      </c>
      <c r="G628" s="120">
        <v>4</v>
      </c>
      <c r="H628">
        <v>0</v>
      </c>
      <c r="I628" s="120" t="s">
        <v>57</v>
      </c>
      <c r="J628">
        <v>4</v>
      </c>
      <c r="K628">
        <v>0</v>
      </c>
      <c r="L628" s="121">
        <v>0</v>
      </c>
      <c r="M628" s="121">
        <v>0</v>
      </c>
      <c r="N628" s="121">
        <v>0</v>
      </c>
    </row>
    <row r="629" spans="1:14" hidden="1" x14ac:dyDescent="0.25">
      <c r="A629" s="120" t="s">
        <v>3591</v>
      </c>
      <c r="B629" s="120" t="s">
        <v>3592</v>
      </c>
      <c r="C629" s="120" t="s">
        <v>301</v>
      </c>
      <c r="D629" s="120" t="s">
        <v>3648</v>
      </c>
      <c r="E629" s="120" t="s">
        <v>456</v>
      </c>
      <c r="F629" s="120" t="s">
        <v>18</v>
      </c>
      <c r="G629" s="120">
        <v>25</v>
      </c>
      <c r="H629">
        <v>0</v>
      </c>
      <c r="I629" s="120" t="s">
        <v>11</v>
      </c>
      <c r="J629">
        <v>25</v>
      </c>
      <c r="K629">
        <v>0</v>
      </c>
      <c r="L629" s="121">
        <v>0</v>
      </c>
      <c r="M629" s="121">
        <v>0</v>
      </c>
      <c r="N629" s="121">
        <v>0</v>
      </c>
    </row>
    <row r="630" spans="1:14" hidden="1" x14ac:dyDescent="0.25">
      <c r="A630" s="120" t="s">
        <v>3591</v>
      </c>
      <c r="B630" s="120" t="s">
        <v>3693</v>
      </c>
      <c r="C630" s="120" t="s">
        <v>301</v>
      </c>
      <c r="D630" s="120" t="s">
        <v>3648</v>
      </c>
      <c r="E630" s="120" t="s">
        <v>456</v>
      </c>
      <c r="F630" s="120" t="s">
        <v>14</v>
      </c>
      <c r="G630" s="120">
        <v>3</v>
      </c>
      <c r="H630">
        <v>0</v>
      </c>
      <c r="I630" s="120" t="s">
        <v>47</v>
      </c>
      <c r="J630">
        <v>3</v>
      </c>
      <c r="K630">
        <v>0</v>
      </c>
      <c r="L630">
        <v>0</v>
      </c>
      <c r="M630">
        <v>0</v>
      </c>
      <c r="N630">
        <v>0</v>
      </c>
    </row>
    <row r="631" spans="1:14" hidden="1" x14ac:dyDescent="0.25">
      <c r="A631" s="120" t="s">
        <v>3591</v>
      </c>
      <c r="B631" s="120" t="s">
        <v>3709</v>
      </c>
      <c r="C631" s="120" t="s">
        <v>301</v>
      </c>
      <c r="D631" s="120" t="s">
        <v>3648</v>
      </c>
      <c r="E631" s="120" t="s">
        <v>456</v>
      </c>
      <c r="F631" s="120" t="s">
        <v>14</v>
      </c>
      <c r="G631" s="120">
        <v>5</v>
      </c>
      <c r="H631">
        <v>0</v>
      </c>
      <c r="I631" s="120" t="s">
        <v>11</v>
      </c>
      <c r="J631">
        <v>5</v>
      </c>
      <c r="K631">
        <v>0</v>
      </c>
      <c r="L631">
        <v>0</v>
      </c>
      <c r="M631">
        <v>0</v>
      </c>
      <c r="N631">
        <v>0</v>
      </c>
    </row>
    <row r="632" spans="1:14" hidden="1" x14ac:dyDescent="0.25">
      <c r="A632" s="120" t="s">
        <v>3591</v>
      </c>
      <c r="B632" s="120" t="s">
        <v>3701</v>
      </c>
      <c r="C632" s="120" t="s">
        <v>301</v>
      </c>
      <c r="D632" s="120" t="s">
        <v>3648</v>
      </c>
      <c r="E632" s="120" t="s">
        <v>456</v>
      </c>
      <c r="F632" s="120" t="s">
        <v>14</v>
      </c>
      <c r="G632" s="120">
        <v>10</v>
      </c>
      <c r="H632">
        <v>0</v>
      </c>
      <c r="I632" s="120" t="s">
        <v>11</v>
      </c>
      <c r="J632">
        <v>10</v>
      </c>
      <c r="K632">
        <v>0</v>
      </c>
      <c r="L632">
        <v>0</v>
      </c>
      <c r="M632">
        <v>0</v>
      </c>
      <c r="N632">
        <v>0</v>
      </c>
    </row>
    <row r="633" spans="1:14" hidden="1" x14ac:dyDescent="0.25">
      <c r="A633" s="120" t="s">
        <v>3591</v>
      </c>
      <c r="B633" s="120" t="s">
        <v>3592</v>
      </c>
      <c r="C633" s="120" t="s">
        <v>301</v>
      </c>
      <c r="D633" s="120" t="s">
        <v>3649</v>
      </c>
      <c r="E633" s="120" t="s">
        <v>458</v>
      </c>
      <c r="F633" s="120" t="s">
        <v>18</v>
      </c>
      <c r="G633" s="120">
        <v>5</v>
      </c>
      <c r="H633">
        <v>0</v>
      </c>
      <c r="I633" s="120" t="s">
        <v>11</v>
      </c>
      <c r="J633">
        <v>5</v>
      </c>
      <c r="K633">
        <v>0</v>
      </c>
      <c r="L633" s="121">
        <v>0</v>
      </c>
      <c r="M633" s="121">
        <v>0</v>
      </c>
      <c r="N633" s="121">
        <v>0</v>
      </c>
    </row>
    <row r="634" spans="1:14" hidden="1" x14ac:dyDescent="0.25">
      <c r="A634" s="120" t="s">
        <v>3591</v>
      </c>
      <c r="B634" s="120" t="s">
        <v>3693</v>
      </c>
      <c r="C634" s="120" t="s">
        <v>301</v>
      </c>
      <c r="D634" s="120" t="s">
        <v>3649</v>
      </c>
      <c r="E634" s="120" t="s">
        <v>458</v>
      </c>
      <c r="F634" s="120" t="s">
        <v>14</v>
      </c>
      <c r="G634" s="120">
        <v>2</v>
      </c>
      <c r="H634">
        <v>0</v>
      </c>
      <c r="I634" s="120" t="s">
        <v>11</v>
      </c>
      <c r="J634">
        <v>2</v>
      </c>
      <c r="K634">
        <v>0</v>
      </c>
      <c r="L634">
        <v>0</v>
      </c>
      <c r="M634">
        <v>0</v>
      </c>
      <c r="N634">
        <v>0</v>
      </c>
    </row>
    <row r="635" spans="1:14" hidden="1" x14ac:dyDescent="0.25">
      <c r="A635" s="120" t="s">
        <v>3463</v>
      </c>
      <c r="B635" s="120" t="s">
        <v>3510</v>
      </c>
      <c r="C635" s="120" t="s">
        <v>301</v>
      </c>
      <c r="D635" s="120" t="s">
        <v>544</v>
      </c>
      <c r="E635" s="120" t="s">
        <v>13</v>
      </c>
      <c r="F635" s="120" t="s">
        <v>14</v>
      </c>
      <c r="G635" s="120">
        <v>4</v>
      </c>
      <c r="H635">
        <v>4</v>
      </c>
      <c r="I635" s="120" t="s">
        <v>11</v>
      </c>
      <c r="J635">
        <v>0</v>
      </c>
      <c r="K635">
        <v>1</v>
      </c>
      <c r="L635" s="121">
        <v>30</v>
      </c>
      <c r="M635" s="121">
        <v>120</v>
      </c>
      <c r="N635" s="121">
        <v>120</v>
      </c>
    </row>
    <row r="636" spans="1:14" hidden="1" x14ac:dyDescent="0.25">
      <c r="A636" s="120" t="s">
        <v>3591</v>
      </c>
      <c r="B636" s="120" t="s">
        <v>3701</v>
      </c>
      <c r="C636" s="120" t="s">
        <v>301</v>
      </c>
      <c r="D636" s="120" t="s">
        <v>3649</v>
      </c>
      <c r="E636" s="120" t="s">
        <v>458</v>
      </c>
      <c r="F636" s="120" t="s">
        <v>14</v>
      </c>
      <c r="G636" s="120">
        <v>1</v>
      </c>
      <c r="H636">
        <v>0</v>
      </c>
      <c r="I636" s="120" t="s">
        <v>11</v>
      </c>
      <c r="J636">
        <v>1</v>
      </c>
      <c r="K636">
        <v>0</v>
      </c>
      <c r="L636">
        <v>0</v>
      </c>
      <c r="M636">
        <v>0</v>
      </c>
      <c r="N636">
        <v>0</v>
      </c>
    </row>
    <row r="637" spans="1:14" hidden="1" x14ac:dyDescent="0.25">
      <c r="A637" s="120" t="s">
        <v>3591</v>
      </c>
      <c r="B637" s="120" t="s">
        <v>3592</v>
      </c>
      <c r="C637" s="120" t="s">
        <v>301</v>
      </c>
      <c r="D637" s="120" t="s">
        <v>3650</v>
      </c>
      <c r="E637" s="120" t="s">
        <v>459</v>
      </c>
      <c r="F637" s="120" t="s">
        <v>18</v>
      </c>
      <c r="G637" s="120">
        <v>1</v>
      </c>
      <c r="H637">
        <v>0</v>
      </c>
      <c r="I637" s="120" t="s">
        <v>11</v>
      </c>
      <c r="J637">
        <v>1</v>
      </c>
      <c r="K637">
        <v>0</v>
      </c>
      <c r="L637" s="121">
        <v>0</v>
      </c>
      <c r="M637" s="121">
        <v>0</v>
      </c>
      <c r="N637" s="121">
        <v>0</v>
      </c>
    </row>
    <row r="638" spans="1:14" hidden="1" x14ac:dyDescent="0.25">
      <c r="A638" s="120" t="s">
        <v>3591</v>
      </c>
      <c r="B638" s="120" t="s">
        <v>3701</v>
      </c>
      <c r="C638" s="120" t="s">
        <v>301</v>
      </c>
      <c r="D638" s="120" t="s">
        <v>3650</v>
      </c>
      <c r="E638" s="120" t="s">
        <v>459</v>
      </c>
      <c r="F638" s="120" t="s">
        <v>14</v>
      </c>
      <c r="G638" s="120">
        <v>2</v>
      </c>
      <c r="H638">
        <v>0</v>
      </c>
      <c r="I638" s="120" t="s">
        <v>57</v>
      </c>
      <c r="J638">
        <v>2</v>
      </c>
      <c r="K638">
        <v>0</v>
      </c>
      <c r="L638">
        <v>0</v>
      </c>
      <c r="M638">
        <v>0</v>
      </c>
      <c r="N638">
        <v>0</v>
      </c>
    </row>
    <row r="639" spans="1:14" hidden="1" x14ac:dyDescent="0.25">
      <c r="A639" s="120" t="s">
        <v>3591</v>
      </c>
      <c r="B639" s="120" t="s">
        <v>3592</v>
      </c>
      <c r="C639" s="120" t="s">
        <v>301</v>
      </c>
      <c r="D639" s="120" t="s">
        <v>3651</v>
      </c>
      <c r="E639" s="120" t="s">
        <v>460</v>
      </c>
      <c r="F639" s="120" t="s">
        <v>18</v>
      </c>
      <c r="G639" s="120">
        <v>1</v>
      </c>
      <c r="H639">
        <v>0</v>
      </c>
      <c r="I639" s="120" t="s">
        <v>47</v>
      </c>
      <c r="J639">
        <v>1</v>
      </c>
      <c r="K639">
        <v>0</v>
      </c>
      <c r="L639" s="121">
        <v>0</v>
      </c>
      <c r="M639" s="121">
        <v>0</v>
      </c>
      <c r="N639" s="121">
        <v>0</v>
      </c>
    </row>
    <row r="640" spans="1:14" hidden="1" x14ac:dyDescent="0.25">
      <c r="A640" s="120" t="s">
        <v>3463</v>
      </c>
      <c r="B640" s="120" t="s">
        <v>3510</v>
      </c>
      <c r="C640" s="120" t="s">
        <v>301</v>
      </c>
      <c r="D640" s="120" t="s">
        <v>558</v>
      </c>
      <c r="E640" s="120" t="s">
        <v>16</v>
      </c>
      <c r="F640" s="120" t="s">
        <v>10</v>
      </c>
      <c r="G640" s="120">
        <v>11</v>
      </c>
      <c r="H640">
        <v>11</v>
      </c>
      <c r="I640" s="120" t="s">
        <v>11</v>
      </c>
      <c r="J640">
        <v>0</v>
      </c>
      <c r="K640">
        <v>1</v>
      </c>
      <c r="L640" s="121">
        <v>35</v>
      </c>
      <c r="M640" s="121">
        <v>385</v>
      </c>
      <c r="N640" s="121">
        <v>385</v>
      </c>
    </row>
    <row r="641" spans="1:14" hidden="1" x14ac:dyDescent="0.25">
      <c r="A641" s="120" t="s">
        <v>3591</v>
      </c>
      <c r="B641" s="120" t="s">
        <v>3693</v>
      </c>
      <c r="C641" s="120" t="s">
        <v>301</v>
      </c>
      <c r="D641" s="120" t="s">
        <v>3652</v>
      </c>
      <c r="E641" s="120" t="s">
        <v>1785</v>
      </c>
      <c r="F641" s="120" t="s">
        <v>10</v>
      </c>
      <c r="G641" s="120">
        <v>1</v>
      </c>
      <c r="H641">
        <v>0</v>
      </c>
      <c r="I641" s="120" t="s">
        <v>11</v>
      </c>
      <c r="J641">
        <v>1</v>
      </c>
      <c r="K641">
        <v>0</v>
      </c>
      <c r="L641">
        <v>0</v>
      </c>
      <c r="M641">
        <v>0</v>
      </c>
      <c r="N641">
        <v>0</v>
      </c>
    </row>
    <row r="642" spans="1:14" hidden="1" x14ac:dyDescent="0.25">
      <c r="A642" s="120" t="s">
        <v>3591</v>
      </c>
      <c r="B642" s="120" t="s">
        <v>3709</v>
      </c>
      <c r="C642" s="120" t="s">
        <v>301</v>
      </c>
      <c r="D642" s="120" t="s">
        <v>3652</v>
      </c>
      <c r="E642" s="120" t="s">
        <v>1785</v>
      </c>
      <c r="F642" s="120" t="s">
        <v>14</v>
      </c>
      <c r="G642" s="120">
        <v>1</v>
      </c>
      <c r="H642">
        <v>0</v>
      </c>
      <c r="I642" s="120" t="s">
        <v>11</v>
      </c>
      <c r="J642">
        <v>1</v>
      </c>
      <c r="K642">
        <v>0</v>
      </c>
      <c r="L642">
        <v>0</v>
      </c>
      <c r="M642">
        <v>0</v>
      </c>
      <c r="N642">
        <v>0</v>
      </c>
    </row>
    <row r="643" spans="1:14" hidden="1" x14ac:dyDescent="0.25">
      <c r="A643" s="120" t="s">
        <v>3591</v>
      </c>
      <c r="B643" s="120" t="s">
        <v>3701</v>
      </c>
      <c r="C643" s="120" t="s">
        <v>301</v>
      </c>
      <c r="D643" s="120" t="s">
        <v>3652</v>
      </c>
      <c r="E643" s="120" t="s">
        <v>1785</v>
      </c>
      <c r="F643" s="120" t="s">
        <v>10</v>
      </c>
      <c r="G643" s="120">
        <v>3</v>
      </c>
      <c r="H643">
        <v>0</v>
      </c>
      <c r="I643" s="120" t="s">
        <v>11</v>
      </c>
      <c r="J643">
        <v>3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 s="120" t="s">
        <v>3758</v>
      </c>
      <c r="B644" s="120" t="s">
        <v>3759</v>
      </c>
      <c r="C644" s="120" t="s">
        <v>301</v>
      </c>
      <c r="D644" s="120" t="s">
        <v>3652</v>
      </c>
      <c r="E644" s="120" t="s">
        <v>1785</v>
      </c>
      <c r="F644" s="120" t="s">
        <v>10</v>
      </c>
      <c r="G644" s="120">
        <v>3</v>
      </c>
      <c r="H644">
        <v>0</v>
      </c>
      <c r="I644" s="120" t="s">
        <v>11</v>
      </c>
      <c r="J644">
        <v>3</v>
      </c>
      <c r="K644">
        <v>0</v>
      </c>
      <c r="L644">
        <v>0</v>
      </c>
      <c r="M644">
        <v>0</v>
      </c>
      <c r="N644">
        <v>0</v>
      </c>
    </row>
    <row r="645" spans="1:14" hidden="1" x14ac:dyDescent="0.25">
      <c r="A645" s="120" t="s">
        <v>3463</v>
      </c>
      <c r="B645" s="120" t="s">
        <v>3510</v>
      </c>
      <c r="C645" s="120" t="s">
        <v>301</v>
      </c>
      <c r="D645" s="120" t="s">
        <v>622</v>
      </c>
      <c r="E645" s="120" t="s">
        <v>20</v>
      </c>
      <c r="F645" s="120" t="s">
        <v>18</v>
      </c>
      <c r="G645" s="120">
        <v>7</v>
      </c>
      <c r="H645">
        <v>7</v>
      </c>
      <c r="I645" s="120" t="s">
        <v>47</v>
      </c>
      <c r="J645">
        <v>0</v>
      </c>
      <c r="K645">
        <v>1</v>
      </c>
      <c r="L645" s="121">
        <v>12</v>
      </c>
      <c r="M645" s="121">
        <v>84</v>
      </c>
      <c r="N645" s="121">
        <v>84</v>
      </c>
    </row>
    <row r="646" spans="1:14" hidden="1" x14ac:dyDescent="0.25">
      <c r="A646" s="120" t="s">
        <v>3463</v>
      </c>
      <c r="B646" s="120" t="s">
        <v>3510</v>
      </c>
      <c r="C646" s="120" t="s">
        <v>301</v>
      </c>
      <c r="D646" s="120" t="s">
        <v>623</v>
      </c>
      <c r="E646" s="120" t="s">
        <v>21</v>
      </c>
      <c r="F646" s="120" t="s">
        <v>18</v>
      </c>
      <c r="G646" s="120">
        <v>9</v>
      </c>
      <c r="H646">
        <v>9</v>
      </c>
      <c r="I646" s="120" t="s">
        <v>47</v>
      </c>
      <c r="J646">
        <v>0</v>
      </c>
      <c r="K646">
        <v>1</v>
      </c>
      <c r="L646" s="121">
        <v>13</v>
      </c>
      <c r="M646" s="121">
        <v>117</v>
      </c>
      <c r="N646" s="121">
        <v>117</v>
      </c>
    </row>
    <row r="647" spans="1:14" hidden="1" x14ac:dyDescent="0.25">
      <c r="A647" s="120" t="s">
        <v>3463</v>
      </c>
      <c r="B647" s="120" t="s">
        <v>3510</v>
      </c>
      <c r="C647" s="120" t="s">
        <v>301</v>
      </c>
      <c r="D647" s="120" t="s">
        <v>713</v>
      </c>
      <c r="E647" s="120" t="s">
        <v>28</v>
      </c>
      <c r="F647" s="120" t="s">
        <v>14</v>
      </c>
      <c r="G647" s="120">
        <v>30</v>
      </c>
      <c r="H647">
        <v>30</v>
      </c>
      <c r="I647" s="120" t="s">
        <v>11</v>
      </c>
      <c r="J647">
        <v>0</v>
      </c>
      <c r="K647">
        <v>1</v>
      </c>
      <c r="L647" s="121">
        <v>5.9</v>
      </c>
      <c r="M647" s="121">
        <v>177</v>
      </c>
      <c r="N647" s="121">
        <v>177</v>
      </c>
    </row>
    <row r="648" spans="1:14" hidden="1" x14ac:dyDescent="0.25">
      <c r="A648" s="120" t="s">
        <v>3591</v>
      </c>
      <c r="B648" s="120" t="s">
        <v>3592</v>
      </c>
      <c r="C648" s="120" t="s">
        <v>301</v>
      </c>
      <c r="D648" s="120" t="s">
        <v>3656</v>
      </c>
      <c r="E648" s="120" t="s">
        <v>469</v>
      </c>
      <c r="F648" s="120" t="s">
        <v>18</v>
      </c>
      <c r="G648" s="120">
        <v>2</v>
      </c>
      <c r="H648">
        <v>0</v>
      </c>
      <c r="I648" s="120" t="s">
        <v>57</v>
      </c>
      <c r="J648">
        <v>2</v>
      </c>
      <c r="K648">
        <v>0</v>
      </c>
      <c r="L648" s="121">
        <v>0</v>
      </c>
      <c r="M648" s="121">
        <v>0</v>
      </c>
      <c r="N648" s="121">
        <v>0</v>
      </c>
    </row>
    <row r="649" spans="1:14" hidden="1" x14ac:dyDescent="0.25">
      <c r="A649" s="120" t="s">
        <v>3463</v>
      </c>
      <c r="B649" s="120" t="s">
        <v>3510</v>
      </c>
      <c r="C649" s="120" t="s">
        <v>301</v>
      </c>
      <c r="D649" s="120" t="s">
        <v>714</v>
      </c>
      <c r="E649" s="120" t="s">
        <v>52</v>
      </c>
      <c r="F649" s="120" t="s">
        <v>14</v>
      </c>
      <c r="G649" s="120">
        <v>6</v>
      </c>
      <c r="H649">
        <v>6</v>
      </c>
      <c r="I649" s="120" t="s">
        <v>11</v>
      </c>
      <c r="J649">
        <v>0</v>
      </c>
      <c r="K649">
        <v>1</v>
      </c>
      <c r="L649" s="121">
        <v>3</v>
      </c>
      <c r="M649" s="121">
        <v>18</v>
      </c>
      <c r="N649" s="121">
        <v>18</v>
      </c>
    </row>
    <row r="650" spans="1:14" hidden="1" x14ac:dyDescent="0.25">
      <c r="A650" s="120" t="s">
        <v>3463</v>
      </c>
      <c r="B650" s="120" t="s">
        <v>3510</v>
      </c>
      <c r="C650" s="120" t="s">
        <v>301</v>
      </c>
      <c r="D650" s="120" t="s">
        <v>1077</v>
      </c>
      <c r="E650" s="120" t="s">
        <v>34</v>
      </c>
      <c r="F650" s="120" t="s">
        <v>18</v>
      </c>
      <c r="G650" s="120">
        <v>1</v>
      </c>
      <c r="H650">
        <v>1</v>
      </c>
      <c r="I650" s="120" t="s">
        <v>11</v>
      </c>
      <c r="J650">
        <v>0</v>
      </c>
      <c r="K650">
        <v>1</v>
      </c>
      <c r="L650" s="121">
        <v>189</v>
      </c>
      <c r="M650" s="121">
        <v>189</v>
      </c>
      <c r="N650" s="121">
        <v>189</v>
      </c>
    </row>
    <row r="651" spans="1:14" hidden="1" x14ac:dyDescent="0.25">
      <c r="A651" s="120" t="s">
        <v>3591</v>
      </c>
      <c r="B651" s="120" t="s">
        <v>3693</v>
      </c>
      <c r="C651" s="120" t="s">
        <v>301</v>
      </c>
      <c r="D651" s="120" t="s">
        <v>3659</v>
      </c>
      <c r="E651" s="120" t="s">
        <v>472</v>
      </c>
      <c r="F651" s="120" t="s">
        <v>10</v>
      </c>
      <c r="G651" s="120">
        <v>1</v>
      </c>
      <c r="H651">
        <v>0</v>
      </c>
      <c r="I651" s="120" t="s">
        <v>11</v>
      </c>
      <c r="J651">
        <v>1</v>
      </c>
      <c r="K651">
        <v>0</v>
      </c>
      <c r="L651">
        <v>0</v>
      </c>
      <c r="M651">
        <v>0</v>
      </c>
      <c r="N651">
        <v>0</v>
      </c>
    </row>
    <row r="652" spans="1:14" hidden="1" x14ac:dyDescent="0.25">
      <c r="A652" s="120" t="s">
        <v>3591</v>
      </c>
      <c r="B652" s="120" t="s">
        <v>3709</v>
      </c>
      <c r="C652" s="120" t="s">
        <v>301</v>
      </c>
      <c r="D652" s="120" t="s">
        <v>3659</v>
      </c>
      <c r="E652" s="120" t="s">
        <v>472</v>
      </c>
      <c r="F652" s="120" t="s">
        <v>10</v>
      </c>
      <c r="G652" s="120">
        <v>1</v>
      </c>
      <c r="H652">
        <v>0</v>
      </c>
      <c r="I652" s="120" t="s">
        <v>11</v>
      </c>
      <c r="J652">
        <v>1</v>
      </c>
      <c r="K652">
        <v>0</v>
      </c>
      <c r="L652">
        <v>0</v>
      </c>
      <c r="M652">
        <v>0</v>
      </c>
      <c r="N652">
        <v>0</v>
      </c>
    </row>
    <row r="653" spans="1:14" hidden="1" x14ac:dyDescent="0.25">
      <c r="A653" s="120" t="s">
        <v>3591</v>
      </c>
      <c r="B653" s="120" t="s">
        <v>3701</v>
      </c>
      <c r="C653" s="120" t="s">
        <v>301</v>
      </c>
      <c r="D653" s="120" t="s">
        <v>3659</v>
      </c>
      <c r="E653" s="120" t="s">
        <v>472</v>
      </c>
      <c r="F653" s="120" t="s">
        <v>10</v>
      </c>
      <c r="G653" s="120">
        <v>1</v>
      </c>
      <c r="H653">
        <v>0</v>
      </c>
      <c r="I653" s="120" t="s">
        <v>11</v>
      </c>
      <c r="J653">
        <v>1</v>
      </c>
      <c r="K653">
        <v>0</v>
      </c>
      <c r="L653">
        <v>0</v>
      </c>
      <c r="M653">
        <v>0</v>
      </c>
      <c r="N653">
        <v>0</v>
      </c>
    </row>
    <row r="654" spans="1:14" hidden="1" x14ac:dyDescent="0.25">
      <c r="A654" s="120" t="s">
        <v>3463</v>
      </c>
      <c r="B654" s="120" t="s">
        <v>3510</v>
      </c>
      <c r="C654" s="120" t="s">
        <v>301</v>
      </c>
      <c r="D654" s="120" t="s">
        <v>1128</v>
      </c>
      <c r="E654" s="120" t="s">
        <v>40</v>
      </c>
      <c r="F654" s="120" t="s">
        <v>18</v>
      </c>
      <c r="G654" s="120">
        <v>1</v>
      </c>
      <c r="H654">
        <v>1</v>
      </c>
      <c r="I654" s="120" t="s">
        <v>47</v>
      </c>
      <c r="J654">
        <v>0</v>
      </c>
      <c r="K654">
        <v>1</v>
      </c>
      <c r="L654" s="121">
        <v>69</v>
      </c>
      <c r="M654" s="121">
        <v>69</v>
      </c>
      <c r="N654" s="121">
        <v>69</v>
      </c>
    </row>
    <row r="655" spans="1:14" hidden="1" x14ac:dyDescent="0.25">
      <c r="A655" s="120" t="s">
        <v>3463</v>
      </c>
      <c r="B655" s="120" t="s">
        <v>3510</v>
      </c>
      <c r="C655" s="120" t="s">
        <v>301</v>
      </c>
      <c r="D655" s="120" t="s">
        <v>1178</v>
      </c>
      <c r="E655" s="120" t="s">
        <v>43</v>
      </c>
      <c r="F655" s="120" t="s">
        <v>10</v>
      </c>
      <c r="G655" s="120">
        <v>6</v>
      </c>
      <c r="H655">
        <v>6</v>
      </c>
      <c r="I655" s="120" t="s">
        <v>11</v>
      </c>
      <c r="J655">
        <v>0</v>
      </c>
      <c r="K655">
        <v>1</v>
      </c>
      <c r="L655" s="121">
        <v>17</v>
      </c>
      <c r="M655" s="121">
        <v>102</v>
      </c>
      <c r="N655" s="121">
        <v>102</v>
      </c>
    </row>
    <row r="656" spans="1:14" hidden="1" x14ac:dyDescent="0.25">
      <c r="A656" s="120" t="s">
        <v>3591</v>
      </c>
      <c r="B656" s="120" t="s">
        <v>3709</v>
      </c>
      <c r="C656" s="120" t="s">
        <v>301</v>
      </c>
      <c r="D656" s="120" t="s">
        <v>3676</v>
      </c>
      <c r="E656" s="120" t="s">
        <v>495</v>
      </c>
      <c r="F656" s="120" t="s">
        <v>10</v>
      </c>
      <c r="G656" s="120">
        <v>2</v>
      </c>
      <c r="H656">
        <v>0</v>
      </c>
      <c r="I656" s="120" t="s">
        <v>11</v>
      </c>
      <c r="J656">
        <v>2</v>
      </c>
      <c r="K656">
        <v>0</v>
      </c>
      <c r="L656">
        <v>0</v>
      </c>
      <c r="M656">
        <v>0</v>
      </c>
      <c r="N656">
        <v>0</v>
      </c>
    </row>
    <row r="657" spans="1:14" hidden="1" x14ac:dyDescent="0.25">
      <c r="A657" s="120" t="s">
        <v>3591</v>
      </c>
      <c r="B657" s="120" t="s">
        <v>3701</v>
      </c>
      <c r="C657" s="120" t="s">
        <v>301</v>
      </c>
      <c r="D657" s="120" t="s">
        <v>3676</v>
      </c>
      <c r="E657" s="120" t="s">
        <v>495</v>
      </c>
      <c r="F657" s="120" t="s">
        <v>14</v>
      </c>
      <c r="G657" s="120">
        <v>1</v>
      </c>
      <c r="H657">
        <v>0</v>
      </c>
      <c r="I657" s="120" t="s">
        <v>11</v>
      </c>
      <c r="J657">
        <v>1</v>
      </c>
      <c r="K657">
        <v>0</v>
      </c>
      <c r="L657">
        <v>0</v>
      </c>
      <c r="M657">
        <v>0</v>
      </c>
      <c r="N657">
        <v>0</v>
      </c>
    </row>
    <row r="658" spans="1:14" hidden="1" x14ac:dyDescent="0.25">
      <c r="A658" s="120" t="s">
        <v>3463</v>
      </c>
      <c r="B658" s="120" t="s">
        <v>3510</v>
      </c>
      <c r="C658" s="120" t="s">
        <v>301</v>
      </c>
      <c r="D658" s="120" t="s">
        <v>751</v>
      </c>
      <c r="E658" s="120" t="s">
        <v>149</v>
      </c>
      <c r="F658" s="120" t="s">
        <v>14</v>
      </c>
      <c r="G658" s="120">
        <v>3</v>
      </c>
      <c r="H658">
        <v>3</v>
      </c>
      <c r="I658" s="120" t="s">
        <v>11</v>
      </c>
      <c r="J658">
        <v>0</v>
      </c>
      <c r="K658">
        <v>1</v>
      </c>
      <c r="L658" s="121">
        <v>15</v>
      </c>
      <c r="M658" s="121">
        <v>45</v>
      </c>
      <c r="N658" s="121">
        <v>45</v>
      </c>
    </row>
    <row r="659" spans="1:14" hidden="1" x14ac:dyDescent="0.25">
      <c r="A659" s="120" t="s">
        <v>3591</v>
      </c>
      <c r="B659" s="120" t="s">
        <v>3709</v>
      </c>
      <c r="C659" s="120" t="s">
        <v>301</v>
      </c>
      <c r="D659" s="120" t="s">
        <v>3660</v>
      </c>
      <c r="E659" s="120" t="s">
        <v>474</v>
      </c>
      <c r="F659" s="120" t="s">
        <v>14</v>
      </c>
      <c r="G659" s="120">
        <v>2</v>
      </c>
      <c r="H659">
        <v>0</v>
      </c>
      <c r="I659" s="120" t="s">
        <v>47</v>
      </c>
      <c r="J659">
        <v>2</v>
      </c>
      <c r="K659">
        <v>0</v>
      </c>
      <c r="L659">
        <v>0</v>
      </c>
      <c r="M659">
        <v>0</v>
      </c>
      <c r="N659">
        <v>0</v>
      </c>
    </row>
    <row r="660" spans="1:14" hidden="1" x14ac:dyDescent="0.25">
      <c r="A660" s="120" t="s">
        <v>3463</v>
      </c>
      <c r="B660" s="120" t="s">
        <v>3510</v>
      </c>
      <c r="C660" s="120" t="s">
        <v>301</v>
      </c>
      <c r="D660" s="120" t="s">
        <v>1186</v>
      </c>
      <c r="E660" s="120" t="s">
        <v>160</v>
      </c>
      <c r="F660" s="120" t="s">
        <v>10</v>
      </c>
      <c r="G660" s="120">
        <v>3</v>
      </c>
      <c r="H660">
        <v>3</v>
      </c>
      <c r="I660" s="120" t="s">
        <v>11</v>
      </c>
      <c r="J660">
        <v>0</v>
      </c>
      <c r="K660">
        <v>1</v>
      </c>
      <c r="L660" s="121">
        <v>14.8</v>
      </c>
      <c r="M660" s="121">
        <v>44.400000000000006</v>
      </c>
      <c r="N660" s="121">
        <v>44.400000000000006</v>
      </c>
    </row>
    <row r="661" spans="1:14" hidden="1" x14ac:dyDescent="0.25">
      <c r="A661" s="120" t="s">
        <v>3463</v>
      </c>
      <c r="B661" s="120" t="s">
        <v>3510</v>
      </c>
      <c r="C661" s="120" t="s">
        <v>301</v>
      </c>
      <c r="D661" s="120" t="s">
        <v>1082</v>
      </c>
      <c r="E661" s="120" t="s">
        <v>150</v>
      </c>
      <c r="F661" s="120" t="s">
        <v>14</v>
      </c>
      <c r="G661" s="120">
        <v>1</v>
      </c>
      <c r="H661">
        <v>1</v>
      </c>
      <c r="I661" s="120" t="s">
        <v>11</v>
      </c>
      <c r="J661">
        <v>0</v>
      </c>
      <c r="K661">
        <v>1</v>
      </c>
      <c r="L661" s="121">
        <v>560</v>
      </c>
      <c r="M661" s="121">
        <v>560</v>
      </c>
      <c r="N661" s="121">
        <v>560</v>
      </c>
    </row>
    <row r="662" spans="1:14" hidden="1" x14ac:dyDescent="0.25">
      <c r="A662" s="120" t="s">
        <v>3591</v>
      </c>
      <c r="B662" s="120" t="s">
        <v>3592</v>
      </c>
      <c r="C662" s="120" t="s">
        <v>301</v>
      </c>
      <c r="D662" s="120" t="s">
        <v>1455</v>
      </c>
      <c r="E662" s="120" t="s">
        <v>485</v>
      </c>
      <c r="F662" s="120" t="s">
        <v>18</v>
      </c>
      <c r="G662" s="120">
        <v>0</v>
      </c>
      <c r="H662">
        <v>1</v>
      </c>
      <c r="I662" s="120" t="s">
        <v>47</v>
      </c>
      <c r="J662">
        <v>-1</v>
      </c>
      <c r="K662">
        <v>0</v>
      </c>
      <c r="L662">
        <v>17</v>
      </c>
      <c r="M662">
        <v>0</v>
      </c>
      <c r="N662">
        <v>17</v>
      </c>
    </row>
    <row r="663" spans="1:14" hidden="1" x14ac:dyDescent="0.25">
      <c r="A663" s="120" t="s">
        <v>3591</v>
      </c>
      <c r="B663" s="120" t="s">
        <v>3701</v>
      </c>
      <c r="C663" s="120" t="s">
        <v>301</v>
      </c>
      <c r="D663" s="120" t="s">
        <v>1455</v>
      </c>
      <c r="E663" s="120" t="s">
        <v>485</v>
      </c>
      <c r="F663" s="120" t="s">
        <v>14</v>
      </c>
      <c r="G663" s="120">
        <v>0</v>
      </c>
      <c r="H663">
        <v>1</v>
      </c>
      <c r="I663" s="120" t="s">
        <v>47</v>
      </c>
      <c r="J663">
        <v>-1</v>
      </c>
      <c r="K663">
        <v>0</v>
      </c>
      <c r="L663">
        <v>17</v>
      </c>
      <c r="M663">
        <v>0</v>
      </c>
      <c r="N663">
        <v>17</v>
      </c>
    </row>
    <row r="664" spans="1:14" x14ac:dyDescent="0.25">
      <c r="A664" s="120" t="s">
        <v>3758</v>
      </c>
      <c r="B664" s="120" t="s">
        <v>3759</v>
      </c>
      <c r="C664" s="120" t="s">
        <v>301</v>
      </c>
      <c r="D664" s="120" t="s">
        <v>1455</v>
      </c>
      <c r="E664" s="120" t="s">
        <v>485</v>
      </c>
      <c r="F664" s="120" t="s">
        <v>14</v>
      </c>
      <c r="G664" s="120">
        <v>11</v>
      </c>
      <c r="H664">
        <v>54</v>
      </c>
      <c r="I664" s="120" t="s">
        <v>11</v>
      </c>
      <c r="J664">
        <v>-43</v>
      </c>
      <c r="K664">
        <v>0</v>
      </c>
      <c r="L664">
        <v>17</v>
      </c>
      <c r="M664">
        <v>187</v>
      </c>
      <c r="N664">
        <v>918</v>
      </c>
    </row>
    <row r="665" spans="1:14" hidden="1" x14ac:dyDescent="0.25">
      <c r="A665" s="120" t="s">
        <v>3463</v>
      </c>
      <c r="B665" s="120" t="s">
        <v>3510</v>
      </c>
      <c r="C665" s="120" t="s">
        <v>301</v>
      </c>
      <c r="D665" s="120" t="s">
        <v>612</v>
      </c>
      <c r="E665" s="120" t="s">
        <v>132</v>
      </c>
      <c r="F665" s="120" t="s">
        <v>14</v>
      </c>
      <c r="G665" s="120">
        <v>1</v>
      </c>
      <c r="H665">
        <v>1</v>
      </c>
      <c r="I665" s="120" t="s">
        <v>57</v>
      </c>
      <c r="J665">
        <v>0</v>
      </c>
      <c r="K665">
        <v>1</v>
      </c>
      <c r="L665" s="121">
        <v>3.9</v>
      </c>
      <c r="M665" s="121">
        <v>3.9</v>
      </c>
      <c r="N665" s="121">
        <v>3.9</v>
      </c>
    </row>
    <row r="666" spans="1:14" hidden="1" x14ac:dyDescent="0.25">
      <c r="A666" s="120" t="s">
        <v>3591</v>
      </c>
      <c r="B666" s="120" t="s">
        <v>3693</v>
      </c>
      <c r="C666" s="120" t="s">
        <v>301</v>
      </c>
      <c r="D666" s="120" t="s">
        <v>3669</v>
      </c>
      <c r="E666" s="120" t="s">
        <v>486</v>
      </c>
      <c r="F666" s="120" t="s">
        <v>18</v>
      </c>
      <c r="G666" s="120">
        <v>1</v>
      </c>
      <c r="H666">
        <v>0</v>
      </c>
      <c r="I666" s="120" t="s">
        <v>11</v>
      </c>
      <c r="J666">
        <v>1</v>
      </c>
      <c r="K666">
        <v>0</v>
      </c>
      <c r="L666">
        <v>0</v>
      </c>
      <c r="M666">
        <v>0</v>
      </c>
      <c r="N666">
        <v>0</v>
      </c>
    </row>
    <row r="667" spans="1:14" hidden="1" x14ac:dyDescent="0.25">
      <c r="A667" s="120" t="s">
        <v>3591</v>
      </c>
      <c r="B667" s="120" t="s">
        <v>3709</v>
      </c>
      <c r="C667" s="120" t="s">
        <v>301</v>
      </c>
      <c r="D667" s="120" t="s">
        <v>3669</v>
      </c>
      <c r="E667" s="120" t="s">
        <v>486</v>
      </c>
      <c r="F667" s="120" t="s">
        <v>10</v>
      </c>
      <c r="G667" s="120">
        <v>1</v>
      </c>
      <c r="H667">
        <v>0</v>
      </c>
      <c r="I667" s="120" t="s">
        <v>47</v>
      </c>
      <c r="J667">
        <v>1</v>
      </c>
      <c r="K667">
        <v>0</v>
      </c>
      <c r="L667">
        <v>0</v>
      </c>
      <c r="M667">
        <v>0</v>
      </c>
      <c r="N667">
        <v>0</v>
      </c>
    </row>
    <row r="668" spans="1:14" hidden="1" x14ac:dyDescent="0.25">
      <c r="A668" s="120" t="s">
        <v>3463</v>
      </c>
      <c r="B668" s="120" t="s">
        <v>3510</v>
      </c>
      <c r="C668" s="120" t="s">
        <v>301</v>
      </c>
      <c r="D668" s="120" t="s">
        <v>625</v>
      </c>
      <c r="E668" s="120" t="s">
        <v>134</v>
      </c>
      <c r="F668" s="120" t="s">
        <v>14</v>
      </c>
      <c r="G668" s="120">
        <v>1</v>
      </c>
      <c r="H668">
        <v>1</v>
      </c>
      <c r="I668" s="120" t="s">
        <v>57</v>
      </c>
      <c r="J668">
        <v>0</v>
      </c>
      <c r="K668">
        <v>1</v>
      </c>
      <c r="L668" s="121">
        <v>24.8</v>
      </c>
      <c r="M668" s="121">
        <v>24.8</v>
      </c>
      <c r="N668" s="121">
        <v>24.8</v>
      </c>
    </row>
    <row r="669" spans="1:14" hidden="1" x14ac:dyDescent="0.25">
      <c r="A669" s="120" t="s">
        <v>3463</v>
      </c>
      <c r="B669" s="120" t="s">
        <v>3510</v>
      </c>
      <c r="C669" s="120" t="s">
        <v>301</v>
      </c>
      <c r="D669" s="120" t="s">
        <v>627</v>
      </c>
      <c r="E669" s="120" t="s">
        <v>58</v>
      </c>
      <c r="F669" s="120" t="s">
        <v>59</v>
      </c>
      <c r="G669" s="120">
        <v>2</v>
      </c>
      <c r="H669">
        <v>2</v>
      </c>
      <c r="I669" s="120" t="s">
        <v>11</v>
      </c>
      <c r="J669">
        <v>0</v>
      </c>
      <c r="K669">
        <v>1</v>
      </c>
      <c r="L669" s="121">
        <v>3.8</v>
      </c>
      <c r="M669" s="121">
        <v>7.6</v>
      </c>
      <c r="N669" s="121">
        <v>7.6</v>
      </c>
    </row>
    <row r="670" spans="1:14" hidden="1" x14ac:dyDescent="0.25">
      <c r="A670" s="120" t="s">
        <v>3463</v>
      </c>
      <c r="B670" s="120" t="s">
        <v>3510</v>
      </c>
      <c r="C670" s="120" t="s">
        <v>301</v>
      </c>
      <c r="D670" s="120" t="s">
        <v>634</v>
      </c>
      <c r="E670" s="120" t="s">
        <v>136</v>
      </c>
      <c r="F670" s="120" t="s">
        <v>18</v>
      </c>
      <c r="G670" s="120">
        <v>2</v>
      </c>
      <c r="H670">
        <v>2</v>
      </c>
      <c r="I670" s="120" t="s">
        <v>57</v>
      </c>
      <c r="J670">
        <v>0</v>
      </c>
      <c r="K670">
        <v>1</v>
      </c>
      <c r="L670" s="121">
        <v>6.9</v>
      </c>
      <c r="M670" s="121">
        <v>13.8</v>
      </c>
      <c r="N670" s="121">
        <v>13.8</v>
      </c>
    </row>
    <row r="671" spans="1:14" hidden="1" x14ac:dyDescent="0.25">
      <c r="A671" s="120" t="s">
        <v>3591</v>
      </c>
      <c r="B671" s="120" t="s">
        <v>3693</v>
      </c>
      <c r="C671" s="120" t="s">
        <v>301</v>
      </c>
      <c r="D671" s="120" t="s">
        <v>3672</v>
      </c>
      <c r="E671" s="120" t="s">
        <v>489</v>
      </c>
      <c r="F671" s="120" t="s">
        <v>14</v>
      </c>
      <c r="G671" s="120">
        <v>2</v>
      </c>
      <c r="H671">
        <v>0</v>
      </c>
      <c r="I671" s="120" t="s">
        <v>47</v>
      </c>
      <c r="J671">
        <v>2</v>
      </c>
      <c r="K671">
        <v>0</v>
      </c>
      <c r="L671">
        <v>0</v>
      </c>
      <c r="M671">
        <v>0</v>
      </c>
      <c r="N671">
        <v>0</v>
      </c>
    </row>
    <row r="672" spans="1:14" hidden="1" x14ac:dyDescent="0.25">
      <c r="A672" s="120" t="s">
        <v>3591</v>
      </c>
      <c r="B672" s="120" t="s">
        <v>3701</v>
      </c>
      <c r="C672" s="120" t="s">
        <v>301</v>
      </c>
      <c r="D672" s="120" t="s">
        <v>3672</v>
      </c>
      <c r="E672" s="120" t="s">
        <v>489</v>
      </c>
      <c r="F672" s="120" t="s">
        <v>14</v>
      </c>
      <c r="G672" s="120">
        <v>1</v>
      </c>
      <c r="H672">
        <v>0</v>
      </c>
      <c r="I672" s="120" t="s">
        <v>47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 hidden="1" x14ac:dyDescent="0.25">
      <c r="A673" s="120" t="s">
        <v>3591</v>
      </c>
      <c r="B673" s="120" t="s">
        <v>3592</v>
      </c>
      <c r="C673" s="120" t="s">
        <v>69</v>
      </c>
      <c r="D673" s="120" t="s">
        <v>3692</v>
      </c>
      <c r="E673" s="120" t="s">
        <v>523</v>
      </c>
      <c r="F673" s="120" t="s">
        <v>18</v>
      </c>
      <c r="G673" s="120">
        <v>28</v>
      </c>
      <c r="H673">
        <v>0</v>
      </c>
      <c r="I673" s="120" t="s">
        <v>47</v>
      </c>
      <c r="J673">
        <v>28</v>
      </c>
      <c r="K673">
        <v>0</v>
      </c>
      <c r="L673" s="121">
        <v>0</v>
      </c>
      <c r="M673" s="121">
        <v>0</v>
      </c>
      <c r="N673" s="121">
        <v>0</v>
      </c>
    </row>
    <row r="674" spans="1:14" hidden="1" x14ac:dyDescent="0.25">
      <c r="A674" s="120" t="s">
        <v>3591</v>
      </c>
      <c r="B674" s="120" t="s">
        <v>3701</v>
      </c>
      <c r="C674" s="120" t="s">
        <v>69</v>
      </c>
      <c r="D674" s="120" t="s">
        <v>3692</v>
      </c>
      <c r="E674" s="120" t="s">
        <v>523</v>
      </c>
      <c r="F674" s="120" t="s">
        <v>14</v>
      </c>
      <c r="G674" s="120">
        <v>7</v>
      </c>
      <c r="H674">
        <v>0</v>
      </c>
      <c r="I674" s="120" t="s">
        <v>11</v>
      </c>
      <c r="J674">
        <v>7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 s="120" t="s">
        <v>3758</v>
      </c>
      <c r="B675" s="120" t="s">
        <v>3759</v>
      </c>
      <c r="C675" s="120" t="s">
        <v>301</v>
      </c>
      <c r="D675" s="120" t="s">
        <v>3692</v>
      </c>
      <c r="E675" s="120" t="s">
        <v>523</v>
      </c>
      <c r="F675" s="120" t="s">
        <v>14</v>
      </c>
      <c r="G675" s="120">
        <v>26</v>
      </c>
      <c r="H675">
        <v>0</v>
      </c>
      <c r="I675" s="120" t="s">
        <v>11</v>
      </c>
      <c r="J675">
        <v>26</v>
      </c>
      <c r="K675">
        <v>0</v>
      </c>
      <c r="L675">
        <v>0</v>
      </c>
      <c r="M675">
        <v>0</v>
      </c>
      <c r="N675">
        <v>0</v>
      </c>
    </row>
    <row r="676" spans="1:14" hidden="1" x14ac:dyDescent="0.25">
      <c r="A676" s="120" t="s">
        <v>3591</v>
      </c>
      <c r="B676" s="120" t="s">
        <v>3693</v>
      </c>
      <c r="C676" s="120" t="s">
        <v>301</v>
      </c>
      <c r="D676" s="120" t="s">
        <v>3608</v>
      </c>
      <c r="E676" s="120" t="s">
        <v>399</v>
      </c>
      <c r="F676" s="120" t="s">
        <v>14</v>
      </c>
      <c r="G676" s="120">
        <v>1</v>
      </c>
      <c r="H676">
        <v>0</v>
      </c>
      <c r="I676" s="120" t="s">
        <v>47</v>
      </c>
      <c r="J676">
        <v>1</v>
      </c>
      <c r="K676">
        <v>0</v>
      </c>
      <c r="L676">
        <v>0</v>
      </c>
      <c r="M676">
        <v>0</v>
      </c>
      <c r="N676">
        <v>0</v>
      </c>
    </row>
    <row r="677" spans="1:14" hidden="1" x14ac:dyDescent="0.25">
      <c r="A677" s="120" t="s">
        <v>3591</v>
      </c>
      <c r="B677" s="120" t="s">
        <v>3701</v>
      </c>
      <c r="C677" s="120" t="s">
        <v>301</v>
      </c>
      <c r="D677" s="120" t="s">
        <v>1453</v>
      </c>
      <c r="E677" s="120" t="s">
        <v>1454</v>
      </c>
      <c r="F677" s="120" t="s">
        <v>14</v>
      </c>
      <c r="G677" s="120">
        <v>0</v>
      </c>
      <c r="H677">
        <v>2</v>
      </c>
      <c r="I677" s="120" t="s">
        <v>11</v>
      </c>
      <c r="J677">
        <v>-2</v>
      </c>
      <c r="K677">
        <v>0</v>
      </c>
      <c r="L677">
        <v>41</v>
      </c>
      <c r="M677">
        <v>0</v>
      </c>
      <c r="N677">
        <v>82</v>
      </c>
    </row>
    <row r="678" spans="1:14" hidden="1" x14ac:dyDescent="0.25">
      <c r="A678" s="120" t="s">
        <v>3591</v>
      </c>
      <c r="B678" s="120" t="s">
        <v>3709</v>
      </c>
      <c r="C678" s="120" t="s">
        <v>301</v>
      </c>
      <c r="D678" s="120" t="s">
        <v>3710</v>
      </c>
      <c r="E678" s="120" t="s">
        <v>2510</v>
      </c>
      <c r="F678" s="120" t="s">
        <v>10</v>
      </c>
      <c r="G678" s="120">
        <v>1</v>
      </c>
      <c r="H678">
        <v>0</v>
      </c>
      <c r="I678" s="120" t="s">
        <v>47</v>
      </c>
      <c r="J678">
        <v>1</v>
      </c>
      <c r="K678">
        <v>0</v>
      </c>
      <c r="L678">
        <v>0</v>
      </c>
      <c r="M678">
        <v>0</v>
      </c>
      <c r="N678">
        <v>0</v>
      </c>
    </row>
    <row r="679" spans="1:14" hidden="1" x14ac:dyDescent="0.25">
      <c r="A679" s="120" t="s">
        <v>3463</v>
      </c>
      <c r="B679" s="120" t="s">
        <v>3510</v>
      </c>
      <c r="C679" s="120" t="s">
        <v>301</v>
      </c>
      <c r="D679" s="120" t="s">
        <v>639</v>
      </c>
      <c r="E679" s="120" t="s">
        <v>137</v>
      </c>
      <c r="F679" s="120" t="s">
        <v>18</v>
      </c>
      <c r="G679" s="120">
        <v>4</v>
      </c>
      <c r="H679">
        <v>4</v>
      </c>
      <c r="I679" s="120" t="s">
        <v>57</v>
      </c>
      <c r="J679">
        <v>0</v>
      </c>
      <c r="K679">
        <v>1</v>
      </c>
      <c r="L679" s="121">
        <v>3.8</v>
      </c>
      <c r="M679" s="121">
        <v>15.2</v>
      </c>
      <c r="N679" s="121">
        <v>15.2</v>
      </c>
    </row>
    <row r="680" spans="1:14" hidden="1" x14ac:dyDescent="0.25">
      <c r="A680" s="120" t="s">
        <v>3463</v>
      </c>
      <c r="B680" s="120" t="s">
        <v>3510</v>
      </c>
      <c r="C680" s="120" t="s">
        <v>301</v>
      </c>
      <c r="D680" s="120" t="s">
        <v>717</v>
      </c>
      <c r="E680" s="120" t="s">
        <v>142</v>
      </c>
      <c r="F680" s="120" t="s">
        <v>14</v>
      </c>
      <c r="G680" s="120">
        <v>1</v>
      </c>
      <c r="H680">
        <v>1</v>
      </c>
      <c r="I680" s="120" t="s">
        <v>57</v>
      </c>
      <c r="J680">
        <v>0</v>
      </c>
      <c r="K680">
        <v>1</v>
      </c>
      <c r="L680" s="121">
        <v>6.9</v>
      </c>
      <c r="M680" s="121">
        <v>6.9</v>
      </c>
      <c r="N680" s="121">
        <v>6.9</v>
      </c>
    </row>
    <row r="681" spans="1:14" hidden="1" x14ac:dyDescent="0.25">
      <c r="A681" s="120" t="s">
        <v>3591</v>
      </c>
      <c r="B681" s="120" t="s">
        <v>3709</v>
      </c>
      <c r="C681" s="120" t="s">
        <v>301</v>
      </c>
      <c r="D681" s="120" t="s">
        <v>3674</v>
      </c>
      <c r="E681" s="120" t="s">
        <v>491</v>
      </c>
      <c r="F681" s="120" t="s">
        <v>10</v>
      </c>
      <c r="G681" s="120">
        <v>2</v>
      </c>
      <c r="H681">
        <v>0</v>
      </c>
      <c r="I681" s="120" t="s">
        <v>47</v>
      </c>
      <c r="J681">
        <v>2</v>
      </c>
      <c r="K681">
        <v>0</v>
      </c>
      <c r="L681">
        <v>0</v>
      </c>
      <c r="M681">
        <v>0</v>
      </c>
      <c r="N681">
        <v>0</v>
      </c>
    </row>
    <row r="682" spans="1:14" hidden="1" x14ac:dyDescent="0.25">
      <c r="A682" s="120" t="s">
        <v>3591</v>
      </c>
      <c r="B682" s="120" t="s">
        <v>3709</v>
      </c>
      <c r="C682" s="120" t="s">
        <v>301</v>
      </c>
      <c r="D682" s="120" t="s">
        <v>1761</v>
      </c>
      <c r="E682" s="120" t="s">
        <v>1762</v>
      </c>
      <c r="F682" s="120" t="s">
        <v>14</v>
      </c>
      <c r="G682" s="120">
        <v>0</v>
      </c>
      <c r="H682">
        <v>1</v>
      </c>
      <c r="I682" s="120" t="s">
        <v>57</v>
      </c>
      <c r="J682">
        <v>-1</v>
      </c>
      <c r="K682">
        <v>0</v>
      </c>
      <c r="L682">
        <v>11</v>
      </c>
      <c r="M682">
        <v>0</v>
      </c>
      <c r="N682">
        <v>11</v>
      </c>
    </row>
    <row r="683" spans="1:14" hidden="1" x14ac:dyDescent="0.25">
      <c r="A683" s="120" t="s">
        <v>3591</v>
      </c>
      <c r="B683" s="120" t="s">
        <v>3709</v>
      </c>
      <c r="C683" s="120" t="s">
        <v>301</v>
      </c>
      <c r="D683" s="120" t="s">
        <v>3702</v>
      </c>
      <c r="E683" s="120" t="s">
        <v>2048</v>
      </c>
      <c r="F683" s="120" t="s">
        <v>10</v>
      </c>
      <c r="G683" s="120">
        <v>5</v>
      </c>
      <c r="H683">
        <v>0</v>
      </c>
      <c r="I683" s="120" t="s">
        <v>57</v>
      </c>
      <c r="J683">
        <v>5</v>
      </c>
      <c r="K683">
        <v>0</v>
      </c>
      <c r="L683">
        <v>0</v>
      </c>
      <c r="M683">
        <v>0</v>
      </c>
      <c r="N683">
        <v>0</v>
      </c>
    </row>
    <row r="684" spans="1:14" hidden="1" x14ac:dyDescent="0.25">
      <c r="A684" s="120" t="s">
        <v>3591</v>
      </c>
      <c r="B684" s="120" t="s">
        <v>3701</v>
      </c>
      <c r="C684" s="120" t="s">
        <v>301</v>
      </c>
      <c r="D684" s="120" t="s">
        <v>3702</v>
      </c>
      <c r="E684" s="120" t="s">
        <v>3448</v>
      </c>
      <c r="F684" s="120"/>
      <c r="G684" s="120">
        <v>5</v>
      </c>
      <c r="H684">
        <v>0</v>
      </c>
      <c r="I684" s="120" t="s">
        <v>47</v>
      </c>
      <c r="J684">
        <v>5</v>
      </c>
      <c r="K684">
        <v>0</v>
      </c>
      <c r="L684">
        <v>0</v>
      </c>
      <c r="M684">
        <v>0</v>
      </c>
      <c r="N684">
        <v>0</v>
      </c>
    </row>
    <row r="685" spans="1:14" hidden="1" x14ac:dyDescent="0.25">
      <c r="A685" s="120" t="s">
        <v>3591</v>
      </c>
      <c r="B685" s="120" t="s">
        <v>3701</v>
      </c>
      <c r="C685" s="120" t="s">
        <v>301</v>
      </c>
      <c r="D685" s="120" t="s">
        <v>3703</v>
      </c>
      <c r="E685" s="120" t="s">
        <v>2056</v>
      </c>
      <c r="F685" s="120" t="s">
        <v>10</v>
      </c>
      <c r="G685" s="120">
        <v>6</v>
      </c>
      <c r="H685">
        <v>0</v>
      </c>
      <c r="I685" s="120" t="s">
        <v>11</v>
      </c>
      <c r="J685">
        <v>6</v>
      </c>
      <c r="K685">
        <v>0</v>
      </c>
      <c r="L685">
        <v>0</v>
      </c>
      <c r="M685">
        <v>0</v>
      </c>
      <c r="N685">
        <v>0</v>
      </c>
    </row>
    <row r="686" spans="1:14" hidden="1" x14ac:dyDescent="0.25">
      <c r="A686" s="120" t="s">
        <v>3591</v>
      </c>
      <c r="B686" s="120" t="s">
        <v>3701</v>
      </c>
      <c r="C686" s="120" t="s">
        <v>301</v>
      </c>
      <c r="D686" s="120" t="s">
        <v>3619</v>
      </c>
      <c r="E686" s="120" t="s">
        <v>410</v>
      </c>
      <c r="F686" s="120" t="s">
        <v>10</v>
      </c>
      <c r="G686" s="120">
        <v>1</v>
      </c>
      <c r="H686">
        <v>0</v>
      </c>
      <c r="I686" s="120" t="s">
        <v>47</v>
      </c>
      <c r="J686">
        <v>1</v>
      </c>
      <c r="K686">
        <v>0</v>
      </c>
      <c r="L686">
        <v>0</v>
      </c>
      <c r="M686">
        <v>0</v>
      </c>
      <c r="N686">
        <v>0</v>
      </c>
    </row>
    <row r="687" spans="1:14" hidden="1" x14ac:dyDescent="0.25">
      <c r="A687" s="120" t="s">
        <v>3591</v>
      </c>
      <c r="B687" s="120" t="s">
        <v>3701</v>
      </c>
      <c r="C687" s="120" t="s">
        <v>301</v>
      </c>
      <c r="D687" s="120" t="s">
        <v>3706</v>
      </c>
      <c r="E687" s="120" t="s">
        <v>1846</v>
      </c>
      <c r="F687" s="120" t="s">
        <v>14</v>
      </c>
      <c r="G687" s="120">
        <v>2</v>
      </c>
      <c r="H687">
        <v>0</v>
      </c>
      <c r="I687" s="120" t="s">
        <v>47</v>
      </c>
      <c r="J687">
        <v>2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 s="120" t="s">
        <v>3758</v>
      </c>
      <c r="B688" s="120" t="s">
        <v>3759</v>
      </c>
      <c r="C688" s="120" t="s">
        <v>301</v>
      </c>
      <c r="D688" s="120" t="s">
        <v>3706</v>
      </c>
      <c r="E688" s="120" t="s">
        <v>1846</v>
      </c>
      <c r="F688" s="120" t="s">
        <v>14</v>
      </c>
      <c r="G688" s="120">
        <v>19</v>
      </c>
      <c r="H688">
        <v>0</v>
      </c>
      <c r="I688" s="120" t="s">
        <v>11</v>
      </c>
      <c r="J688">
        <v>19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 s="120" t="s">
        <v>3758</v>
      </c>
      <c r="B689" s="120" t="s">
        <v>3759</v>
      </c>
      <c r="C689" s="120" t="s">
        <v>301</v>
      </c>
      <c r="D689" s="120" t="s">
        <v>3712</v>
      </c>
      <c r="E689" s="120" t="s">
        <v>1788</v>
      </c>
      <c r="F689" s="120" t="s">
        <v>3449</v>
      </c>
      <c r="G689" s="120">
        <v>40</v>
      </c>
      <c r="H689">
        <v>0</v>
      </c>
      <c r="I689" s="120" t="s">
        <v>11</v>
      </c>
      <c r="J689">
        <v>40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 s="120" t="s">
        <v>3758</v>
      </c>
      <c r="B690" s="120" t="s">
        <v>3759</v>
      </c>
      <c r="C690" s="120" t="s">
        <v>301</v>
      </c>
      <c r="D690" s="120" t="s">
        <v>3731</v>
      </c>
      <c r="E690" s="120" t="s">
        <v>1802</v>
      </c>
      <c r="F690" s="120" t="s">
        <v>10</v>
      </c>
      <c r="G690" s="120">
        <v>20</v>
      </c>
      <c r="H690">
        <v>0</v>
      </c>
      <c r="I690" s="120" t="s">
        <v>11</v>
      </c>
      <c r="J690">
        <v>20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 s="120" t="s">
        <v>3758</v>
      </c>
      <c r="B691" s="120" t="s">
        <v>3759</v>
      </c>
      <c r="C691" s="120" t="s">
        <v>301</v>
      </c>
      <c r="D691" s="120" t="s">
        <v>3732</v>
      </c>
      <c r="E691" s="120" t="s">
        <v>2446</v>
      </c>
      <c r="F691" s="120" t="s">
        <v>14</v>
      </c>
      <c r="G691" s="120">
        <v>24</v>
      </c>
      <c r="H691">
        <v>0</v>
      </c>
      <c r="I691" s="120" t="s">
        <v>11</v>
      </c>
      <c r="J691">
        <v>24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 s="120" t="s">
        <v>3758</v>
      </c>
      <c r="B692" s="120" t="s">
        <v>3759</v>
      </c>
      <c r="C692" s="120" t="s">
        <v>301</v>
      </c>
      <c r="D692" s="120" t="s">
        <v>3695</v>
      </c>
      <c r="E692" s="120" t="s">
        <v>1787</v>
      </c>
      <c r="F692" s="120" t="s">
        <v>14</v>
      </c>
      <c r="G692" s="120">
        <v>210</v>
      </c>
      <c r="H692">
        <v>0</v>
      </c>
      <c r="I692" s="120" t="s">
        <v>11</v>
      </c>
      <c r="J692">
        <v>210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 s="120" t="s">
        <v>3758</v>
      </c>
      <c r="B693" s="120" t="s">
        <v>3759</v>
      </c>
      <c r="C693" s="120" t="s">
        <v>301</v>
      </c>
      <c r="D693" s="120" t="s">
        <v>3668</v>
      </c>
      <c r="E693" s="120" t="s">
        <v>484</v>
      </c>
      <c r="F693" s="120" t="s">
        <v>14</v>
      </c>
      <c r="G693" s="120">
        <v>15</v>
      </c>
      <c r="H693">
        <v>0</v>
      </c>
      <c r="I693" s="120" t="s">
        <v>11</v>
      </c>
      <c r="J693">
        <v>15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 s="120" t="s">
        <v>3758</v>
      </c>
      <c r="B694" s="120" t="s">
        <v>3759</v>
      </c>
      <c r="C694" s="120" t="s">
        <v>301</v>
      </c>
      <c r="D694" s="120" t="s">
        <v>3606</v>
      </c>
      <c r="E694" s="120" t="s">
        <v>397</v>
      </c>
      <c r="F694" s="120" t="s">
        <v>14</v>
      </c>
      <c r="G694" s="120">
        <v>8</v>
      </c>
      <c r="H694">
        <v>0</v>
      </c>
      <c r="I694" s="120" t="s">
        <v>11</v>
      </c>
      <c r="J694">
        <v>8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 s="120" t="s">
        <v>3758</v>
      </c>
      <c r="B695" s="120" t="s">
        <v>3759</v>
      </c>
      <c r="C695" s="120" t="s">
        <v>301</v>
      </c>
      <c r="D695" s="120" t="s">
        <v>3659</v>
      </c>
      <c r="E695" s="120" t="s">
        <v>472</v>
      </c>
      <c r="F695" s="120" t="s">
        <v>10</v>
      </c>
      <c r="G695" s="120">
        <v>3</v>
      </c>
      <c r="H695">
        <v>0</v>
      </c>
      <c r="I695" s="120" t="s">
        <v>11</v>
      </c>
      <c r="J695">
        <v>3</v>
      </c>
      <c r="K695">
        <v>0</v>
      </c>
      <c r="L695">
        <v>0</v>
      </c>
      <c r="M695">
        <v>0</v>
      </c>
      <c r="N695">
        <v>0</v>
      </c>
    </row>
    <row r="696" spans="1:14" hidden="1" x14ac:dyDescent="0.25">
      <c r="A696" s="120" t="s">
        <v>3463</v>
      </c>
      <c r="B696" s="120" t="s">
        <v>3510</v>
      </c>
      <c r="C696" s="120" t="s">
        <v>301</v>
      </c>
      <c r="D696" s="120" t="s">
        <v>722</v>
      </c>
      <c r="E696" s="120" t="s">
        <v>33</v>
      </c>
      <c r="F696" s="120" t="s">
        <v>14</v>
      </c>
      <c r="G696" s="120">
        <v>7</v>
      </c>
      <c r="H696">
        <v>7</v>
      </c>
      <c r="I696" s="120" t="s">
        <v>11</v>
      </c>
      <c r="J696">
        <v>0</v>
      </c>
      <c r="K696">
        <v>1</v>
      </c>
      <c r="L696" s="121">
        <v>95</v>
      </c>
      <c r="M696" s="121">
        <v>665</v>
      </c>
      <c r="N696" s="121">
        <v>665</v>
      </c>
    </row>
    <row r="697" spans="1:14" x14ac:dyDescent="0.25">
      <c r="A697" s="120" t="s">
        <v>3758</v>
      </c>
      <c r="B697" s="120" t="s">
        <v>3759</v>
      </c>
      <c r="C697" s="120" t="s">
        <v>301</v>
      </c>
      <c r="D697" s="120" t="s">
        <v>1149</v>
      </c>
      <c r="E697" s="120" t="s">
        <v>41</v>
      </c>
      <c r="F697" s="120" t="s">
        <v>10</v>
      </c>
      <c r="G697" s="120">
        <v>26</v>
      </c>
      <c r="H697">
        <v>27</v>
      </c>
      <c r="I697" s="120" t="s">
        <v>11</v>
      </c>
      <c r="J697">
        <v>-1</v>
      </c>
      <c r="K697">
        <v>0</v>
      </c>
      <c r="L697">
        <v>20</v>
      </c>
      <c r="M697">
        <v>520</v>
      </c>
      <c r="N697">
        <v>540</v>
      </c>
    </row>
    <row r="698" spans="1:14" x14ac:dyDescent="0.25">
      <c r="A698" s="120" t="s">
        <v>3758</v>
      </c>
      <c r="B698" s="120" t="s">
        <v>3759</v>
      </c>
      <c r="C698" s="120" t="s">
        <v>301</v>
      </c>
      <c r="D698" s="120" t="s">
        <v>3475</v>
      </c>
      <c r="E698" s="120" t="s">
        <v>37</v>
      </c>
      <c r="F698" s="120" t="s">
        <v>14</v>
      </c>
      <c r="G698" s="120">
        <v>35</v>
      </c>
      <c r="H698">
        <v>0</v>
      </c>
      <c r="I698" s="120" t="s">
        <v>11</v>
      </c>
      <c r="J698">
        <v>35</v>
      </c>
      <c r="K698">
        <v>0</v>
      </c>
      <c r="L698">
        <v>0</v>
      </c>
      <c r="M698">
        <v>0</v>
      </c>
      <c r="N698">
        <v>0</v>
      </c>
    </row>
    <row r="699" spans="1:14" hidden="1" x14ac:dyDescent="0.25">
      <c r="A699" s="120" t="s">
        <v>3463</v>
      </c>
      <c r="B699" s="120" t="s">
        <v>3510</v>
      </c>
      <c r="C699" s="120" t="s">
        <v>301</v>
      </c>
      <c r="D699" s="120" t="s">
        <v>749</v>
      </c>
      <c r="E699" s="120" t="s">
        <v>147</v>
      </c>
      <c r="F699" s="120" t="s">
        <v>10</v>
      </c>
      <c r="G699" s="120">
        <v>5</v>
      </c>
      <c r="H699">
        <v>5</v>
      </c>
      <c r="I699" s="120" t="s">
        <v>11</v>
      </c>
      <c r="J699">
        <v>0</v>
      </c>
      <c r="K699">
        <v>1</v>
      </c>
      <c r="L699" s="121">
        <v>40</v>
      </c>
      <c r="M699" s="121">
        <v>200</v>
      </c>
      <c r="N699" s="121">
        <v>200</v>
      </c>
    </row>
    <row r="700" spans="1:14" x14ac:dyDescent="0.25">
      <c r="A700" s="120" t="s">
        <v>3758</v>
      </c>
      <c r="B700" s="120" t="s">
        <v>3759</v>
      </c>
      <c r="C700" s="120" t="s">
        <v>301</v>
      </c>
      <c r="D700" s="120" t="s">
        <v>3708</v>
      </c>
      <c r="E700" s="120" t="s">
        <v>2983</v>
      </c>
      <c r="F700" s="120" t="s">
        <v>10</v>
      </c>
      <c r="G700" s="120">
        <v>7</v>
      </c>
      <c r="H700">
        <v>0</v>
      </c>
      <c r="I700" s="120" t="s">
        <v>11</v>
      </c>
      <c r="J700">
        <v>7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 s="120" t="s">
        <v>3758</v>
      </c>
      <c r="B701" s="120" t="s">
        <v>3759</v>
      </c>
      <c r="C701" s="120" t="s">
        <v>301</v>
      </c>
      <c r="D701" s="120" t="s">
        <v>3649</v>
      </c>
      <c r="E701" s="120" t="s">
        <v>458</v>
      </c>
      <c r="F701" s="120" t="s">
        <v>14</v>
      </c>
      <c r="G701" s="120">
        <v>1</v>
      </c>
      <c r="H701">
        <v>0</v>
      </c>
      <c r="I701" s="120" t="s">
        <v>11</v>
      </c>
      <c r="J701">
        <v>1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 s="120" t="s">
        <v>3758</v>
      </c>
      <c r="B702" s="120" t="s">
        <v>3759</v>
      </c>
      <c r="C702" s="120" t="s">
        <v>301</v>
      </c>
      <c r="D702" s="120" t="s">
        <v>1186</v>
      </c>
      <c r="E702" s="120" t="s">
        <v>160</v>
      </c>
      <c r="F702" s="120" t="s">
        <v>10</v>
      </c>
      <c r="G702" s="120">
        <v>49</v>
      </c>
      <c r="H702">
        <v>47</v>
      </c>
      <c r="I702" s="120" t="s">
        <v>11</v>
      </c>
      <c r="J702">
        <v>2</v>
      </c>
      <c r="K702">
        <v>0</v>
      </c>
      <c r="L702">
        <v>14.8</v>
      </c>
      <c r="M702">
        <v>725.2</v>
      </c>
      <c r="N702">
        <v>695.6</v>
      </c>
    </row>
    <row r="703" spans="1:14" x14ac:dyDescent="0.25">
      <c r="A703" s="120" t="s">
        <v>3758</v>
      </c>
      <c r="B703" s="120" t="s">
        <v>3759</v>
      </c>
      <c r="C703" s="120" t="s">
        <v>301</v>
      </c>
      <c r="D703" s="120" t="s">
        <v>623</v>
      </c>
      <c r="E703" s="120" t="s">
        <v>21</v>
      </c>
      <c r="F703" s="120" t="s">
        <v>18</v>
      </c>
      <c r="G703" s="120">
        <v>22</v>
      </c>
      <c r="H703">
        <v>21</v>
      </c>
      <c r="I703" s="120" t="s">
        <v>11</v>
      </c>
      <c r="J703">
        <v>1</v>
      </c>
      <c r="K703">
        <v>0</v>
      </c>
      <c r="L703">
        <v>13</v>
      </c>
      <c r="M703">
        <v>286</v>
      </c>
      <c r="N703">
        <v>273</v>
      </c>
    </row>
    <row r="704" spans="1:14" x14ac:dyDescent="0.25">
      <c r="A704" s="120" t="s">
        <v>3758</v>
      </c>
      <c r="B704" s="120" t="s">
        <v>3759</v>
      </c>
      <c r="C704" s="120" t="s">
        <v>301</v>
      </c>
      <c r="D704" s="120" t="s">
        <v>750</v>
      </c>
      <c r="E704" s="120" t="s">
        <v>148</v>
      </c>
      <c r="F704" s="120" t="s">
        <v>14</v>
      </c>
      <c r="G704" s="120">
        <v>22</v>
      </c>
      <c r="H704">
        <v>17</v>
      </c>
      <c r="I704" s="120" t="s">
        <v>11</v>
      </c>
      <c r="J704">
        <v>5</v>
      </c>
      <c r="K704">
        <v>0</v>
      </c>
      <c r="L704">
        <v>16</v>
      </c>
      <c r="M704">
        <v>352</v>
      </c>
      <c r="N704">
        <v>272</v>
      </c>
    </row>
    <row r="705" spans="1:14" x14ac:dyDescent="0.25">
      <c r="A705" s="120" t="s">
        <v>3758</v>
      </c>
      <c r="B705" s="120" t="s">
        <v>3759</v>
      </c>
      <c r="C705" s="120" t="s">
        <v>301</v>
      </c>
      <c r="D705" s="120" t="s">
        <v>3648</v>
      </c>
      <c r="E705" s="120" t="s">
        <v>456</v>
      </c>
      <c r="F705" s="120" t="s">
        <v>14</v>
      </c>
      <c r="G705" s="120">
        <v>35</v>
      </c>
      <c r="H705">
        <v>0</v>
      </c>
      <c r="I705" s="120" t="s">
        <v>11</v>
      </c>
      <c r="J705">
        <v>35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 s="120" t="s">
        <v>3758</v>
      </c>
      <c r="B706" s="120" t="s">
        <v>3759</v>
      </c>
      <c r="C706" s="120" t="s">
        <v>301</v>
      </c>
      <c r="D706" s="120" t="s">
        <v>3638</v>
      </c>
      <c r="E706" s="120" t="s">
        <v>442</v>
      </c>
      <c r="F706" s="120" t="s">
        <v>14</v>
      </c>
      <c r="G706" s="120">
        <v>16</v>
      </c>
      <c r="H706">
        <v>0</v>
      </c>
      <c r="I706" s="120" t="s">
        <v>11</v>
      </c>
      <c r="J706">
        <v>16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 s="120" t="s">
        <v>3758</v>
      </c>
      <c r="B707" s="120" t="s">
        <v>3759</v>
      </c>
      <c r="C707" s="120" t="s">
        <v>301</v>
      </c>
      <c r="D707" s="120" t="s">
        <v>3530</v>
      </c>
      <c r="E707" s="120" t="s">
        <v>205</v>
      </c>
      <c r="F707" s="120" t="s">
        <v>14</v>
      </c>
      <c r="G707" s="120">
        <v>3</v>
      </c>
      <c r="H707">
        <v>0</v>
      </c>
      <c r="I707" s="120" t="s">
        <v>47</v>
      </c>
      <c r="J707">
        <v>3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 s="120" t="s">
        <v>3758</v>
      </c>
      <c r="B708" s="120" t="s">
        <v>3759</v>
      </c>
      <c r="C708" s="120" t="s">
        <v>301</v>
      </c>
      <c r="D708" s="120" t="s">
        <v>3518</v>
      </c>
      <c r="E708" s="120" t="s">
        <v>161</v>
      </c>
      <c r="F708" s="120" t="s">
        <v>18</v>
      </c>
      <c r="G708" s="120">
        <v>40</v>
      </c>
      <c r="H708">
        <v>0</v>
      </c>
      <c r="I708" s="120" t="s">
        <v>47</v>
      </c>
      <c r="J708">
        <v>40</v>
      </c>
      <c r="K708">
        <v>0</v>
      </c>
      <c r="L708">
        <v>0</v>
      </c>
      <c r="M708">
        <v>0</v>
      </c>
      <c r="N708">
        <v>0</v>
      </c>
    </row>
    <row r="709" spans="1:14" hidden="1" x14ac:dyDescent="0.25">
      <c r="A709" s="120" t="s">
        <v>3463</v>
      </c>
      <c r="B709" s="120" t="s">
        <v>3510</v>
      </c>
      <c r="C709" s="120" t="s">
        <v>301</v>
      </c>
      <c r="D709" s="120" t="s">
        <v>750</v>
      </c>
      <c r="E709" s="120" t="s">
        <v>148</v>
      </c>
      <c r="F709" s="120" t="s">
        <v>14</v>
      </c>
      <c r="G709" s="120">
        <v>3</v>
      </c>
      <c r="H709">
        <v>3</v>
      </c>
      <c r="I709" s="120" t="s">
        <v>47</v>
      </c>
      <c r="J709">
        <v>0</v>
      </c>
      <c r="K709">
        <v>1</v>
      </c>
      <c r="L709" s="121">
        <v>16</v>
      </c>
      <c r="M709" s="121">
        <v>48</v>
      </c>
      <c r="N709" s="121">
        <v>48</v>
      </c>
    </row>
    <row r="710" spans="1:14" x14ac:dyDescent="0.25">
      <c r="A710" s="120" t="s">
        <v>3758</v>
      </c>
      <c r="B710" s="120" t="s">
        <v>3759</v>
      </c>
      <c r="C710" s="120" t="s">
        <v>301</v>
      </c>
      <c r="D710" s="120" t="s">
        <v>621</v>
      </c>
      <c r="E710" s="120" t="s">
        <v>133</v>
      </c>
      <c r="F710" s="120" t="s">
        <v>18</v>
      </c>
      <c r="G710" s="120">
        <v>20</v>
      </c>
      <c r="H710">
        <v>23</v>
      </c>
      <c r="I710" s="120" t="s">
        <v>47</v>
      </c>
      <c r="J710">
        <v>-3</v>
      </c>
      <c r="K710">
        <v>0</v>
      </c>
      <c r="L710">
        <v>11</v>
      </c>
      <c r="M710">
        <v>220</v>
      </c>
      <c r="N710">
        <v>253</v>
      </c>
    </row>
    <row r="711" spans="1:14" hidden="1" x14ac:dyDescent="0.25">
      <c r="A711" s="120" t="s">
        <v>3463</v>
      </c>
      <c r="B711" s="120" t="s">
        <v>3510</v>
      </c>
      <c r="C711" s="120" t="s">
        <v>301</v>
      </c>
      <c r="D711" s="120" t="s">
        <v>1116</v>
      </c>
      <c r="E711" s="120" t="s">
        <v>152</v>
      </c>
      <c r="F711" s="120" t="s">
        <v>14</v>
      </c>
      <c r="G711" s="120">
        <v>1</v>
      </c>
      <c r="H711">
        <v>1</v>
      </c>
      <c r="I711" s="120" t="s">
        <v>57</v>
      </c>
      <c r="J711">
        <v>0</v>
      </c>
      <c r="K711">
        <v>1</v>
      </c>
      <c r="L711" s="121">
        <v>227.3</v>
      </c>
      <c r="M711" s="121">
        <v>227.3</v>
      </c>
      <c r="N711" s="121">
        <v>227.3</v>
      </c>
    </row>
    <row r="712" spans="1:14" x14ac:dyDescent="0.25">
      <c r="A712" s="120" t="s">
        <v>3758</v>
      </c>
      <c r="B712" s="120" t="s">
        <v>3759</v>
      </c>
      <c r="C712" s="120" t="s">
        <v>301</v>
      </c>
      <c r="D712" s="120" t="s">
        <v>3755</v>
      </c>
      <c r="E712" s="120" t="s">
        <v>2989</v>
      </c>
      <c r="F712" s="120" t="s">
        <v>14</v>
      </c>
      <c r="G712" s="120">
        <v>28</v>
      </c>
      <c r="H712">
        <v>0</v>
      </c>
      <c r="I712" s="120" t="s">
        <v>47</v>
      </c>
      <c r="J712">
        <v>28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 s="120" t="s">
        <v>3758</v>
      </c>
      <c r="B713" s="120" t="s">
        <v>3759</v>
      </c>
      <c r="C713" s="120" t="s">
        <v>301</v>
      </c>
      <c r="D713" s="120" t="s">
        <v>3672</v>
      </c>
      <c r="E713" s="120" t="s">
        <v>489</v>
      </c>
      <c r="F713" s="120" t="s">
        <v>14</v>
      </c>
      <c r="G713" s="120">
        <v>22</v>
      </c>
      <c r="H713">
        <v>0</v>
      </c>
      <c r="I713" s="120" t="s">
        <v>47</v>
      </c>
      <c r="J713">
        <v>22</v>
      </c>
      <c r="K713">
        <v>0</v>
      </c>
      <c r="L713">
        <v>0</v>
      </c>
      <c r="M713">
        <v>0</v>
      </c>
      <c r="N713">
        <v>0</v>
      </c>
    </row>
    <row r="714" spans="1:14" hidden="1" x14ac:dyDescent="0.25">
      <c r="A714" s="120" t="s">
        <v>3463</v>
      </c>
      <c r="B714" s="120" t="s">
        <v>3510</v>
      </c>
      <c r="C714" s="120" t="s">
        <v>301</v>
      </c>
      <c r="D714" s="120" t="s">
        <v>1129</v>
      </c>
      <c r="E714" s="120" t="s">
        <v>154</v>
      </c>
      <c r="F714" s="120" t="s">
        <v>14</v>
      </c>
      <c r="G714" s="120">
        <v>1</v>
      </c>
      <c r="H714">
        <v>1</v>
      </c>
      <c r="I714" s="120" t="s">
        <v>57</v>
      </c>
      <c r="J714">
        <v>0</v>
      </c>
      <c r="K714">
        <v>1</v>
      </c>
      <c r="L714" s="121">
        <v>13.6</v>
      </c>
      <c r="M714" s="121">
        <v>13.6</v>
      </c>
      <c r="N714" s="121">
        <v>13.6</v>
      </c>
    </row>
    <row r="715" spans="1:14" hidden="1" x14ac:dyDescent="0.25">
      <c r="A715" s="120" t="s">
        <v>3463</v>
      </c>
      <c r="B715" s="120" t="s">
        <v>3510</v>
      </c>
      <c r="C715" s="120" t="s">
        <v>301</v>
      </c>
      <c r="D715" s="120" t="s">
        <v>1133</v>
      </c>
      <c r="E715" s="120" t="s">
        <v>155</v>
      </c>
      <c r="F715" s="120" t="s">
        <v>14</v>
      </c>
      <c r="G715" s="120">
        <v>1</v>
      </c>
      <c r="H715">
        <v>1</v>
      </c>
      <c r="I715" s="120" t="s">
        <v>57</v>
      </c>
      <c r="J715">
        <v>0</v>
      </c>
      <c r="K715">
        <v>1</v>
      </c>
      <c r="L715" s="121">
        <v>69</v>
      </c>
      <c r="M715" s="121">
        <v>69</v>
      </c>
      <c r="N715" s="121">
        <v>69</v>
      </c>
    </row>
    <row r="716" spans="1:14" x14ac:dyDescent="0.25">
      <c r="A716" s="120" t="s">
        <v>3758</v>
      </c>
      <c r="B716" s="120" t="s">
        <v>3759</v>
      </c>
      <c r="C716" s="120" t="s">
        <v>301</v>
      </c>
      <c r="D716" s="120" t="s">
        <v>3669</v>
      </c>
      <c r="E716" s="120" t="s">
        <v>486</v>
      </c>
      <c r="F716" s="120" t="s">
        <v>18</v>
      </c>
      <c r="G716" s="120">
        <v>13</v>
      </c>
      <c r="H716">
        <v>0</v>
      </c>
      <c r="I716" s="120" t="s">
        <v>47</v>
      </c>
      <c r="J716">
        <v>13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 s="120" t="s">
        <v>3758</v>
      </c>
      <c r="B717" s="120" t="s">
        <v>3759</v>
      </c>
      <c r="C717" s="120" t="s">
        <v>301</v>
      </c>
      <c r="D717" s="120" t="s">
        <v>3481</v>
      </c>
      <c r="E717" s="120" t="s">
        <v>55</v>
      </c>
      <c r="F717" s="120" t="s">
        <v>18</v>
      </c>
      <c r="G717" s="120">
        <v>24</v>
      </c>
      <c r="H717">
        <v>0</v>
      </c>
      <c r="I717" s="120" t="s">
        <v>47</v>
      </c>
      <c r="J717">
        <v>24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 s="120" t="s">
        <v>3758</v>
      </c>
      <c r="B718" s="120" t="s">
        <v>3759</v>
      </c>
      <c r="C718" s="120" t="s">
        <v>301</v>
      </c>
      <c r="D718" s="120" t="s">
        <v>3623</v>
      </c>
      <c r="E718" s="120" t="s">
        <v>418</v>
      </c>
      <c r="F718" s="120" t="s">
        <v>18</v>
      </c>
      <c r="G718" s="120">
        <v>17</v>
      </c>
      <c r="H718">
        <v>0</v>
      </c>
      <c r="I718" s="120" t="s">
        <v>47</v>
      </c>
      <c r="J718">
        <v>17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 s="120" t="s">
        <v>3758</v>
      </c>
      <c r="B719" s="120" t="s">
        <v>3759</v>
      </c>
      <c r="C719" s="120" t="s">
        <v>301</v>
      </c>
      <c r="D719" s="120" t="s">
        <v>3622</v>
      </c>
      <c r="E719" s="120" t="s">
        <v>417</v>
      </c>
      <c r="F719" s="120" t="s">
        <v>10</v>
      </c>
      <c r="G719" s="120">
        <v>23</v>
      </c>
      <c r="H719">
        <v>0</v>
      </c>
      <c r="I719" s="120" t="s">
        <v>47</v>
      </c>
      <c r="J719">
        <v>23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 s="120" t="s">
        <v>3758</v>
      </c>
      <c r="B720" s="120" t="s">
        <v>3759</v>
      </c>
      <c r="C720" s="120" t="s">
        <v>301</v>
      </c>
      <c r="D720" s="120" t="s">
        <v>1777</v>
      </c>
      <c r="E720" s="120" t="s">
        <v>497</v>
      </c>
      <c r="F720" s="120" t="s">
        <v>10</v>
      </c>
      <c r="G720" s="120">
        <v>4</v>
      </c>
      <c r="H720">
        <v>5</v>
      </c>
      <c r="I720" s="120" t="s">
        <v>47</v>
      </c>
      <c r="J720">
        <v>-1</v>
      </c>
      <c r="K720">
        <v>0</v>
      </c>
      <c r="L720">
        <v>200</v>
      </c>
      <c r="M720">
        <v>800</v>
      </c>
      <c r="N720">
        <v>1000</v>
      </c>
    </row>
    <row r="721" spans="1:14" hidden="1" x14ac:dyDescent="0.25">
      <c r="A721" s="120" t="s">
        <v>3463</v>
      </c>
      <c r="B721" s="120" t="s">
        <v>3816</v>
      </c>
      <c r="C721" s="120" t="s">
        <v>301</v>
      </c>
      <c r="D721" s="120" t="s">
        <v>3478</v>
      </c>
      <c r="E721" s="120" t="s">
        <v>48</v>
      </c>
      <c r="F721" s="120" t="s">
        <v>10</v>
      </c>
      <c r="G721" s="120">
        <v>0</v>
      </c>
      <c r="H721">
        <v>0</v>
      </c>
      <c r="I721" s="120" t="s">
        <v>11</v>
      </c>
      <c r="J721">
        <v>0</v>
      </c>
      <c r="K721">
        <v>1</v>
      </c>
      <c r="L721" s="121">
        <v>0</v>
      </c>
      <c r="M721" s="121">
        <v>0</v>
      </c>
      <c r="N721" s="121">
        <v>0</v>
      </c>
    </row>
    <row r="722" spans="1:14" x14ac:dyDescent="0.25">
      <c r="A722" s="120" t="s">
        <v>3758</v>
      </c>
      <c r="B722" s="120" t="s">
        <v>3759</v>
      </c>
      <c r="C722" s="120" t="s">
        <v>301</v>
      </c>
      <c r="D722" s="120" t="s">
        <v>3674</v>
      </c>
      <c r="E722" s="120" t="s">
        <v>491</v>
      </c>
      <c r="F722" s="120" t="s">
        <v>10</v>
      </c>
      <c r="G722" s="120">
        <v>5</v>
      </c>
      <c r="H722">
        <v>0</v>
      </c>
      <c r="I722" s="120" t="s">
        <v>47</v>
      </c>
      <c r="J722">
        <v>5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 s="120" t="s">
        <v>3758</v>
      </c>
      <c r="B723" s="120" t="s">
        <v>3759</v>
      </c>
      <c r="C723" s="120" t="s">
        <v>301</v>
      </c>
      <c r="D723" s="120" t="s">
        <v>3627</v>
      </c>
      <c r="E723" s="120" t="s">
        <v>421</v>
      </c>
      <c r="F723" s="120" t="s">
        <v>18</v>
      </c>
      <c r="G723" s="120">
        <v>26</v>
      </c>
      <c r="H723">
        <v>0</v>
      </c>
      <c r="I723" s="120" t="s">
        <v>47</v>
      </c>
      <c r="J723">
        <v>26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s="120" t="s">
        <v>3758</v>
      </c>
      <c r="B724" s="120" t="s">
        <v>3759</v>
      </c>
      <c r="C724" s="120" t="s">
        <v>301</v>
      </c>
      <c r="D724" s="120" t="s">
        <v>721</v>
      </c>
      <c r="E724" s="120" t="s">
        <v>143</v>
      </c>
      <c r="F724" s="120" t="s">
        <v>18</v>
      </c>
      <c r="G724" s="120">
        <v>45</v>
      </c>
      <c r="H724">
        <v>43</v>
      </c>
      <c r="I724" s="120" t="s">
        <v>47</v>
      </c>
      <c r="J724">
        <v>2</v>
      </c>
      <c r="K724">
        <v>0</v>
      </c>
      <c r="L724">
        <v>60</v>
      </c>
      <c r="M724">
        <v>2700</v>
      </c>
      <c r="N724">
        <v>2580</v>
      </c>
    </row>
    <row r="725" spans="1:14" x14ac:dyDescent="0.25">
      <c r="A725" s="120" t="s">
        <v>3758</v>
      </c>
      <c r="B725" s="120" t="s">
        <v>3759</v>
      </c>
      <c r="C725" s="120" t="s">
        <v>301</v>
      </c>
      <c r="D725" s="120" t="s">
        <v>3619</v>
      </c>
      <c r="E725" s="120" t="s">
        <v>410</v>
      </c>
      <c r="F725" s="120" t="s">
        <v>10</v>
      </c>
      <c r="G725" s="120">
        <v>32</v>
      </c>
      <c r="H725">
        <v>0</v>
      </c>
      <c r="I725" s="120" t="s">
        <v>47</v>
      </c>
      <c r="J725">
        <v>32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 s="120" t="s">
        <v>3758</v>
      </c>
      <c r="B726" s="120" t="s">
        <v>3759</v>
      </c>
      <c r="C726" s="120" t="s">
        <v>301</v>
      </c>
      <c r="D726" s="120" t="s">
        <v>3617</v>
      </c>
      <c r="E726" s="120" t="s">
        <v>408</v>
      </c>
      <c r="F726" s="120" t="s">
        <v>10</v>
      </c>
      <c r="G726" s="120">
        <v>31</v>
      </c>
      <c r="H726">
        <v>0</v>
      </c>
      <c r="I726" s="120" t="s">
        <v>47</v>
      </c>
      <c r="J726">
        <v>31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 s="120" t="s">
        <v>3758</v>
      </c>
      <c r="B727" s="120" t="s">
        <v>3759</v>
      </c>
      <c r="C727" s="120" t="s">
        <v>301</v>
      </c>
      <c r="D727" s="120" t="s">
        <v>3618</v>
      </c>
      <c r="E727" s="120" t="s">
        <v>409</v>
      </c>
      <c r="F727" s="120" t="s">
        <v>10</v>
      </c>
      <c r="G727" s="120">
        <v>32</v>
      </c>
      <c r="H727">
        <v>0</v>
      </c>
      <c r="I727" s="120" t="s">
        <v>47</v>
      </c>
      <c r="J727">
        <v>32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 s="120" t="s">
        <v>3758</v>
      </c>
      <c r="B728" s="120" t="s">
        <v>3759</v>
      </c>
      <c r="C728" s="120" t="s">
        <v>301</v>
      </c>
      <c r="D728" s="120" t="s">
        <v>3621</v>
      </c>
      <c r="E728" s="120" t="s">
        <v>416</v>
      </c>
      <c r="F728" s="120" t="s">
        <v>10</v>
      </c>
      <c r="G728" s="120">
        <v>28</v>
      </c>
      <c r="H728">
        <v>0</v>
      </c>
      <c r="I728" s="120" t="s">
        <v>47</v>
      </c>
      <c r="J728">
        <v>28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 s="120" t="s">
        <v>3758</v>
      </c>
      <c r="B729" s="120" t="s">
        <v>3759</v>
      </c>
      <c r="C729" s="120" t="s">
        <v>301</v>
      </c>
      <c r="D729" s="120" t="s">
        <v>3628</v>
      </c>
      <c r="E729" s="120" t="s">
        <v>422</v>
      </c>
      <c r="F729" s="120" t="s">
        <v>10</v>
      </c>
      <c r="G729" s="120">
        <v>29</v>
      </c>
      <c r="H729">
        <v>0</v>
      </c>
      <c r="I729" s="120" t="s">
        <v>47</v>
      </c>
      <c r="J729">
        <v>29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 s="120" t="s">
        <v>3758</v>
      </c>
      <c r="B730" s="120" t="s">
        <v>3759</v>
      </c>
      <c r="C730" s="120" t="s">
        <v>301</v>
      </c>
      <c r="D730" s="120" t="s">
        <v>3728</v>
      </c>
      <c r="E730" s="120" t="s">
        <v>1801</v>
      </c>
      <c r="F730" s="120" t="s">
        <v>18</v>
      </c>
      <c r="G730" s="120">
        <v>11</v>
      </c>
      <c r="H730">
        <v>0</v>
      </c>
      <c r="I730" s="120" t="s">
        <v>47</v>
      </c>
      <c r="J730">
        <v>11</v>
      </c>
      <c r="K730">
        <v>0</v>
      </c>
      <c r="L730">
        <v>0</v>
      </c>
      <c r="M730">
        <v>0</v>
      </c>
      <c r="N730">
        <v>0</v>
      </c>
    </row>
    <row r="731" spans="1:14" hidden="1" x14ac:dyDescent="0.25">
      <c r="A731" s="120" t="s">
        <v>3463</v>
      </c>
      <c r="B731" s="120" t="s">
        <v>3816</v>
      </c>
      <c r="C731" s="120" t="s">
        <v>301</v>
      </c>
      <c r="D731" s="120" t="s">
        <v>3480</v>
      </c>
      <c r="E731" s="120" t="s">
        <v>53</v>
      </c>
      <c r="F731" s="120" t="s">
        <v>14</v>
      </c>
      <c r="G731" s="120">
        <v>0</v>
      </c>
      <c r="H731">
        <v>0</v>
      </c>
      <c r="I731" s="120" t="s">
        <v>11</v>
      </c>
      <c r="J731">
        <v>0</v>
      </c>
      <c r="K731">
        <v>1</v>
      </c>
      <c r="L731" s="121">
        <v>0</v>
      </c>
      <c r="M731" s="121">
        <v>0</v>
      </c>
      <c r="N731" s="121">
        <v>0</v>
      </c>
    </row>
    <row r="732" spans="1:14" x14ac:dyDescent="0.25">
      <c r="A732" s="120" t="s">
        <v>3758</v>
      </c>
      <c r="B732" s="120" t="s">
        <v>3759</v>
      </c>
      <c r="C732" s="120" t="s">
        <v>301</v>
      </c>
      <c r="D732" s="120" t="s">
        <v>3650</v>
      </c>
      <c r="E732" s="120" t="s">
        <v>459</v>
      </c>
      <c r="F732" s="120" t="s">
        <v>14</v>
      </c>
      <c r="G732" s="120">
        <v>2</v>
      </c>
      <c r="H732">
        <v>0</v>
      </c>
      <c r="I732" s="120" t="s">
        <v>47</v>
      </c>
      <c r="J732">
        <v>2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 s="120" t="s">
        <v>3758</v>
      </c>
      <c r="B733" s="120" t="s">
        <v>3759</v>
      </c>
      <c r="C733" s="120" t="s">
        <v>301</v>
      </c>
      <c r="D733" s="120" t="s">
        <v>3654</v>
      </c>
      <c r="E733" s="120" t="s">
        <v>466</v>
      </c>
      <c r="F733" s="120" t="s">
        <v>467</v>
      </c>
      <c r="G733" s="120">
        <v>105</v>
      </c>
      <c r="H733">
        <v>0</v>
      </c>
      <c r="I733" s="120" t="s">
        <v>47</v>
      </c>
      <c r="J733">
        <v>105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 s="120" t="s">
        <v>3758</v>
      </c>
      <c r="B734" s="120" t="s">
        <v>3759</v>
      </c>
      <c r="C734" s="120" t="s">
        <v>301</v>
      </c>
      <c r="D734" s="120" t="s">
        <v>3741</v>
      </c>
      <c r="E734" s="120" t="s">
        <v>1811</v>
      </c>
      <c r="F734" s="120" t="s">
        <v>18</v>
      </c>
      <c r="G734" s="120">
        <v>15</v>
      </c>
      <c r="H734">
        <v>0</v>
      </c>
      <c r="I734" s="120" t="s">
        <v>47</v>
      </c>
      <c r="J734">
        <v>15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 s="120" t="s">
        <v>3758</v>
      </c>
      <c r="B735" s="120" t="s">
        <v>3759</v>
      </c>
      <c r="C735" s="120" t="s">
        <v>301</v>
      </c>
      <c r="D735" s="120" t="s">
        <v>3610</v>
      </c>
      <c r="E735" s="120" t="s">
        <v>401</v>
      </c>
      <c r="F735" s="120" t="s">
        <v>10</v>
      </c>
      <c r="G735" s="120">
        <v>21</v>
      </c>
      <c r="H735">
        <v>0</v>
      </c>
      <c r="I735" s="120" t="s">
        <v>47</v>
      </c>
      <c r="J735">
        <v>21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 s="120" t="s">
        <v>3758</v>
      </c>
      <c r="B736" s="120" t="s">
        <v>3759</v>
      </c>
      <c r="C736" s="120" t="s">
        <v>301</v>
      </c>
      <c r="D736" s="120" t="s">
        <v>3704</v>
      </c>
      <c r="E736" s="120" t="s">
        <v>2060</v>
      </c>
      <c r="F736" s="120" t="s">
        <v>10</v>
      </c>
      <c r="G736" s="120">
        <v>36</v>
      </c>
      <c r="H736">
        <v>0</v>
      </c>
      <c r="I736" s="120" t="s">
        <v>47</v>
      </c>
      <c r="J736">
        <v>36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 s="120" t="s">
        <v>3758</v>
      </c>
      <c r="B737" s="120" t="s">
        <v>3759</v>
      </c>
      <c r="C737" s="120" t="s">
        <v>301</v>
      </c>
      <c r="D737" s="120" t="s">
        <v>3613</v>
      </c>
      <c r="E737" s="120" t="s">
        <v>404</v>
      </c>
      <c r="F737" s="120" t="s">
        <v>10</v>
      </c>
      <c r="G737" s="120">
        <v>36</v>
      </c>
      <c r="H737">
        <v>0</v>
      </c>
      <c r="I737" s="120" t="s">
        <v>47</v>
      </c>
      <c r="J737">
        <v>36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 s="120" t="s">
        <v>3758</v>
      </c>
      <c r="B738" s="120" t="s">
        <v>3759</v>
      </c>
      <c r="C738" s="120" t="s">
        <v>301</v>
      </c>
      <c r="D738" s="120" t="s">
        <v>3614</v>
      </c>
      <c r="E738" s="120" t="s">
        <v>405</v>
      </c>
      <c r="F738" s="120" t="s">
        <v>10</v>
      </c>
      <c r="G738" s="120">
        <v>32</v>
      </c>
      <c r="H738">
        <v>0</v>
      </c>
      <c r="I738" s="120" t="s">
        <v>47</v>
      </c>
      <c r="J738">
        <v>32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 s="120" t="s">
        <v>3758</v>
      </c>
      <c r="B739" s="120" t="s">
        <v>3759</v>
      </c>
      <c r="C739" s="120" t="s">
        <v>301</v>
      </c>
      <c r="D739" s="120" t="s">
        <v>3615</v>
      </c>
      <c r="E739" s="120" t="s">
        <v>406</v>
      </c>
      <c r="F739" s="120" t="s">
        <v>10</v>
      </c>
      <c r="G739" s="120">
        <v>34</v>
      </c>
      <c r="H739">
        <v>0</v>
      </c>
      <c r="I739" s="120" t="s">
        <v>47</v>
      </c>
      <c r="J739">
        <v>34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 s="120" t="s">
        <v>3758</v>
      </c>
      <c r="B740" s="120" t="s">
        <v>3759</v>
      </c>
      <c r="C740" s="120" t="s">
        <v>301</v>
      </c>
      <c r="D740" s="120" t="s">
        <v>3616</v>
      </c>
      <c r="E740" s="120" t="s">
        <v>407</v>
      </c>
      <c r="F740" s="120" t="s">
        <v>10</v>
      </c>
      <c r="G740" s="120">
        <v>38</v>
      </c>
      <c r="H740">
        <v>0</v>
      </c>
      <c r="I740" s="120" t="s">
        <v>47</v>
      </c>
      <c r="J740">
        <v>38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 s="120" t="s">
        <v>3758</v>
      </c>
      <c r="B741" s="120" t="s">
        <v>3759</v>
      </c>
      <c r="C741" s="120" t="s">
        <v>301</v>
      </c>
      <c r="D741" s="120" t="s">
        <v>3611</v>
      </c>
      <c r="E741" s="120" t="s">
        <v>402</v>
      </c>
      <c r="F741" s="120" t="s">
        <v>10</v>
      </c>
      <c r="G741" s="120">
        <v>32</v>
      </c>
      <c r="H741">
        <v>0</v>
      </c>
      <c r="I741" s="120" t="s">
        <v>47</v>
      </c>
      <c r="J741">
        <v>32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 s="120" t="s">
        <v>3758</v>
      </c>
      <c r="B742" s="120" t="s">
        <v>3759</v>
      </c>
      <c r="C742" s="120" t="s">
        <v>301</v>
      </c>
      <c r="D742" s="120" t="s">
        <v>3717</v>
      </c>
      <c r="E742" s="120" t="s">
        <v>2047</v>
      </c>
      <c r="F742" s="120" t="s">
        <v>10</v>
      </c>
      <c r="G742" s="120">
        <v>14</v>
      </c>
      <c r="H742">
        <v>0</v>
      </c>
      <c r="I742" s="120" t="s">
        <v>47</v>
      </c>
      <c r="J742">
        <v>14</v>
      </c>
      <c r="K742">
        <v>0</v>
      </c>
      <c r="L742">
        <v>0</v>
      </c>
      <c r="M742">
        <v>0</v>
      </c>
      <c r="N742">
        <v>0</v>
      </c>
    </row>
    <row r="743" spans="1:14" hidden="1" x14ac:dyDescent="0.25">
      <c r="A743" s="120" t="s">
        <v>3463</v>
      </c>
      <c r="B743" s="120" t="s">
        <v>3816</v>
      </c>
      <c r="C743" s="120" t="s">
        <v>301</v>
      </c>
      <c r="D743" s="120" t="s">
        <v>3467</v>
      </c>
      <c r="E743" s="120" t="s">
        <v>23</v>
      </c>
      <c r="F743" s="120" t="s">
        <v>18</v>
      </c>
      <c r="G743" s="120">
        <v>0</v>
      </c>
      <c r="H743">
        <v>0</v>
      </c>
      <c r="I743" s="120" t="s">
        <v>47</v>
      </c>
      <c r="J743">
        <v>0</v>
      </c>
      <c r="K743">
        <v>1</v>
      </c>
      <c r="L743" s="121">
        <v>0</v>
      </c>
      <c r="M743" s="121">
        <v>0</v>
      </c>
      <c r="N743" s="121">
        <v>0</v>
      </c>
    </row>
    <row r="744" spans="1:14" hidden="1" x14ac:dyDescent="0.25">
      <c r="A744" s="120" t="s">
        <v>3463</v>
      </c>
      <c r="B744" s="120" t="s">
        <v>3816</v>
      </c>
      <c r="C744" s="120" t="s">
        <v>301</v>
      </c>
      <c r="D744" s="120" t="s">
        <v>3483</v>
      </c>
      <c r="E744" s="120" t="s">
        <v>64</v>
      </c>
      <c r="F744" s="120" t="s">
        <v>14</v>
      </c>
      <c r="G744" s="120">
        <v>0</v>
      </c>
      <c r="H744">
        <v>0</v>
      </c>
      <c r="I744" s="120" t="s">
        <v>11</v>
      </c>
      <c r="J744">
        <v>0</v>
      </c>
      <c r="K744">
        <v>1</v>
      </c>
      <c r="L744" s="121">
        <v>0</v>
      </c>
      <c r="M744" s="121">
        <v>0</v>
      </c>
      <c r="N744" s="121">
        <v>0</v>
      </c>
    </row>
    <row r="745" spans="1:14" x14ac:dyDescent="0.25">
      <c r="A745" s="120" t="s">
        <v>3758</v>
      </c>
      <c r="B745" s="120" t="s">
        <v>3759</v>
      </c>
      <c r="C745" s="120" t="s">
        <v>301</v>
      </c>
      <c r="D745" s="120" t="s">
        <v>722</v>
      </c>
      <c r="E745" s="120" t="s">
        <v>33</v>
      </c>
      <c r="F745" s="120" t="s">
        <v>14</v>
      </c>
      <c r="G745" s="120">
        <v>30</v>
      </c>
      <c r="H745">
        <v>27</v>
      </c>
      <c r="I745" s="120" t="s">
        <v>47</v>
      </c>
      <c r="J745">
        <v>3</v>
      </c>
      <c r="K745">
        <v>0</v>
      </c>
      <c r="L745">
        <v>95</v>
      </c>
      <c r="M745">
        <v>2850</v>
      </c>
      <c r="N745">
        <v>2565</v>
      </c>
    </row>
    <row r="746" spans="1:14" x14ac:dyDescent="0.25">
      <c r="A746" s="120" t="s">
        <v>3758</v>
      </c>
      <c r="B746" s="120" t="s">
        <v>3759</v>
      </c>
      <c r="C746" s="120" t="s">
        <v>301</v>
      </c>
      <c r="D746" s="120" t="s">
        <v>3471</v>
      </c>
      <c r="E746" s="120" t="s">
        <v>30</v>
      </c>
      <c r="F746" s="120" t="s">
        <v>10</v>
      </c>
      <c r="G746" s="120">
        <v>32</v>
      </c>
      <c r="H746">
        <v>0</v>
      </c>
      <c r="I746" s="120" t="s">
        <v>47</v>
      </c>
      <c r="J746">
        <v>32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 s="120" t="s">
        <v>3758</v>
      </c>
      <c r="B747" s="120" t="s">
        <v>3759</v>
      </c>
      <c r="C747" s="120" t="s">
        <v>301</v>
      </c>
      <c r="D747" s="120" t="s">
        <v>3483</v>
      </c>
      <c r="E747" s="120" t="s">
        <v>64</v>
      </c>
      <c r="F747" s="120" t="s">
        <v>14</v>
      </c>
      <c r="G747" s="120">
        <v>1</v>
      </c>
      <c r="H747">
        <v>0</v>
      </c>
      <c r="I747" s="120" t="s">
        <v>47</v>
      </c>
      <c r="J747">
        <v>1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 s="120" t="s">
        <v>3758</v>
      </c>
      <c r="B748" s="120" t="s">
        <v>3759</v>
      </c>
      <c r="C748" s="120" t="s">
        <v>301</v>
      </c>
      <c r="D748" s="120" t="s">
        <v>1767</v>
      </c>
      <c r="E748" s="120" t="s">
        <v>493</v>
      </c>
      <c r="F748" s="120" t="s">
        <v>14</v>
      </c>
      <c r="G748" s="120">
        <v>10</v>
      </c>
      <c r="H748">
        <v>11</v>
      </c>
      <c r="I748" s="120" t="s">
        <v>47</v>
      </c>
      <c r="J748">
        <v>-1</v>
      </c>
      <c r="K748">
        <v>0</v>
      </c>
      <c r="L748">
        <v>24</v>
      </c>
      <c r="M748">
        <v>240</v>
      </c>
      <c r="N748">
        <v>264</v>
      </c>
    </row>
    <row r="749" spans="1:14" x14ac:dyDescent="0.25">
      <c r="A749" s="120" t="s">
        <v>3758</v>
      </c>
      <c r="B749" s="120" t="s">
        <v>3759</v>
      </c>
      <c r="C749" s="120" t="s">
        <v>301</v>
      </c>
      <c r="D749" s="120" t="s">
        <v>3727</v>
      </c>
      <c r="E749" s="120" t="s">
        <v>2409</v>
      </c>
      <c r="F749" s="120" t="s">
        <v>10</v>
      </c>
      <c r="G749" s="120">
        <v>6</v>
      </c>
      <c r="H749">
        <v>0</v>
      </c>
      <c r="I749" s="120" t="s">
        <v>47</v>
      </c>
      <c r="J749">
        <v>6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 s="120" t="s">
        <v>3758</v>
      </c>
      <c r="B750" s="120" t="s">
        <v>3759</v>
      </c>
      <c r="C750" s="120" t="s">
        <v>301</v>
      </c>
      <c r="D750" s="120" t="s">
        <v>3715</v>
      </c>
      <c r="E750" s="120" t="s">
        <v>2006</v>
      </c>
      <c r="F750" s="120" t="s">
        <v>10</v>
      </c>
      <c r="G750" s="120">
        <v>23</v>
      </c>
      <c r="H750">
        <v>0</v>
      </c>
      <c r="I750" s="120" t="s">
        <v>47</v>
      </c>
      <c r="J750">
        <v>23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 s="120" t="s">
        <v>3758</v>
      </c>
      <c r="B751" s="120" t="s">
        <v>3759</v>
      </c>
      <c r="C751" s="120" t="s">
        <v>301</v>
      </c>
      <c r="D751" s="120" t="s">
        <v>3477</v>
      </c>
      <c r="E751" s="120" t="s">
        <v>165</v>
      </c>
      <c r="F751" s="120" t="s">
        <v>18</v>
      </c>
      <c r="G751" s="120">
        <v>34</v>
      </c>
      <c r="H751">
        <v>0</v>
      </c>
      <c r="I751" s="120" t="s">
        <v>57</v>
      </c>
      <c r="J751">
        <v>34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 s="120" t="s">
        <v>3758</v>
      </c>
      <c r="B752" s="120" t="s">
        <v>3759</v>
      </c>
      <c r="C752" s="120" t="s">
        <v>301</v>
      </c>
      <c r="D752" s="120" t="s">
        <v>1128</v>
      </c>
      <c r="E752" s="120" t="s">
        <v>40</v>
      </c>
      <c r="F752" s="120" t="s">
        <v>18</v>
      </c>
      <c r="G752" s="120">
        <v>29</v>
      </c>
      <c r="H752">
        <v>24</v>
      </c>
      <c r="I752" s="120" t="s">
        <v>57</v>
      </c>
      <c r="J752">
        <v>5</v>
      </c>
      <c r="K752">
        <v>0</v>
      </c>
      <c r="L752">
        <v>69</v>
      </c>
      <c r="M752">
        <v>2001</v>
      </c>
      <c r="N752">
        <v>1656</v>
      </c>
    </row>
    <row r="753" spans="1:14" x14ac:dyDescent="0.25">
      <c r="A753" s="120" t="s">
        <v>3758</v>
      </c>
      <c r="B753" s="120" t="s">
        <v>3759</v>
      </c>
      <c r="C753" s="120" t="s">
        <v>301</v>
      </c>
      <c r="D753" s="120" t="s">
        <v>1761</v>
      </c>
      <c r="E753" s="120" t="s">
        <v>1762</v>
      </c>
      <c r="F753" s="120" t="s">
        <v>14</v>
      </c>
      <c r="G753" s="120">
        <v>4</v>
      </c>
      <c r="H753">
        <v>2</v>
      </c>
      <c r="I753" s="120" t="s">
        <v>57</v>
      </c>
      <c r="J753">
        <v>2</v>
      </c>
      <c r="K753">
        <v>0</v>
      </c>
      <c r="L753">
        <v>11</v>
      </c>
      <c r="M753">
        <v>44</v>
      </c>
      <c r="N753">
        <v>22</v>
      </c>
    </row>
    <row r="754" spans="1:14" hidden="1" x14ac:dyDescent="0.25">
      <c r="A754" s="120" t="s">
        <v>3463</v>
      </c>
      <c r="B754" s="120" t="s">
        <v>3816</v>
      </c>
      <c r="C754" s="120" t="s">
        <v>301</v>
      </c>
      <c r="D754" s="120" t="s">
        <v>3484</v>
      </c>
      <c r="E754" s="120" t="s">
        <v>65</v>
      </c>
      <c r="F754" s="120" t="s">
        <v>14</v>
      </c>
      <c r="G754" s="120">
        <v>0</v>
      </c>
      <c r="H754">
        <v>0</v>
      </c>
      <c r="I754" s="120" t="s">
        <v>11</v>
      </c>
      <c r="J754">
        <v>0</v>
      </c>
      <c r="K754">
        <v>1</v>
      </c>
      <c r="L754" s="121">
        <v>0</v>
      </c>
      <c r="M754" s="121">
        <v>0</v>
      </c>
      <c r="N754" s="121">
        <v>0</v>
      </c>
    </row>
    <row r="755" spans="1:14" x14ac:dyDescent="0.25">
      <c r="A755" s="120" t="s">
        <v>3758</v>
      </c>
      <c r="B755" s="120" t="s">
        <v>3759</v>
      </c>
      <c r="C755" s="120" t="s">
        <v>301</v>
      </c>
      <c r="D755" s="120" t="s">
        <v>3747</v>
      </c>
      <c r="E755" s="120" t="s">
        <v>1820</v>
      </c>
      <c r="F755" s="120" t="s">
        <v>14</v>
      </c>
      <c r="G755" s="120">
        <v>4</v>
      </c>
      <c r="H755">
        <v>0</v>
      </c>
      <c r="I755" s="120" t="s">
        <v>57</v>
      </c>
      <c r="J755">
        <v>4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 s="120" t="s">
        <v>3758</v>
      </c>
      <c r="B756" s="120" t="s">
        <v>3759</v>
      </c>
      <c r="C756" s="120" t="s">
        <v>301</v>
      </c>
      <c r="D756" s="120" t="s">
        <v>3751</v>
      </c>
      <c r="E756" s="120" t="s">
        <v>1823</v>
      </c>
      <c r="F756" s="120" t="s">
        <v>71</v>
      </c>
      <c r="G756" s="120">
        <v>987</v>
      </c>
      <c r="H756">
        <v>0</v>
      </c>
      <c r="I756" s="120" t="s">
        <v>57</v>
      </c>
      <c r="J756">
        <v>987</v>
      </c>
      <c r="K756">
        <v>0</v>
      </c>
      <c r="L756">
        <v>0</v>
      </c>
      <c r="M756">
        <v>0</v>
      </c>
      <c r="N756">
        <v>0</v>
      </c>
    </row>
    <row r="757" spans="1:14" hidden="1" x14ac:dyDescent="0.25">
      <c r="A757" s="120" t="s">
        <v>3463</v>
      </c>
      <c r="B757" s="120" t="s">
        <v>3816</v>
      </c>
      <c r="C757" s="120" t="s">
        <v>301</v>
      </c>
      <c r="D757" s="120" t="s">
        <v>3475</v>
      </c>
      <c r="E757" s="120" t="s">
        <v>37</v>
      </c>
      <c r="F757" s="120" t="s">
        <v>14</v>
      </c>
      <c r="G757" s="120">
        <v>0</v>
      </c>
      <c r="H757">
        <v>0</v>
      </c>
      <c r="I757" s="120" t="s">
        <v>11</v>
      </c>
      <c r="J757">
        <v>0</v>
      </c>
      <c r="K757">
        <v>1</v>
      </c>
      <c r="L757" s="121">
        <v>0</v>
      </c>
      <c r="M757" s="121">
        <v>0</v>
      </c>
      <c r="N757" s="121">
        <v>0</v>
      </c>
    </row>
    <row r="758" spans="1:14" hidden="1" x14ac:dyDescent="0.25">
      <c r="A758" s="120" t="s">
        <v>3463</v>
      </c>
      <c r="B758" s="120" t="s">
        <v>3816</v>
      </c>
      <c r="C758" s="120" t="s">
        <v>301</v>
      </c>
      <c r="D758" s="120" t="s">
        <v>3471</v>
      </c>
      <c r="E758" s="120" t="s">
        <v>30</v>
      </c>
      <c r="F758" s="120" t="s">
        <v>10</v>
      </c>
      <c r="G758" s="120">
        <v>0</v>
      </c>
      <c r="H758">
        <v>0</v>
      </c>
      <c r="I758" s="120" t="s">
        <v>11</v>
      </c>
      <c r="J758">
        <v>0</v>
      </c>
      <c r="K758">
        <v>1</v>
      </c>
      <c r="L758" s="121">
        <v>0</v>
      </c>
      <c r="M758" s="121">
        <v>0</v>
      </c>
      <c r="N758" s="121">
        <v>0</v>
      </c>
    </row>
    <row r="759" spans="1:14" x14ac:dyDescent="0.25">
      <c r="A759" s="120" t="s">
        <v>3758</v>
      </c>
      <c r="B759" s="120" t="s">
        <v>3759</v>
      </c>
      <c r="C759" s="120" t="s">
        <v>301</v>
      </c>
      <c r="D759" s="120" t="s">
        <v>3716</v>
      </c>
      <c r="E759" s="120" t="s">
        <v>1792</v>
      </c>
      <c r="F759" s="120" t="s">
        <v>14</v>
      </c>
      <c r="G759" s="120">
        <v>6</v>
      </c>
      <c r="H759">
        <v>0</v>
      </c>
      <c r="I759" s="120" t="s">
        <v>57</v>
      </c>
      <c r="J759">
        <v>6</v>
      </c>
      <c r="K759">
        <v>0</v>
      </c>
      <c r="L759">
        <v>0</v>
      </c>
      <c r="M759">
        <v>0</v>
      </c>
      <c r="N759">
        <v>0</v>
      </c>
    </row>
    <row r="760" spans="1:14" hidden="1" x14ac:dyDescent="0.25">
      <c r="A760" s="120" t="s">
        <v>3463</v>
      </c>
      <c r="B760" s="120" t="s">
        <v>3816</v>
      </c>
      <c r="C760" s="120" t="s">
        <v>301</v>
      </c>
      <c r="D760" s="120" t="s">
        <v>3472</v>
      </c>
      <c r="E760" s="120" t="s">
        <v>32</v>
      </c>
      <c r="F760" s="120" t="s">
        <v>10</v>
      </c>
      <c r="G760" s="120">
        <v>0</v>
      </c>
      <c r="H760">
        <v>0</v>
      </c>
      <c r="I760" s="120" t="s">
        <v>11</v>
      </c>
      <c r="J760">
        <v>0</v>
      </c>
      <c r="K760">
        <v>1</v>
      </c>
      <c r="L760" s="121">
        <v>0</v>
      </c>
      <c r="M760" s="121">
        <v>0</v>
      </c>
      <c r="N760" s="121">
        <v>0</v>
      </c>
    </row>
    <row r="761" spans="1:14" x14ac:dyDescent="0.25">
      <c r="A761" s="120" t="s">
        <v>3758</v>
      </c>
      <c r="B761" s="120" t="s">
        <v>3759</v>
      </c>
      <c r="C761" s="120" t="s">
        <v>301</v>
      </c>
      <c r="D761" s="120" t="s">
        <v>3746</v>
      </c>
      <c r="E761" s="120" t="s">
        <v>2518</v>
      </c>
      <c r="F761" s="120" t="s">
        <v>14</v>
      </c>
      <c r="G761" s="120">
        <v>2</v>
      </c>
      <c r="H761">
        <v>0</v>
      </c>
      <c r="I761" s="120" t="s">
        <v>57</v>
      </c>
      <c r="J761">
        <v>2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 s="120" t="s">
        <v>3758</v>
      </c>
      <c r="B762" s="120" t="s">
        <v>3759</v>
      </c>
      <c r="C762" s="120" t="s">
        <v>301</v>
      </c>
      <c r="D762" s="120" t="s">
        <v>3600</v>
      </c>
      <c r="E762" s="120" t="s">
        <v>387</v>
      </c>
      <c r="F762" s="120" t="s">
        <v>10</v>
      </c>
      <c r="G762" s="120">
        <v>7</v>
      </c>
      <c r="H762">
        <v>0</v>
      </c>
      <c r="I762" s="120" t="s">
        <v>57</v>
      </c>
      <c r="J762">
        <v>7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 s="120" t="s">
        <v>3758</v>
      </c>
      <c r="B763" s="120" t="s">
        <v>3759</v>
      </c>
      <c r="C763" s="120" t="s">
        <v>301</v>
      </c>
      <c r="D763" s="120" t="s">
        <v>3646</v>
      </c>
      <c r="E763" s="120" t="s">
        <v>453</v>
      </c>
      <c r="F763" s="120" t="s">
        <v>14</v>
      </c>
      <c r="G763" s="120">
        <v>8</v>
      </c>
      <c r="H763">
        <v>0</v>
      </c>
      <c r="I763" s="120" t="s">
        <v>57</v>
      </c>
      <c r="J763">
        <v>8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 s="120" t="s">
        <v>3758</v>
      </c>
      <c r="B764" s="120" t="s">
        <v>3759</v>
      </c>
      <c r="C764" s="120" t="s">
        <v>301</v>
      </c>
      <c r="D764" s="120" t="s">
        <v>3666</v>
      </c>
      <c r="E764" s="120" t="s">
        <v>481</v>
      </c>
      <c r="F764" s="120" t="s">
        <v>10</v>
      </c>
      <c r="G764" s="120">
        <v>4</v>
      </c>
      <c r="H764">
        <v>0</v>
      </c>
      <c r="I764" s="120" t="s">
        <v>57</v>
      </c>
      <c r="J764">
        <v>4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 s="120" t="s">
        <v>3758</v>
      </c>
      <c r="B765" s="120" t="s">
        <v>3759</v>
      </c>
      <c r="C765" s="120" t="s">
        <v>301</v>
      </c>
      <c r="D765" s="120" t="s">
        <v>617</v>
      </c>
      <c r="E765" s="120" t="s">
        <v>618</v>
      </c>
      <c r="F765" s="120" t="s">
        <v>18</v>
      </c>
      <c r="G765" s="120">
        <v>1</v>
      </c>
      <c r="H765">
        <v>6</v>
      </c>
      <c r="I765" s="120" t="s">
        <v>57</v>
      </c>
      <c r="J765">
        <v>-5</v>
      </c>
      <c r="K765">
        <v>0</v>
      </c>
      <c r="L765">
        <v>2.9</v>
      </c>
      <c r="M765">
        <v>2.9</v>
      </c>
      <c r="N765">
        <v>17.399999999999999</v>
      </c>
    </row>
    <row r="766" spans="1:14" x14ac:dyDescent="0.25">
      <c r="A766" s="120" t="s">
        <v>3758</v>
      </c>
      <c r="B766" s="120" t="s">
        <v>3759</v>
      </c>
      <c r="C766" s="120" t="s">
        <v>301</v>
      </c>
      <c r="D766" s="120" t="s">
        <v>540</v>
      </c>
      <c r="E766" s="120" t="s">
        <v>541</v>
      </c>
      <c r="F766" s="120" t="s">
        <v>59</v>
      </c>
      <c r="G766" s="120">
        <v>12</v>
      </c>
      <c r="H766">
        <v>11</v>
      </c>
      <c r="I766" s="120" t="s">
        <v>57</v>
      </c>
      <c r="J766">
        <v>1</v>
      </c>
      <c r="K766">
        <v>0</v>
      </c>
      <c r="L766">
        <v>75</v>
      </c>
      <c r="M766">
        <v>900</v>
      </c>
      <c r="N766">
        <v>825</v>
      </c>
    </row>
    <row r="767" spans="1:14" x14ac:dyDescent="0.25">
      <c r="A767" s="120" t="s">
        <v>3758</v>
      </c>
      <c r="B767" s="120" t="s">
        <v>3759</v>
      </c>
      <c r="C767" s="120" t="s">
        <v>301</v>
      </c>
      <c r="D767" s="120" t="s">
        <v>619</v>
      </c>
      <c r="E767" s="120" t="s">
        <v>620</v>
      </c>
      <c r="F767" s="120" t="s">
        <v>18</v>
      </c>
      <c r="G767" s="120">
        <v>10</v>
      </c>
      <c r="H767">
        <v>6</v>
      </c>
      <c r="I767" s="120" t="s">
        <v>57</v>
      </c>
      <c r="J767">
        <v>4</v>
      </c>
      <c r="K767">
        <v>0</v>
      </c>
      <c r="L767">
        <v>8</v>
      </c>
      <c r="M767">
        <v>80</v>
      </c>
      <c r="N767">
        <v>48</v>
      </c>
    </row>
    <row r="768" spans="1:14" hidden="1" x14ac:dyDescent="0.25">
      <c r="A768" s="120" t="s">
        <v>3463</v>
      </c>
      <c r="B768" s="120" t="s">
        <v>3816</v>
      </c>
      <c r="C768" s="120" t="s">
        <v>301</v>
      </c>
      <c r="D768" s="120" t="s">
        <v>3473</v>
      </c>
      <c r="E768" s="120" t="s">
        <v>35</v>
      </c>
      <c r="F768" s="120" t="s">
        <v>10</v>
      </c>
      <c r="G768" s="120">
        <v>0</v>
      </c>
      <c r="H768">
        <v>0</v>
      </c>
      <c r="I768" s="120" t="s">
        <v>11</v>
      </c>
      <c r="J768">
        <v>0</v>
      </c>
      <c r="K768">
        <v>1</v>
      </c>
      <c r="L768" s="121">
        <v>0</v>
      </c>
      <c r="M768" s="121">
        <v>0</v>
      </c>
      <c r="N768" s="121">
        <v>0</v>
      </c>
    </row>
    <row r="769" spans="1:14" x14ac:dyDescent="0.25">
      <c r="A769" s="120" t="s">
        <v>3758</v>
      </c>
      <c r="B769" s="120" t="s">
        <v>3759</v>
      </c>
      <c r="C769" s="120" t="s">
        <v>301</v>
      </c>
      <c r="D769" s="120" t="s">
        <v>1239</v>
      </c>
      <c r="E769" s="120" t="s">
        <v>121</v>
      </c>
      <c r="F769" s="120" t="s">
        <v>14</v>
      </c>
      <c r="G769" s="120">
        <v>30</v>
      </c>
      <c r="H769">
        <v>39</v>
      </c>
      <c r="I769" s="120" t="s">
        <v>47</v>
      </c>
      <c r="J769">
        <v>-9</v>
      </c>
      <c r="K769">
        <v>0</v>
      </c>
      <c r="L769">
        <v>10.5</v>
      </c>
      <c r="M769">
        <v>315</v>
      </c>
      <c r="N769">
        <v>409.5</v>
      </c>
    </row>
    <row r="770" spans="1:14" x14ac:dyDescent="0.25">
      <c r="A770" s="120" t="s">
        <v>3758</v>
      </c>
      <c r="B770" s="120" t="s">
        <v>3759</v>
      </c>
      <c r="C770" s="120" t="s">
        <v>301</v>
      </c>
      <c r="D770" s="120" t="s">
        <v>3719</v>
      </c>
      <c r="E770" s="120" t="s">
        <v>2064</v>
      </c>
      <c r="F770" s="120" t="s">
        <v>14</v>
      </c>
      <c r="G770" s="120">
        <v>2</v>
      </c>
      <c r="H770">
        <v>0</v>
      </c>
      <c r="I770" s="120" t="s">
        <v>57</v>
      </c>
      <c r="J770">
        <v>2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 s="120" t="s">
        <v>3758</v>
      </c>
      <c r="B771" s="120" t="s">
        <v>3759</v>
      </c>
      <c r="C771" s="120" t="s">
        <v>301</v>
      </c>
      <c r="D771" s="120" t="s">
        <v>3579</v>
      </c>
      <c r="E771" s="120" t="s">
        <v>272</v>
      </c>
      <c r="F771" s="120" t="s">
        <v>273</v>
      </c>
      <c r="G771" s="120">
        <v>250</v>
      </c>
      <c r="H771">
        <v>0</v>
      </c>
      <c r="I771" s="120" t="s">
        <v>57</v>
      </c>
      <c r="J771">
        <v>250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 s="120" t="s">
        <v>3758</v>
      </c>
      <c r="B772" s="120" t="s">
        <v>3759</v>
      </c>
      <c r="C772" s="120" t="s">
        <v>301</v>
      </c>
      <c r="D772" s="120" t="s">
        <v>708</v>
      </c>
      <c r="E772" s="120" t="s">
        <v>709</v>
      </c>
      <c r="F772" s="120" t="s">
        <v>14</v>
      </c>
      <c r="G772" s="120">
        <v>29</v>
      </c>
      <c r="H772">
        <v>34</v>
      </c>
      <c r="I772" s="120" t="s">
        <v>57</v>
      </c>
      <c r="J772">
        <v>-5</v>
      </c>
      <c r="K772">
        <v>0</v>
      </c>
      <c r="L772">
        <v>9.99</v>
      </c>
      <c r="M772">
        <v>289.70999999999998</v>
      </c>
      <c r="N772">
        <v>339.66</v>
      </c>
    </row>
    <row r="773" spans="1:14" x14ac:dyDescent="0.25">
      <c r="A773" s="120" t="s">
        <v>3758</v>
      </c>
      <c r="B773" s="120" t="s">
        <v>3759</v>
      </c>
      <c r="C773" s="120" t="s">
        <v>69</v>
      </c>
      <c r="D773" s="120" t="s">
        <v>3524</v>
      </c>
      <c r="E773" s="120" t="s">
        <v>169</v>
      </c>
      <c r="F773" s="120" t="s">
        <v>14</v>
      </c>
      <c r="G773" s="120">
        <v>68</v>
      </c>
      <c r="H773">
        <v>0</v>
      </c>
      <c r="I773" s="120" t="s">
        <v>47</v>
      </c>
      <c r="J773">
        <v>68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 s="120" t="s">
        <v>3758</v>
      </c>
      <c r="B774" s="120" t="s">
        <v>3759</v>
      </c>
      <c r="C774" s="120" t="s">
        <v>301</v>
      </c>
      <c r="D774" s="120" t="s">
        <v>3511</v>
      </c>
      <c r="E774" s="120" t="s">
        <v>130</v>
      </c>
      <c r="F774" s="120" t="s">
        <v>10</v>
      </c>
      <c r="G774" s="120">
        <v>8</v>
      </c>
      <c r="H774">
        <v>0</v>
      </c>
      <c r="I774" s="120" t="s">
        <v>57</v>
      </c>
      <c r="J774">
        <v>8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 s="120" t="s">
        <v>3758</v>
      </c>
      <c r="B775" s="120" t="s">
        <v>3759</v>
      </c>
      <c r="C775" s="120" t="s">
        <v>301</v>
      </c>
      <c r="D775" s="120" t="s">
        <v>3607</v>
      </c>
      <c r="E775" s="120" t="s">
        <v>398</v>
      </c>
      <c r="F775" s="120" t="s">
        <v>10</v>
      </c>
      <c r="G775" s="120">
        <v>9</v>
      </c>
      <c r="H775">
        <v>0</v>
      </c>
      <c r="I775" s="120" t="s">
        <v>57</v>
      </c>
      <c r="J775">
        <v>9</v>
      </c>
      <c r="K775">
        <v>0</v>
      </c>
      <c r="L775">
        <v>0</v>
      </c>
      <c r="M775">
        <v>0</v>
      </c>
      <c r="N775">
        <v>0</v>
      </c>
    </row>
    <row r="776" spans="1:14" hidden="1" x14ac:dyDescent="0.25">
      <c r="A776" s="120" t="s">
        <v>3463</v>
      </c>
      <c r="B776" s="120" t="s">
        <v>3816</v>
      </c>
      <c r="C776" s="120" t="s">
        <v>301</v>
      </c>
      <c r="D776" s="120" t="s">
        <v>3474</v>
      </c>
      <c r="E776" s="120" t="s">
        <v>36</v>
      </c>
      <c r="F776" s="120" t="s">
        <v>14</v>
      </c>
      <c r="G776" s="120">
        <v>0</v>
      </c>
      <c r="H776">
        <v>0</v>
      </c>
      <c r="I776" s="120" t="s">
        <v>47</v>
      </c>
      <c r="J776">
        <v>0</v>
      </c>
      <c r="K776">
        <v>1</v>
      </c>
      <c r="L776" s="121">
        <v>0</v>
      </c>
      <c r="M776" s="121">
        <v>0</v>
      </c>
      <c r="N776" s="121">
        <v>0</v>
      </c>
    </row>
    <row r="777" spans="1:14" hidden="1" x14ac:dyDescent="0.25">
      <c r="A777" s="120" t="s">
        <v>3463</v>
      </c>
      <c r="B777" s="120" t="s">
        <v>3816</v>
      </c>
      <c r="C777" s="120" t="s">
        <v>301</v>
      </c>
      <c r="D777" s="120" t="s">
        <v>3477</v>
      </c>
      <c r="E777" s="120" t="s">
        <v>45</v>
      </c>
      <c r="F777" s="120" t="s">
        <v>18</v>
      </c>
      <c r="G777" s="120">
        <v>0</v>
      </c>
      <c r="H777">
        <v>0</v>
      </c>
      <c r="I777" s="120" t="s">
        <v>11</v>
      </c>
      <c r="J777">
        <v>0</v>
      </c>
      <c r="K777">
        <v>1</v>
      </c>
      <c r="L777" s="121">
        <v>0</v>
      </c>
      <c r="M777" s="121">
        <v>0</v>
      </c>
      <c r="N777" s="121">
        <v>0</v>
      </c>
    </row>
    <row r="778" spans="1:14" x14ac:dyDescent="0.25">
      <c r="A778" s="120" t="s">
        <v>3758</v>
      </c>
      <c r="B778" s="120" t="s">
        <v>3759</v>
      </c>
      <c r="C778" s="120" t="s">
        <v>301</v>
      </c>
      <c r="D778" s="120" t="s">
        <v>3482</v>
      </c>
      <c r="E778" s="120" t="s">
        <v>63</v>
      </c>
      <c r="F778" s="120" t="s">
        <v>14</v>
      </c>
      <c r="G778" s="120">
        <v>17</v>
      </c>
      <c r="H778">
        <v>0</v>
      </c>
      <c r="I778" s="120" t="s">
        <v>57</v>
      </c>
      <c r="J778">
        <v>17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 s="120" t="s">
        <v>3758</v>
      </c>
      <c r="B779" s="120" t="s">
        <v>3759</v>
      </c>
      <c r="C779" s="120" t="s">
        <v>301</v>
      </c>
      <c r="D779" s="120" t="s">
        <v>3472</v>
      </c>
      <c r="E779" s="120" t="s">
        <v>32</v>
      </c>
      <c r="F779" s="120" t="s">
        <v>10</v>
      </c>
      <c r="G779" s="120">
        <v>6</v>
      </c>
      <c r="H779">
        <v>0</v>
      </c>
      <c r="I779" s="120" t="s">
        <v>57</v>
      </c>
      <c r="J779">
        <v>6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 s="120" t="s">
        <v>3758</v>
      </c>
      <c r="B780" s="120" t="s">
        <v>3759</v>
      </c>
      <c r="C780" s="120" t="s">
        <v>301</v>
      </c>
      <c r="D780" s="120" t="s">
        <v>3742</v>
      </c>
      <c r="E780" s="120" t="s">
        <v>2486</v>
      </c>
      <c r="F780" s="120" t="s">
        <v>10</v>
      </c>
      <c r="G780" s="120">
        <v>18</v>
      </c>
      <c r="H780">
        <v>0</v>
      </c>
      <c r="I780" s="120" t="s">
        <v>57</v>
      </c>
      <c r="J780">
        <v>18</v>
      </c>
      <c r="K780">
        <v>0</v>
      </c>
      <c r="L780">
        <v>0</v>
      </c>
      <c r="M780">
        <v>0</v>
      </c>
      <c r="N780">
        <v>0</v>
      </c>
    </row>
    <row r="781" spans="1:14" hidden="1" x14ac:dyDescent="0.25">
      <c r="A781" s="120" t="s">
        <v>3463</v>
      </c>
      <c r="B781" s="120" t="s">
        <v>3816</v>
      </c>
      <c r="C781" s="120" t="s">
        <v>301</v>
      </c>
      <c r="D781" s="120" t="s">
        <v>3485</v>
      </c>
      <c r="E781" s="120" t="s">
        <v>66</v>
      </c>
      <c r="F781" s="120" t="s">
        <v>14</v>
      </c>
      <c r="G781" s="120">
        <v>0</v>
      </c>
      <c r="H781">
        <v>0</v>
      </c>
      <c r="I781" s="120" t="s">
        <v>57</v>
      </c>
      <c r="J781">
        <v>0</v>
      </c>
      <c r="K781">
        <v>1</v>
      </c>
      <c r="L781" s="121">
        <v>0</v>
      </c>
      <c r="M781" s="121">
        <v>0</v>
      </c>
      <c r="N781" s="121">
        <v>0</v>
      </c>
    </row>
    <row r="782" spans="1:14" x14ac:dyDescent="0.25">
      <c r="A782" s="120" t="s">
        <v>3758</v>
      </c>
      <c r="B782" s="120" t="s">
        <v>3759</v>
      </c>
      <c r="C782" s="120" t="s">
        <v>69</v>
      </c>
      <c r="D782" s="120" t="s">
        <v>3468</v>
      </c>
      <c r="E782" s="120" t="s">
        <v>517</v>
      </c>
      <c r="F782" s="120" t="s">
        <v>14</v>
      </c>
      <c r="G782" s="120">
        <v>45</v>
      </c>
      <c r="H782">
        <v>0</v>
      </c>
      <c r="I782" s="120" t="s">
        <v>11</v>
      </c>
      <c r="J782">
        <v>45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 s="120" t="s">
        <v>3758</v>
      </c>
      <c r="B783" s="120" t="s">
        <v>3759</v>
      </c>
      <c r="C783" s="120" t="s">
        <v>301</v>
      </c>
      <c r="D783" s="120" t="s">
        <v>622</v>
      </c>
      <c r="E783" s="120" t="s">
        <v>20</v>
      </c>
      <c r="F783" s="120" t="s">
        <v>18</v>
      </c>
      <c r="G783" s="120">
        <v>29</v>
      </c>
      <c r="H783">
        <v>31</v>
      </c>
      <c r="I783" s="120" t="s">
        <v>57</v>
      </c>
      <c r="J783">
        <v>-2</v>
      </c>
      <c r="K783">
        <v>0</v>
      </c>
      <c r="L783">
        <v>12</v>
      </c>
      <c r="M783">
        <v>348</v>
      </c>
      <c r="N783">
        <v>372</v>
      </c>
    </row>
    <row r="784" spans="1:14" hidden="1" x14ac:dyDescent="0.25">
      <c r="A784" s="120" t="s">
        <v>3463</v>
      </c>
      <c r="B784" s="120" t="s">
        <v>3816</v>
      </c>
      <c r="C784" s="120" t="s">
        <v>301</v>
      </c>
      <c r="D784" s="120" t="s">
        <v>3518</v>
      </c>
      <c r="E784" s="120" t="s">
        <v>161</v>
      </c>
      <c r="F784" s="120" t="s">
        <v>18</v>
      </c>
      <c r="G784" s="120">
        <v>0</v>
      </c>
      <c r="H784">
        <v>0</v>
      </c>
      <c r="I784" s="120" t="s">
        <v>11</v>
      </c>
      <c r="J784">
        <v>0</v>
      </c>
      <c r="K784">
        <v>1</v>
      </c>
      <c r="L784" s="121">
        <v>0</v>
      </c>
      <c r="M784" s="121">
        <v>0</v>
      </c>
      <c r="N784" s="121">
        <v>0</v>
      </c>
    </row>
    <row r="785" spans="1:14" hidden="1" x14ac:dyDescent="0.25">
      <c r="A785" s="120" t="s">
        <v>3463</v>
      </c>
      <c r="B785" s="120" t="s">
        <v>3816</v>
      </c>
      <c r="C785" s="120" t="s">
        <v>301</v>
      </c>
      <c r="D785" s="120" t="s">
        <v>3806</v>
      </c>
      <c r="E785" s="120" t="s">
        <v>1782</v>
      </c>
      <c r="F785" s="120" t="s">
        <v>14</v>
      </c>
      <c r="G785" s="120">
        <v>0</v>
      </c>
      <c r="H785">
        <v>0</v>
      </c>
      <c r="I785" s="120" t="s">
        <v>47</v>
      </c>
      <c r="J785">
        <v>0</v>
      </c>
      <c r="K785">
        <v>1</v>
      </c>
      <c r="L785" s="121">
        <v>0</v>
      </c>
      <c r="M785" s="121">
        <v>0</v>
      </c>
      <c r="N785" s="121">
        <v>0</v>
      </c>
    </row>
    <row r="786" spans="1:14" x14ac:dyDescent="0.25">
      <c r="A786" s="120" t="s">
        <v>3758</v>
      </c>
      <c r="B786" s="120" t="s">
        <v>3759</v>
      </c>
      <c r="C786" s="120" t="s">
        <v>301</v>
      </c>
      <c r="D786" s="120" t="s">
        <v>3631</v>
      </c>
      <c r="E786" s="120" t="s">
        <v>433</v>
      </c>
      <c r="F786" s="120" t="s">
        <v>14</v>
      </c>
      <c r="G786" s="120">
        <v>7</v>
      </c>
      <c r="H786">
        <v>0</v>
      </c>
      <c r="I786" s="120" t="s">
        <v>57</v>
      </c>
      <c r="J786">
        <v>7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 s="120" t="s">
        <v>3758</v>
      </c>
      <c r="B787" s="120" t="s">
        <v>3759</v>
      </c>
      <c r="C787" s="120" t="s">
        <v>69</v>
      </c>
      <c r="D787" s="120" t="s">
        <v>740</v>
      </c>
      <c r="E787" s="120" t="s">
        <v>103</v>
      </c>
      <c r="F787" s="120" t="s">
        <v>14</v>
      </c>
      <c r="G787" s="120">
        <v>211</v>
      </c>
      <c r="H787">
        <v>202</v>
      </c>
      <c r="I787" s="120" t="s">
        <v>11</v>
      </c>
      <c r="J787">
        <v>9</v>
      </c>
      <c r="K787">
        <v>0</v>
      </c>
      <c r="L787">
        <v>29</v>
      </c>
      <c r="M787">
        <v>6119</v>
      </c>
      <c r="N787">
        <v>5858</v>
      </c>
    </row>
    <row r="788" spans="1:14" x14ac:dyDescent="0.25">
      <c r="A788" s="120" t="s">
        <v>3758</v>
      </c>
      <c r="B788" s="120" t="s">
        <v>3759</v>
      </c>
      <c r="C788" s="120" t="s">
        <v>301</v>
      </c>
      <c r="D788" s="120" t="s">
        <v>3725</v>
      </c>
      <c r="E788" s="120" t="s">
        <v>327</v>
      </c>
      <c r="F788" s="120" t="s">
        <v>10</v>
      </c>
      <c r="G788" s="120">
        <v>22</v>
      </c>
      <c r="H788">
        <v>0</v>
      </c>
      <c r="I788" s="120" t="s">
        <v>57</v>
      </c>
      <c r="J788">
        <v>22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 s="120" t="s">
        <v>3758</v>
      </c>
      <c r="B789" s="120" t="s">
        <v>3759</v>
      </c>
      <c r="C789" s="120" t="s">
        <v>301</v>
      </c>
      <c r="D789" s="120" t="s">
        <v>3735</v>
      </c>
      <c r="E789" s="120" t="s">
        <v>2457</v>
      </c>
      <c r="F789" s="120" t="s">
        <v>14</v>
      </c>
      <c r="G789" s="120">
        <v>8</v>
      </c>
      <c r="H789">
        <v>0</v>
      </c>
      <c r="I789" s="120" t="s">
        <v>57</v>
      </c>
      <c r="J789">
        <v>8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 s="120" t="s">
        <v>3758</v>
      </c>
      <c r="B790" s="120" t="s">
        <v>3759</v>
      </c>
      <c r="C790" s="120" t="s">
        <v>301</v>
      </c>
      <c r="D790" s="120" t="s">
        <v>3740</v>
      </c>
      <c r="E790" s="120" t="s">
        <v>1786</v>
      </c>
      <c r="F790" s="120" t="s">
        <v>10</v>
      </c>
      <c r="G790" s="120">
        <v>24</v>
      </c>
      <c r="H790">
        <v>0</v>
      </c>
      <c r="I790" s="120" t="s">
        <v>57</v>
      </c>
      <c r="J790">
        <v>24</v>
      </c>
      <c r="K790">
        <v>0</v>
      </c>
      <c r="L790">
        <v>0</v>
      </c>
      <c r="M790">
        <v>0</v>
      </c>
      <c r="N790">
        <v>0</v>
      </c>
    </row>
    <row r="791" spans="1:14" hidden="1" x14ac:dyDescent="0.25">
      <c r="A791" s="120" t="s">
        <v>3463</v>
      </c>
      <c r="B791" s="120" t="s">
        <v>3816</v>
      </c>
      <c r="C791" s="120" t="s">
        <v>301</v>
      </c>
      <c r="D791" s="120" t="s">
        <v>3811</v>
      </c>
      <c r="E791" s="120" t="s">
        <v>1821</v>
      </c>
      <c r="F791" s="120" t="s">
        <v>14</v>
      </c>
      <c r="G791" s="120">
        <v>0</v>
      </c>
      <c r="H791">
        <v>0</v>
      </c>
      <c r="I791" s="120" t="s">
        <v>47</v>
      </c>
      <c r="J791">
        <v>0</v>
      </c>
      <c r="K791">
        <v>1</v>
      </c>
      <c r="L791" s="121">
        <v>0</v>
      </c>
      <c r="M791" s="121">
        <v>0</v>
      </c>
      <c r="N791" s="121">
        <v>0</v>
      </c>
    </row>
    <row r="792" spans="1:14" x14ac:dyDescent="0.25">
      <c r="A792" s="120" t="s">
        <v>3758</v>
      </c>
      <c r="B792" s="120" t="s">
        <v>3759</v>
      </c>
      <c r="C792" s="120" t="s">
        <v>301</v>
      </c>
      <c r="D792" s="120" t="s">
        <v>3734</v>
      </c>
      <c r="E792" s="120" t="s">
        <v>2447</v>
      </c>
      <c r="F792" s="120" t="s">
        <v>183</v>
      </c>
      <c r="G792" s="120">
        <v>3</v>
      </c>
      <c r="H792">
        <v>0</v>
      </c>
      <c r="I792" s="120" t="s">
        <v>57</v>
      </c>
      <c r="J792">
        <v>3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 s="120" t="s">
        <v>3758</v>
      </c>
      <c r="B793" s="120" t="s">
        <v>3759</v>
      </c>
      <c r="C793" s="120" t="s">
        <v>301</v>
      </c>
      <c r="D793" s="120" t="s">
        <v>3647</v>
      </c>
      <c r="E793" s="120" t="s">
        <v>454</v>
      </c>
      <c r="F793" s="120" t="s">
        <v>14</v>
      </c>
      <c r="G793" s="120">
        <v>1</v>
      </c>
      <c r="H793">
        <v>0</v>
      </c>
      <c r="I793" s="120" t="s">
        <v>57</v>
      </c>
      <c r="J793">
        <v>1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 s="120" t="s">
        <v>3758</v>
      </c>
      <c r="B794" s="120" t="s">
        <v>3759</v>
      </c>
      <c r="C794" s="120" t="s">
        <v>301</v>
      </c>
      <c r="D794" s="120" t="s">
        <v>3707</v>
      </c>
      <c r="E794" s="120" t="s">
        <v>2658</v>
      </c>
      <c r="F794" s="120" t="s">
        <v>3449</v>
      </c>
      <c r="G794" s="120">
        <v>7</v>
      </c>
      <c r="H794">
        <v>0</v>
      </c>
      <c r="I794" s="120" t="s">
        <v>57</v>
      </c>
      <c r="J794">
        <v>7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 s="120" t="s">
        <v>3758</v>
      </c>
      <c r="B795" s="120" t="s">
        <v>3759</v>
      </c>
      <c r="C795" s="120" t="s">
        <v>301</v>
      </c>
      <c r="D795" s="120" t="s">
        <v>3671</v>
      </c>
      <c r="E795" s="120" t="s">
        <v>488</v>
      </c>
      <c r="F795" s="120" t="s">
        <v>3446</v>
      </c>
      <c r="G795" s="120">
        <v>30</v>
      </c>
      <c r="H795">
        <v>0</v>
      </c>
      <c r="I795" s="120" t="s">
        <v>57</v>
      </c>
      <c r="J795">
        <v>30</v>
      </c>
      <c r="K795">
        <v>0</v>
      </c>
      <c r="L795">
        <v>0</v>
      </c>
      <c r="M795">
        <v>0</v>
      </c>
      <c r="N795">
        <v>0</v>
      </c>
    </row>
    <row r="796" spans="1:14" hidden="1" x14ac:dyDescent="0.25">
      <c r="A796" s="120" t="s">
        <v>3463</v>
      </c>
      <c r="B796" s="120" t="s">
        <v>3816</v>
      </c>
      <c r="C796" s="120" t="s">
        <v>301</v>
      </c>
      <c r="D796" s="120" t="s">
        <v>3521</v>
      </c>
      <c r="E796" s="120" t="s">
        <v>166</v>
      </c>
      <c r="F796" s="120" t="s">
        <v>18</v>
      </c>
      <c r="G796" s="120">
        <v>0</v>
      </c>
      <c r="H796">
        <v>0</v>
      </c>
      <c r="I796" s="120" t="s">
        <v>47</v>
      </c>
      <c r="J796">
        <v>0</v>
      </c>
      <c r="K796">
        <v>1</v>
      </c>
      <c r="L796" s="121">
        <v>0</v>
      </c>
      <c r="M796" s="121">
        <v>0</v>
      </c>
      <c r="N796" s="121">
        <v>0</v>
      </c>
    </row>
    <row r="797" spans="1:14" x14ac:dyDescent="0.25">
      <c r="A797" s="120" t="s">
        <v>3758</v>
      </c>
      <c r="B797" s="120" t="s">
        <v>3759</v>
      </c>
      <c r="C797" s="120" t="s">
        <v>301</v>
      </c>
      <c r="D797" s="120" t="s">
        <v>3733</v>
      </c>
      <c r="E797" s="120" t="s">
        <v>2446</v>
      </c>
      <c r="F797" s="120" t="s">
        <v>10</v>
      </c>
      <c r="G797" s="120">
        <v>2</v>
      </c>
      <c r="H797">
        <v>0</v>
      </c>
      <c r="I797" s="120" t="s">
        <v>57</v>
      </c>
      <c r="J797">
        <v>2</v>
      </c>
      <c r="K797">
        <v>0</v>
      </c>
      <c r="L797">
        <v>0</v>
      </c>
      <c r="M797">
        <v>0</v>
      </c>
      <c r="N797">
        <v>0</v>
      </c>
    </row>
    <row r="798" spans="1:14" hidden="1" x14ac:dyDescent="0.25">
      <c r="A798" s="120" t="s">
        <v>3463</v>
      </c>
      <c r="B798" s="120" t="s">
        <v>3805</v>
      </c>
      <c r="C798" s="120" t="s">
        <v>301</v>
      </c>
      <c r="D798" s="120" t="s">
        <v>1082</v>
      </c>
      <c r="E798" s="120" t="s">
        <v>150</v>
      </c>
      <c r="F798" s="120" t="s">
        <v>14</v>
      </c>
      <c r="G798" s="120">
        <v>0</v>
      </c>
      <c r="H798">
        <v>6</v>
      </c>
      <c r="I798" s="120" t="s">
        <v>11</v>
      </c>
      <c r="J798">
        <v>-6</v>
      </c>
      <c r="K798">
        <v>0</v>
      </c>
      <c r="L798">
        <v>560</v>
      </c>
      <c r="M798">
        <v>0</v>
      </c>
      <c r="N798">
        <v>3360</v>
      </c>
    </row>
    <row r="799" spans="1:14" hidden="1" x14ac:dyDescent="0.25">
      <c r="A799" s="120" t="s">
        <v>3463</v>
      </c>
      <c r="B799" s="120" t="s">
        <v>3805</v>
      </c>
      <c r="C799" s="120" t="s">
        <v>301</v>
      </c>
      <c r="D799" s="120" t="s">
        <v>3512</v>
      </c>
      <c r="E799" s="120" t="s">
        <v>131</v>
      </c>
      <c r="F799" s="120" t="s">
        <v>10</v>
      </c>
      <c r="G799" s="120">
        <v>5</v>
      </c>
      <c r="H799">
        <v>0</v>
      </c>
      <c r="I799" s="120" t="s">
        <v>11</v>
      </c>
      <c r="J799">
        <v>5</v>
      </c>
      <c r="K799">
        <v>0</v>
      </c>
      <c r="L799">
        <v>0</v>
      </c>
      <c r="M799">
        <v>0</v>
      </c>
      <c r="N799">
        <v>0</v>
      </c>
    </row>
    <row r="800" spans="1:14" hidden="1" x14ac:dyDescent="0.25">
      <c r="A800" s="120" t="s">
        <v>3463</v>
      </c>
      <c r="B800" s="120" t="s">
        <v>3805</v>
      </c>
      <c r="C800" s="120" t="s">
        <v>301</v>
      </c>
      <c r="D800" s="120" t="s">
        <v>543</v>
      </c>
      <c r="E800" s="120" t="s">
        <v>12</v>
      </c>
      <c r="F800" s="120" t="s">
        <v>10</v>
      </c>
      <c r="G800" s="120">
        <v>10</v>
      </c>
      <c r="H800">
        <v>11</v>
      </c>
      <c r="I800" s="120" t="s">
        <v>11</v>
      </c>
      <c r="J800">
        <v>-1</v>
      </c>
      <c r="K800">
        <v>0</v>
      </c>
      <c r="L800">
        <v>35</v>
      </c>
      <c r="M800">
        <v>350</v>
      </c>
      <c r="N800">
        <v>385</v>
      </c>
    </row>
    <row r="801" spans="1:14" hidden="1" x14ac:dyDescent="0.25">
      <c r="A801" s="120" t="s">
        <v>3463</v>
      </c>
      <c r="B801" s="120" t="s">
        <v>3805</v>
      </c>
      <c r="C801" s="120" t="s">
        <v>301</v>
      </c>
      <c r="D801" s="120" t="s">
        <v>542</v>
      </c>
      <c r="E801" s="120" t="s">
        <v>9</v>
      </c>
      <c r="F801" s="120" t="s">
        <v>10</v>
      </c>
      <c r="G801" s="120">
        <v>9</v>
      </c>
      <c r="H801">
        <v>6</v>
      </c>
      <c r="I801" s="120" t="s">
        <v>11</v>
      </c>
      <c r="J801">
        <v>3</v>
      </c>
      <c r="K801">
        <v>0</v>
      </c>
      <c r="L801">
        <v>35</v>
      </c>
      <c r="M801">
        <v>315</v>
      </c>
      <c r="N801">
        <v>210</v>
      </c>
    </row>
    <row r="802" spans="1:14" hidden="1" x14ac:dyDescent="0.25">
      <c r="A802" s="120" t="s">
        <v>3463</v>
      </c>
      <c r="B802" s="120" t="s">
        <v>3805</v>
      </c>
      <c r="C802" s="120" t="s">
        <v>301</v>
      </c>
      <c r="D802" s="120" t="s">
        <v>558</v>
      </c>
      <c r="E802" s="120" t="s">
        <v>16</v>
      </c>
      <c r="F802" s="120" t="s">
        <v>10</v>
      </c>
      <c r="G802" s="120">
        <v>10</v>
      </c>
      <c r="H802">
        <v>11</v>
      </c>
      <c r="I802" s="120" t="s">
        <v>11</v>
      </c>
      <c r="J802">
        <v>-1</v>
      </c>
      <c r="K802">
        <v>0</v>
      </c>
      <c r="L802">
        <v>35</v>
      </c>
      <c r="M802">
        <v>350</v>
      </c>
      <c r="N802">
        <v>385</v>
      </c>
    </row>
    <row r="803" spans="1:14" hidden="1" x14ac:dyDescent="0.25">
      <c r="A803" s="120" t="s">
        <v>3463</v>
      </c>
      <c r="B803" s="120" t="s">
        <v>3805</v>
      </c>
      <c r="C803" s="120" t="s">
        <v>301</v>
      </c>
      <c r="D803" s="120" t="s">
        <v>3478</v>
      </c>
      <c r="E803" s="120" t="s">
        <v>48</v>
      </c>
      <c r="F803" s="120" t="s">
        <v>10</v>
      </c>
      <c r="G803" s="120">
        <v>11</v>
      </c>
      <c r="H803">
        <v>0</v>
      </c>
      <c r="I803" s="120" t="s">
        <v>11</v>
      </c>
      <c r="J803">
        <v>11</v>
      </c>
      <c r="K803">
        <v>0</v>
      </c>
      <c r="L803">
        <v>0</v>
      </c>
      <c r="M803">
        <v>0</v>
      </c>
      <c r="N803">
        <v>0</v>
      </c>
    </row>
    <row r="804" spans="1:14" hidden="1" x14ac:dyDescent="0.25">
      <c r="A804" s="120" t="s">
        <v>3463</v>
      </c>
      <c r="B804" s="120" t="s">
        <v>3805</v>
      </c>
      <c r="C804" s="120" t="s">
        <v>301</v>
      </c>
      <c r="D804" s="120" t="s">
        <v>3480</v>
      </c>
      <c r="E804" s="120" t="s">
        <v>53</v>
      </c>
      <c r="F804" s="120" t="s">
        <v>14</v>
      </c>
      <c r="G804" s="120">
        <v>21</v>
      </c>
      <c r="H804">
        <v>0</v>
      </c>
      <c r="I804" s="120" t="s">
        <v>11</v>
      </c>
      <c r="J804">
        <v>21</v>
      </c>
      <c r="K804">
        <v>0</v>
      </c>
      <c r="L804">
        <v>0</v>
      </c>
      <c r="M804">
        <v>0</v>
      </c>
      <c r="N804">
        <v>0</v>
      </c>
    </row>
    <row r="805" spans="1:14" hidden="1" x14ac:dyDescent="0.25">
      <c r="A805" s="120" t="s">
        <v>3463</v>
      </c>
      <c r="B805" s="120" t="s">
        <v>3805</v>
      </c>
      <c r="C805" s="120" t="s">
        <v>301</v>
      </c>
      <c r="D805" s="120" t="s">
        <v>721</v>
      </c>
      <c r="E805" s="120" t="s">
        <v>31</v>
      </c>
      <c r="F805" s="120" t="s">
        <v>18</v>
      </c>
      <c r="G805" s="120">
        <v>12</v>
      </c>
      <c r="H805">
        <v>14</v>
      </c>
      <c r="I805" s="120" t="s">
        <v>11</v>
      </c>
      <c r="J805">
        <v>-2</v>
      </c>
      <c r="K805">
        <v>0</v>
      </c>
      <c r="L805">
        <v>60</v>
      </c>
      <c r="M805">
        <v>720</v>
      </c>
      <c r="N805">
        <v>840</v>
      </c>
    </row>
    <row r="806" spans="1:14" hidden="1" x14ac:dyDescent="0.25">
      <c r="A806" s="120" t="s">
        <v>3463</v>
      </c>
      <c r="B806" s="120" t="s">
        <v>3805</v>
      </c>
      <c r="C806" s="120" t="s">
        <v>301</v>
      </c>
      <c r="D806" s="120" t="s">
        <v>713</v>
      </c>
      <c r="E806" s="120" t="s">
        <v>28</v>
      </c>
      <c r="F806" s="120" t="s">
        <v>14</v>
      </c>
      <c r="G806" s="120">
        <v>9</v>
      </c>
      <c r="H806">
        <v>11</v>
      </c>
      <c r="I806" s="120" t="s">
        <v>11</v>
      </c>
      <c r="J806">
        <v>-2</v>
      </c>
      <c r="K806">
        <v>0</v>
      </c>
      <c r="L806">
        <v>5.9</v>
      </c>
      <c r="M806">
        <v>53.1</v>
      </c>
      <c r="N806">
        <v>64.900000000000006</v>
      </c>
    </row>
    <row r="807" spans="1:14" hidden="1" x14ac:dyDescent="0.25">
      <c r="A807" s="120" t="s">
        <v>3463</v>
      </c>
      <c r="B807" s="120" t="s">
        <v>3805</v>
      </c>
      <c r="C807" s="120" t="s">
        <v>301</v>
      </c>
      <c r="D807" s="120" t="s">
        <v>722</v>
      </c>
      <c r="E807" s="120" t="s">
        <v>33</v>
      </c>
      <c r="F807" s="120" t="s">
        <v>14</v>
      </c>
      <c r="G807" s="120">
        <v>9</v>
      </c>
      <c r="H807">
        <v>8</v>
      </c>
      <c r="I807" s="120" t="s">
        <v>11</v>
      </c>
      <c r="J807">
        <v>1</v>
      </c>
      <c r="K807">
        <v>0</v>
      </c>
      <c r="L807">
        <v>95</v>
      </c>
      <c r="M807">
        <v>855</v>
      </c>
      <c r="N807">
        <v>760</v>
      </c>
    </row>
    <row r="808" spans="1:14" hidden="1" x14ac:dyDescent="0.25">
      <c r="A808" s="120" t="s">
        <v>3463</v>
      </c>
      <c r="B808" s="120" t="s">
        <v>3805</v>
      </c>
      <c r="C808" s="120" t="s">
        <v>301</v>
      </c>
      <c r="D808" s="120" t="s">
        <v>3466</v>
      </c>
      <c r="E808" s="120" t="s">
        <v>19</v>
      </c>
      <c r="F808" s="120" t="s">
        <v>10</v>
      </c>
      <c r="G808" s="120">
        <v>14</v>
      </c>
      <c r="H808">
        <v>0</v>
      </c>
      <c r="I808" s="120" t="s">
        <v>11</v>
      </c>
      <c r="J808">
        <v>14</v>
      </c>
      <c r="K808">
        <v>0</v>
      </c>
      <c r="L808">
        <v>0</v>
      </c>
      <c r="M808">
        <v>0</v>
      </c>
      <c r="N808">
        <v>0</v>
      </c>
    </row>
    <row r="809" spans="1:14" hidden="1" x14ac:dyDescent="0.25">
      <c r="A809" s="120" t="s">
        <v>3463</v>
      </c>
      <c r="B809" s="120" t="s">
        <v>3805</v>
      </c>
      <c r="C809" s="120" t="s">
        <v>301</v>
      </c>
      <c r="D809" s="120" t="s">
        <v>3483</v>
      </c>
      <c r="E809" s="120" t="s">
        <v>64</v>
      </c>
      <c r="F809" s="120" t="s">
        <v>14</v>
      </c>
      <c r="G809" s="120">
        <v>26</v>
      </c>
      <c r="H809">
        <v>0</v>
      </c>
      <c r="I809" s="120" t="s">
        <v>11</v>
      </c>
      <c r="J809">
        <v>26</v>
      </c>
      <c r="K809">
        <v>0</v>
      </c>
      <c r="L809">
        <v>0</v>
      </c>
      <c r="M809">
        <v>0</v>
      </c>
      <c r="N809">
        <v>0</v>
      </c>
    </row>
    <row r="810" spans="1:14" hidden="1" x14ac:dyDescent="0.25">
      <c r="A810" s="120" t="s">
        <v>3463</v>
      </c>
      <c r="B810" s="120" t="s">
        <v>3805</v>
      </c>
      <c r="C810" s="120" t="s">
        <v>301</v>
      </c>
      <c r="D810" s="120" t="s">
        <v>3516</v>
      </c>
      <c r="E810" s="120" t="s">
        <v>151</v>
      </c>
      <c r="F810" s="120" t="s">
        <v>10</v>
      </c>
      <c r="G810" s="120">
        <v>7</v>
      </c>
      <c r="H810">
        <v>0</v>
      </c>
      <c r="I810" s="120" t="s">
        <v>11</v>
      </c>
      <c r="J810">
        <v>7</v>
      </c>
      <c r="K810">
        <v>0</v>
      </c>
      <c r="L810">
        <v>0</v>
      </c>
      <c r="M810">
        <v>0</v>
      </c>
      <c r="N810">
        <v>0</v>
      </c>
    </row>
    <row r="811" spans="1:14" hidden="1" x14ac:dyDescent="0.25">
      <c r="A811" s="120" t="s">
        <v>3463</v>
      </c>
      <c r="B811" s="120" t="s">
        <v>3805</v>
      </c>
      <c r="C811" s="120" t="s">
        <v>301</v>
      </c>
      <c r="D811" s="120" t="s">
        <v>3475</v>
      </c>
      <c r="E811" s="120" t="s">
        <v>37</v>
      </c>
      <c r="F811" s="120" t="s">
        <v>14</v>
      </c>
      <c r="G811" s="120">
        <v>11</v>
      </c>
      <c r="H811">
        <v>0</v>
      </c>
      <c r="I811" s="120" t="s">
        <v>11</v>
      </c>
      <c r="J811">
        <v>11</v>
      </c>
      <c r="K811">
        <v>0</v>
      </c>
      <c r="L811">
        <v>0</v>
      </c>
      <c r="M811">
        <v>0</v>
      </c>
      <c r="N811">
        <v>0</v>
      </c>
    </row>
    <row r="812" spans="1:14" hidden="1" x14ac:dyDescent="0.25">
      <c r="A812" s="120" t="s">
        <v>3463</v>
      </c>
      <c r="B812" s="120" t="s">
        <v>3805</v>
      </c>
      <c r="C812" s="120" t="s">
        <v>301</v>
      </c>
      <c r="D812" s="120" t="s">
        <v>3484</v>
      </c>
      <c r="E812" s="120" t="s">
        <v>65</v>
      </c>
      <c r="F812" s="120" t="s">
        <v>14</v>
      </c>
      <c r="G812" s="120">
        <v>13</v>
      </c>
      <c r="H812">
        <v>0</v>
      </c>
      <c r="I812" s="120" t="s">
        <v>11</v>
      </c>
      <c r="J812">
        <v>13</v>
      </c>
      <c r="K812">
        <v>0</v>
      </c>
      <c r="L812">
        <v>0</v>
      </c>
      <c r="M812">
        <v>0</v>
      </c>
      <c r="N812">
        <v>0</v>
      </c>
    </row>
    <row r="813" spans="1:14" hidden="1" x14ac:dyDescent="0.25">
      <c r="A813" s="120" t="s">
        <v>3463</v>
      </c>
      <c r="B813" s="120" t="s">
        <v>3805</v>
      </c>
      <c r="C813" s="120" t="s">
        <v>301</v>
      </c>
      <c r="D813" s="120" t="s">
        <v>3465</v>
      </c>
      <c r="E813" s="120" t="s">
        <v>17</v>
      </c>
      <c r="F813" s="120" t="s">
        <v>18</v>
      </c>
      <c r="G813" s="120">
        <v>8</v>
      </c>
      <c r="H813">
        <v>0</v>
      </c>
      <c r="I813" s="120" t="s">
        <v>11</v>
      </c>
      <c r="J813">
        <v>8</v>
      </c>
      <c r="K813">
        <v>0</v>
      </c>
      <c r="L813">
        <v>0</v>
      </c>
      <c r="M813">
        <v>0</v>
      </c>
      <c r="N813">
        <v>0</v>
      </c>
    </row>
    <row r="814" spans="1:14" hidden="1" x14ac:dyDescent="0.25">
      <c r="A814" s="120" t="s">
        <v>3463</v>
      </c>
      <c r="B814" s="120" t="s">
        <v>3805</v>
      </c>
      <c r="C814" s="120" t="s">
        <v>301</v>
      </c>
      <c r="D814" s="120" t="s">
        <v>712</v>
      </c>
      <c r="E814" s="120" t="s">
        <v>51</v>
      </c>
      <c r="F814" s="120" t="s">
        <v>14</v>
      </c>
      <c r="G814" s="120">
        <v>24</v>
      </c>
      <c r="H814">
        <v>23</v>
      </c>
      <c r="I814" s="120" t="s">
        <v>11</v>
      </c>
      <c r="J814">
        <v>1</v>
      </c>
      <c r="K814">
        <v>0</v>
      </c>
      <c r="L814">
        <v>10</v>
      </c>
      <c r="M814">
        <v>240</v>
      </c>
      <c r="N814">
        <v>230</v>
      </c>
    </row>
    <row r="815" spans="1:14" hidden="1" x14ac:dyDescent="0.25">
      <c r="A815" s="120" t="s">
        <v>3463</v>
      </c>
      <c r="B815" s="120" t="s">
        <v>3805</v>
      </c>
      <c r="C815" s="120" t="s">
        <v>301</v>
      </c>
      <c r="D815" s="120" t="s">
        <v>714</v>
      </c>
      <c r="E815" s="120" t="s">
        <v>52</v>
      </c>
      <c r="F815" s="120" t="s">
        <v>14</v>
      </c>
      <c r="G815" s="120">
        <v>16</v>
      </c>
      <c r="H815">
        <v>15</v>
      </c>
      <c r="I815" s="120" t="s">
        <v>11</v>
      </c>
      <c r="J815">
        <v>1</v>
      </c>
      <c r="K815">
        <v>0</v>
      </c>
      <c r="L815">
        <v>3</v>
      </c>
      <c r="M815">
        <v>48</v>
      </c>
      <c r="N815">
        <v>45</v>
      </c>
    </row>
    <row r="816" spans="1:14" hidden="1" x14ac:dyDescent="0.25">
      <c r="A816" s="120" t="s">
        <v>3463</v>
      </c>
      <c r="B816" s="120" t="s">
        <v>3805</v>
      </c>
      <c r="C816" s="120" t="s">
        <v>301</v>
      </c>
      <c r="D816" s="120" t="s">
        <v>1186</v>
      </c>
      <c r="E816" s="120" t="s">
        <v>160</v>
      </c>
      <c r="F816" s="120" t="s">
        <v>10</v>
      </c>
      <c r="G816" s="120">
        <v>8</v>
      </c>
      <c r="H816">
        <v>7</v>
      </c>
      <c r="I816" s="120" t="s">
        <v>11</v>
      </c>
      <c r="J816">
        <v>1</v>
      </c>
      <c r="K816">
        <v>0</v>
      </c>
      <c r="L816">
        <v>14.8</v>
      </c>
      <c r="M816">
        <v>118.4</v>
      </c>
      <c r="N816">
        <v>103.60000000000001</v>
      </c>
    </row>
    <row r="817" spans="1:14" hidden="1" x14ac:dyDescent="0.25">
      <c r="A817" s="120" t="s">
        <v>3463</v>
      </c>
      <c r="B817" s="120" t="s">
        <v>3805</v>
      </c>
      <c r="C817" s="120" t="s">
        <v>301</v>
      </c>
      <c r="D817" s="120" t="s">
        <v>3515</v>
      </c>
      <c r="E817" s="120" t="s">
        <v>146</v>
      </c>
      <c r="F817" s="120" t="s">
        <v>14</v>
      </c>
      <c r="G817" s="120">
        <v>4</v>
      </c>
      <c r="H817">
        <v>0</v>
      </c>
      <c r="I817" s="120" t="s">
        <v>11</v>
      </c>
      <c r="J817">
        <v>4</v>
      </c>
      <c r="K817">
        <v>0</v>
      </c>
      <c r="L817">
        <v>0</v>
      </c>
      <c r="M817">
        <v>0</v>
      </c>
      <c r="N817">
        <v>0</v>
      </c>
    </row>
    <row r="818" spans="1:14" hidden="1" x14ac:dyDescent="0.25">
      <c r="A818" s="120" t="s">
        <v>3463</v>
      </c>
      <c r="B818" s="120" t="s">
        <v>3805</v>
      </c>
      <c r="C818" s="120" t="s">
        <v>301</v>
      </c>
      <c r="D818" s="120" t="s">
        <v>626</v>
      </c>
      <c r="E818" s="120" t="s">
        <v>22</v>
      </c>
      <c r="F818" s="120" t="s">
        <v>10</v>
      </c>
      <c r="G818" s="120">
        <v>15</v>
      </c>
      <c r="H818">
        <v>19</v>
      </c>
      <c r="I818" s="120" t="s">
        <v>11</v>
      </c>
      <c r="J818">
        <v>-4</v>
      </c>
      <c r="K818">
        <v>0</v>
      </c>
      <c r="L818">
        <v>14.9</v>
      </c>
      <c r="M818">
        <v>223.5</v>
      </c>
      <c r="N818">
        <v>283.10000000000002</v>
      </c>
    </row>
    <row r="819" spans="1:14" hidden="1" x14ac:dyDescent="0.25">
      <c r="A819" s="120" t="s">
        <v>3463</v>
      </c>
      <c r="B819" s="120" t="s">
        <v>3805</v>
      </c>
      <c r="C819" s="120" t="s">
        <v>301</v>
      </c>
      <c r="D819" s="120" t="s">
        <v>3518</v>
      </c>
      <c r="E819" s="120" t="s">
        <v>161</v>
      </c>
      <c r="F819" s="120" t="s">
        <v>18</v>
      </c>
      <c r="G819" s="120">
        <v>5</v>
      </c>
      <c r="H819">
        <v>0</v>
      </c>
      <c r="I819" s="120" t="s">
        <v>11</v>
      </c>
      <c r="J819">
        <v>5</v>
      </c>
      <c r="K819">
        <v>0</v>
      </c>
      <c r="L819">
        <v>0</v>
      </c>
      <c r="M819">
        <v>0</v>
      </c>
      <c r="N819">
        <v>0</v>
      </c>
    </row>
    <row r="820" spans="1:14" hidden="1" x14ac:dyDescent="0.25">
      <c r="A820" s="120" t="s">
        <v>3463</v>
      </c>
      <c r="B820" s="120" t="s">
        <v>3805</v>
      </c>
      <c r="C820" s="120" t="s">
        <v>301</v>
      </c>
      <c r="D820" s="120" t="s">
        <v>546</v>
      </c>
      <c r="E820" s="120" t="s">
        <v>15</v>
      </c>
      <c r="F820" s="120" t="s">
        <v>10</v>
      </c>
      <c r="G820" s="120">
        <v>5</v>
      </c>
      <c r="H820">
        <v>9</v>
      </c>
      <c r="I820" s="120" t="s">
        <v>11</v>
      </c>
      <c r="J820">
        <v>-4</v>
      </c>
      <c r="K820">
        <v>0</v>
      </c>
      <c r="L820">
        <v>27.99</v>
      </c>
      <c r="M820">
        <v>139.94999999999999</v>
      </c>
      <c r="N820">
        <v>251.91</v>
      </c>
    </row>
    <row r="821" spans="1:14" hidden="1" x14ac:dyDescent="0.25">
      <c r="A821" s="120" t="s">
        <v>3463</v>
      </c>
      <c r="B821" s="120" t="s">
        <v>3805</v>
      </c>
      <c r="C821" s="120" t="s">
        <v>301</v>
      </c>
      <c r="D821" s="120" t="s">
        <v>3472</v>
      </c>
      <c r="E821" s="120" t="s">
        <v>32</v>
      </c>
      <c r="F821" s="120" t="s">
        <v>10</v>
      </c>
      <c r="G821" s="120">
        <v>12</v>
      </c>
      <c r="H821">
        <v>0</v>
      </c>
      <c r="I821" s="120" t="s">
        <v>11</v>
      </c>
      <c r="J821">
        <v>12</v>
      </c>
      <c r="K821">
        <v>0</v>
      </c>
      <c r="L821">
        <v>0</v>
      </c>
      <c r="M821">
        <v>0</v>
      </c>
      <c r="N821">
        <v>0</v>
      </c>
    </row>
    <row r="822" spans="1:14" hidden="1" x14ac:dyDescent="0.25">
      <c r="A822" s="120" t="s">
        <v>3463</v>
      </c>
      <c r="B822" s="120" t="s">
        <v>3805</v>
      </c>
      <c r="C822" s="120" t="s">
        <v>301</v>
      </c>
      <c r="D822" s="120" t="s">
        <v>544</v>
      </c>
      <c r="E822" s="120" t="s">
        <v>13</v>
      </c>
      <c r="F822" s="120" t="s">
        <v>14</v>
      </c>
      <c r="G822" s="120">
        <v>12</v>
      </c>
      <c r="H822">
        <v>11</v>
      </c>
      <c r="I822" s="120" t="s">
        <v>11</v>
      </c>
      <c r="J822">
        <v>1</v>
      </c>
      <c r="K822">
        <v>0</v>
      </c>
      <c r="L822">
        <v>30</v>
      </c>
      <c r="M822">
        <v>360</v>
      </c>
      <c r="N822">
        <v>330</v>
      </c>
    </row>
    <row r="823" spans="1:14" hidden="1" x14ac:dyDescent="0.25">
      <c r="A823" s="120" t="s">
        <v>3463</v>
      </c>
      <c r="B823" s="120" t="s">
        <v>3805</v>
      </c>
      <c r="C823" s="120" t="s">
        <v>301</v>
      </c>
      <c r="D823" s="120" t="s">
        <v>549</v>
      </c>
      <c r="E823" s="120" t="s">
        <v>46</v>
      </c>
      <c r="F823" s="120" t="s">
        <v>10</v>
      </c>
      <c r="G823" s="120">
        <v>13</v>
      </c>
      <c r="H823">
        <v>6</v>
      </c>
      <c r="I823" s="120" t="s">
        <v>11</v>
      </c>
      <c r="J823">
        <v>7</v>
      </c>
      <c r="K823">
        <v>0</v>
      </c>
      <c r="L823">
        <v>15</v>
      </c>
      <c r="M823">
        <v>195</v>
      </c>
      <c r="N823">
        <v>90</v>
      </c>
    </row>
    <row r="824" spans="1:14" hidden="1" x14ac:dyDescent="0.25">
      <c r="A824" s="120" t="s">
        <v>3463</v>
      </c>
      <c r="B824" s="120" t="s">
        <v>3805</v>
      </c>
      <c r="C824" s="120" t="s">
        <v>301</v>
      </c>
      <c r="D824" s="120" t="s">
        <v>3469</v>
      </c>
      <c r="E824" s="120" t="s">
        <v>25</v>
      </c>
      <c r="F824" s="120" t="s">
        <v>10</v>
      </c>
      <c r="G824" s="120">
        <v>1</v>
      </c>
      <c r="H824">
        <v>0</v>
      </c>
      <c r="I824" s="120" t="s">
        <v>11</v>
      </c>
      <c r="J824">
        <v>1</v>
      </c>
      <c r="K824">
        <v>0</v>
      </c>
      <c r="L824">
        <v>0</v>
      </c>
      <c r="M824">
        <v>0</v>
      </c>
      <c r="N824">
        <v>0</v>
      </c>
    </row>
    <row r="825" spans="1:14" hidden="1" x14ac:dyDescent="0.25">
      <c r="A825" s="120" t="s">
        <v>3463</v>
      </c>
      <c r="B825" s="120" t="s">
        <v>3816</v>
      </c>
      <c r="C825" s="120" t="s">
        <v>301</v>
      </c>
      <c r="D825" s="120" t="s">
        <v>3817</v>
      </c>
      <c r="E825" s="120" t="s">
        <v>1849</v>
      </c>
      <c r="F825" s="120" t="s">
        <v>14</v>
      </c>
      <c r="G825" s="120">
        <v>0</v>
      </c>
      <c r="H825">
        <v>0</v>
      </c>
      <c r="I825" s="120" t="s">
        <v>57</v>
      </c>
      <c r="J825">
        <v>0</v>
      </c>
      <c r="K825">
        <v>1</v>
      </c>
      <c r="L825" s="121">
        <v>0</v>
      </c>
      <c r="M825" s="121">
        <v>0</v>
      </c>
      <c r="N825" s="121">
        <v>0</v>
      </c>
    </row>
    <row r="826" spans="1:14" hidden="1" x14ac:dyDescent="0.25">
      <c r="A826" s="120" t="s">
        <v>3463</v>
      </c>
      <c r="B826" s="120" t="s">
        <v>3805</v>
      </c>
      <c r="C826" s="120" t="s">
        <v>301</v>
      </c>
      <c r="D826" s="120" t="s">
        <v>3471</v>
      </c>
      <c r="E826" s="120" t="s">
        <v>30</v>
      </c>
      <c r="F826" s="120" t="s">
        <v>10</v>
      </c>
      <c r="G826" s="120">
        <v>13</v>
      </c>
      <c r="H826">
        <v>0</v>
      </c>
      <c r="I826" s="120" t="s">
        <v>11</v>
      </c>
      <c r="J826">
        <v>13</v>
      </c>
      <c r="K826">
        <v>0</v>
      </c>
      <c r="L826">
        <v>0</v>
      </c>
      <c r="M826">
        <v>0</v>
      </c>
      <c r="N826">
        <v>0</v>
      </c>
    </row>
    <row r="827" spans="1:14" hidden="1" x14ac:dyDescent="0.25">
      <c r="A827" s="120" t="s">
        <v>3463</v>
      </c>
      <c r="B827" s="120" t="s">
        <v>3805</v>
      </c>
      <c r="C827" s="120" t="s">
        <v>69</v>
      </c>
      <c r="D827" s="120" t="s">
        <v>3524</v>
      </c>
      <c r="E827" s="120" t="s">
        <v>169</v>
      </c>
      <c r="F827" s="120" t="s">
        <v>14</v>
      </c>
      <c r="G827" s="120">
        <v>3</v>
      </c>
      <c r="H827">
        <v>0</v>
      </c>
      <c r="I827" s="120" t="s">
        <v>11</v>
      </c>
      <c r="J827">
        <v>3</v>
      </c>
      <c r="K827">
        <v>0</v>
      </c>
      <c r="L827">
        <v>0</v>
      </c>
      <c r="M827">
        <v>0</v>
      </c>
      <c r="N827">
        <v>0</v>
      </c>
    </row>
    <row r="828" spans="1:14" hidden="1" x14ac:dyDescent="0.25">
      <c r="A828" s="120" t="s">
        <v>3463</v>
      </c>
      <c r="B828" s="120" t="s">
        <v>3805</v>
      </c>
      <c r="C828" s="120" t="s">
        <v>301</v>
      </c>
      <c r="D828" s="120" t="s">
        <v>697</v>
      </c>
      <c r="E828" s="120" t="s">
        <v>27</v>
      </c>
      <c r="F828" s="120" t="s">
        <v>10</v>
      </c>
      <c r="G828" s="120">
        <v>14</v>
      </c>
      <c r="H828">
        <v>10</v>
      </c>
      <c r="I828" s="120" t="s">
        <v>11</v>
      </c>
      <c r="J828">
        <v>4</v>
      </c>
      <c r="K828">
        <v>0</v>
      </c>
      <c r="L828">
        <v>15</v>
      </c>
      <c r="M828">
        <v>210</v>
      </c>
      <c r="N828">
        <v>150</v>
      </c>
    </row>
    <row r="829" spans="1:14" hidden="1" x14ac:dyDescent="0.25">
      <c r="A829" s="120" t="s">
        <v>3463</v>
      </c>
      <c r="B829" s="120" t="s">
        <v>3816</v>
      </c>
      <c r="C829" s="120" t="s">
        <v>301</v>
      </c>
      <c r="D829" s="120" t="s">
        <v>3712</v>
      </c>
      <c r="E829" s="120" t="s">
        <v>1788</v>
      </c>
      <c r="F829" s="120" t="s">
        <v>3449</v>
      </c>
      <c r="G829" s="120">
        <v>0</v>
      </c>
      <c r="H829">
        <v>0</v>
      </c>
      <c r="I829" s="120" t="s">
        <v>11</v>
      </c>
      <c r="J829">
        <v>0</v>
      </c>
      <c r="K829">
        <v>1</v>
      </c>
      <c r="L829" s="121">
        <v>0</v>
      </c>
      <c r="M829" s="121">
        <v>0</v>
      </c>
      <c r="N829" s="121">
        <v>0</v>
      </c>
    </row>
    <row r="830" spans="1:14" hidden="1" x14ac:dyDescent="0.25">
      <c r="A830" s="120" t="s">
        <v>3463</v>
      </c>
      <c r="B830" s="120" t="s">
        <v>3805</v>
      </c>
      <c r="C830" s="120" t="s">
        <v>301</v>
      </c>
      <c r="D830" s="120" t="s">
        <v>750</v>
      </c>
      <c r="E830" s="120" t="s">
        <v>148</v>
      </c>
      <c r="F830" s="120" t="s">
        <v>14</v>
      </c>
      <c r="G830" s="120">
        <v>14</v>
      </c>
      <c r="H830">
        <v>12</v>
      </c>
      <c r="I830" s="120" t="s">
        <v>11</v>
      </c>
      <c r="J830">
        <v>2</v>
      </c>
      <c r="K830">
        <v>0</v>
      </c>
      <c r="L830">
        <v>16</v>
      </c>
      <c r="M830">
        <v>224</v>
      </c>
      <c r="N830">
        <v>192</v>
      </c>
    </row>
    <row r="831" spans="1:14" hidden="1" x14ac:dyDescent="0.25">
      <c r="A831" s="120" t="s">
        <v>3463</v>
      </c>
      <c r="B831" s="120" t="s">
        <v>3805</v>
      </c>
      <c r="C831" s="120" t="s">
        <v>301</v>
      </c>
      <c r="D831" s="120" t="s">
        <v>3589</v>
      </c>
      <c r="E831" s="120" t="s">
        <v>389</v>
      </c>
      <c r="F831" s="120" t="s">
        <v>14</v>
      </c>
      <c r="G831" s="120">
        <v>20</v>
      </c>
      <c r="H831">
        <v>0</v>
      </c>
      <c r="I831" s="120" t="s">
        <v>47</v>
      </c>
      <c r="J831">
        <v>20</v>
      </c>
      <c r="K831">
        <v>0</v>
      </c>
      <c r="L831">
        <v>0</v>
      </c>
      <c r="M831">
        <v>0</v>
      </c>
      <c r="N831">
        <v>0</v>
      </c>
    </row>
    <row r="832" spans="1:14" hidden="1" x14ac:dyDescent="0.25">
      <c r="A832" s="120" t="s">
        <v>3463</v>
      </c>
      <c r="B832" s="120" t="s">
        <v>3805</v>
      </c>
      <c r="C832" s="120" t="s">
        <v>301</v>
      </c>
      <c r="D832" s="120" t="s">
        <v>3474</v>
      </c>
      <c r="E832" s="120" t="s">
        <v>36</v>
      </c>
      <c r="F832" s="120" t="s">
        <v>14</v>
      </c>
      <c r="G832" s="120">
        <v>5</v>
      </c>
      <c r="H832">
        <v>0</v>
      </c>
      <c r="I832" s="120" t="s">
        <v>47</v>
      </c>
      <c r="J832">
        <v>5</v>
      </c>
      <c r="K832">
        <v>0</v>
      </c>
      <c r="L832">
        <v>0</v>
      </c>
      <c r="M832">
        <v>0</v>
      </c>
      <c r="N832">
        <v>0</v>
      </c>
    </row>
    <row r="833" spans="1:14" hidden="1" x14ac:dyDescent="0.25">
      <c r="A833" s="120" t="s">
        <v>3463</v>
      </c>
      <c r="B833" s="120" t="s">
        <v>3816</v>
      </c>
      <c r="C833" s="120" t="s">
        <v>301</v>
      </c>
      <c r="D833" s="120" t="s">
        <v>3514</v>
      </c>
      <c r="E833" s="120" t="s">
        <v>141</v>
      </c>
      <c r="F833" s="120" t="s">
        <v>10</v>
      </c>
      <c r="G833" s="120">
        <v>0</v>
      </c>
      <c r="H833">
        <v>0</v>
      </c>
      <c r="I833" s="120" t="s">
        <v>57</v>
      </c>
      <c r="J833">
        <v>0</v>
      </c>
      <c r="K833">
        <v>1</v>
      </c>
      <c r="L833" s="121">
        <v>0</v>
      </c>
      <c r="M833" s="121">
        <v>0</v>
      </c>
      <c r="N833" s="121">
        <v>0</v>
      </c>
    </row>
    <row r="834" spans="1:14" hidden="1" x14ac:dyDescent="0.25">
      <c r="A834" s="120" t="s">
        <v>3463</v>
      </c>
      <c r="B834" s="120" t="s">
        <v>3805</v>
      </c>
      <c r="C834" s="120" t="s">
        <v>301</v>
      </c>
      <c r="D834" s="120" t="s">
        <v>1128</v>
      </c>
      <c r="E834" s="120" t="s">
        <v>40</v>
      </c>
      <c r="F834" s="120" t="s">
        <v>18</v>
      </c>
      <c r="G834" s="120">
        <v>5</v>
      </c>
      <c r="H834">
        <v>3</v>
      </c>
      <c r="I834" s="120" t="s">
        <v>47</v>
      </c>
      <c r="J834">
        <v>2</v>
      </c>
      <c r="K834">
        <v>0</v>
      </c>
      <c r="L834">
        <v>69</v>
      </c>
      <c r="M834">
        <v>345</v>
      </c>
      <c r="N834">
        <v>207</v>
      </c>
    </row>
    <row r="835" spans="1:14" hidden="1" x14ac:dyDescent="0.25">
      <c r="A835" s="120" t="s">
        <v>3463</v>
      </c>
      <c r="B835" s="120" t="s">
        <v>3805</v>
      </c>
      <c r="C835" s="120" t="s">
        <v>301</v>
      </c>
      <c r="D835" s="120" t="s">
        <v>749</v>
      </c>
      <c r="E835" s="120" t="s">
        <v>147</v>
      </c>
      <c r="F835" s="120" t="s">
        <v>10</v>
      </c>
      <c r="G835" s="120">
        <v>13</v>
      </c>
      <c r="H835">
        <v>11</v>
      </c>
      <c r="I835" s="120" t="s">
        <v>47</v>
      </c>
      <c r="J835">
        <v>2</v>
      </c>
      <c r="K835">
        <v>0</v>
      </c>
      <c r="L835">
        <v>40</v>
      </c>
      <c r="M835">
        <v>520</v>
      </c>
      <c r="N835">
        <v>440</v>
      </c>
    </row>
    <row r="836" spans="1:14" hidden="1" x14ac:dyDescent="0.25">
      <c r="A836" s="120" t="s">
        <v>3463</v>
      </c>
      <c r="B836" s="120" t="s">
        <v>3805</v>
      </c>
      <c r="C836" s="120" t="s">
        <v>301</v>
      </c>
      <c r="D836" s="120" t="s">
        <v>538</v>
      </c>
      <c r="E836" s="120" t="s">
        <v>56</v>
      </c>
      <c r="F836" s="120" t="s">
        <v>10</v>
      </c>
      <c r="G836" s="120">
        <v>6</v>
      </c>
      <c r="H836">
        <v>0</v>
      </c>
      <c r="I836" s="120" t="s">
        <v>47</v>
      </c>
      <c r="J836">
        <v>6</v>
      </c>
      <c r="K836">
        <v>0</v>
      </c>
      <c r="L836">
        <v>21</v>
      </c>
      <c r="M836">
        <v>126</v>
      </c>
      <c r="N836">
        <v>0</v>
      </c>
    </row>
    <row r="837" spans="1:14" hidden="1" x14ac:dyDescent="0.25">
      <c r="A837" s="120" t="s">
        <v>3463</v>
      </c>
      <c r="B837" s="120" t="s">
        <v>3805</v>
      </c>
      <c r="C837" s="120" t="s">
        <v>301</v>
      </c>
      <c r="D837" s="120" t="s">
        <v>1115</v>
      </c>
      <c r="E837" s="120" t="s">
        <v>39</v>
      </c>
      <c r="F837" s="120" t="s">
        <v>18</v>
      </c>
      <c r="G837" s="120">
        <v>2</v>
      </c>
      <c r="H837">
        <v>1</v>
      </c>
      <c r="I837" s="120" t="s">
        <v>47</v>
      </c>
      <c r="J837">
        <v>1</v>
      </c>
      <c r="K837">
        <v>0</v>
      </c>
      <c r="L837">
        <v>140</v>
      </c>
      <c r="M837">
        <v>280</v>
      </c>
      <c r="N837">
        <v>140</v>
      </c>
    </row>
    <row r="838" spans="1:14" hidden="1" x14ac:dyDescent="0.25">
      <c r="A838" s="120" t="s">
        <v>3463</v>
      </c>
      <c r="B838" s="120" t="s">
        <v>3816</v>
      </c>
      <c r="C838" s="120" t="s">
        <v>301</v>
      </c>
      <c r="D838" s="120" t="s">
        <v>3476</v>
      </c>
      <c r="E838" s="120" t="s">
        <v>42</v>
      </c>
      <c r="F838" s="120" t="s">
        <v>18</v>
      </c>
      <c r="G838" s="120">
        <v>0</v>
      </c>
      <c r="H838">
        <v>0</v>
      </c>
      <c r="I838" s="120" t="s">
        <v>57</v>
      </c>
      <c r="J838">
        <v>0</v>
      </c>
      <c r="K838">
        <v>1</v>
      </c>
      <c r="L838" s="121">
        <v>0</v>
      </c>
      <c r="M838" s="121">
        <v>0</v>
      </c>
      <c r="N838" s="121">
        <v>0</v>
      </c>
    </row>
    <row r="839" spans="1:14" hidden="1" x14ac:dyDescent="0.25">
      <c r="A839" s="120" t="s">
        <v>3463</v>
      </c>
      <c r="B839" s="120" t="s">
        <v>3805</v>
      </c>
      <c r="C839" s="120" t="s">
        <v>301</v>
      </c>
      <c r="D839" s="120" t="s">
        <v>622</v>
      </c>
      <c r="E839" s="120" t="s">
        <v>20</v>
      </c>
      <c r="F839" s="120" t="s">
        <v>18</v>
      </c>
      <c r="G839" s="120">
        <v>21</v>
      </c>
      <c r="H839">
        <v>24</v>
      </c>
      <c r="I839" s="120" t="s">
        <v>47</v>
      </c>
      <c r="J839">
        <v>-3</v>
      </c>
      <c r="K839">
        <v>0</v>
      </c>
      <c r="L839">
        <v>12</v>
      </c>
      <c r="M839">
        <v>252</v>
      </c>
      <c r="N839">
        <v>288</v>
      </c>
    </row>
    <row r="840" spans="1:14" hidden="1" x14ac:dyDescent="0.25">
      <c r="A840" s="120" t="s">
        <v>3463</v>
      </c>
      <c r="B840" s="120" t="s">
        <v>3805</v>
      </c>
      <c r="C840" s="120" t="s">
        <v>301</v>
      </c>
      <c r="D840" s="120" t="s">
        <v>627</v>
      </c>
      <c r="E840" s="120" t="s">
        <v>58</v>
      </c>
      <c r="F840" s="120" t="s">
        <v>59</v>
      </c>
      <c r="G840" s="120">
        <v>5</v>
      </c>
      <c r="H840">
        <v>8</v>
      </c>
      <c r="I840" s="120" t="s">
        <v>47</v>
      </c>
      <c r="J840">
        <v>-3</v>
      </c>
      <c r="K840">
        <v>0</v>
      </c>
      <c r="L840">
        <v>3.8</v>
      </c>
      <c r="M840">
        <v>19</v>
      </c>
      <c r="N840">
        <v>30.4</v>
      </c>
    </row>
    <row r="841" spans="1:14" hidden="1" x14ac:dyDescent="0.25">
      <c r="A841" s="120" t="s">
        <v>3463</v>
      </c>
      <c r="B841" s="120" t="s">
        <v>3805</v>
      </c>
      <c r="C841" s="120" t="s">
        <v>301</v>
      </c>
      <c r="D841" s="120" t="s">
        <v>3473</v>
      </c>
      <c r="E841" s="120" t="s">
        <v>35</v>
      </c>
      <c r="F841" s="120" t="s">
        <v>10</v>
      </c>
      <c r="G841" s="120">
        <v>5</v>
      </c>
      <c r="H841">
        <v>0</v>
      </c>
      <c r="I841" s="120" t="s">
        <v>47</v>
      </c>
      <c r="J841">
        <v>5</v>
      </c>
      <c r="K841">
        <v>0</v>
      </c>
      <c r="L841">
        <v>0</v>
      </c>
      <c r="M841">
        <v>0</v>
      </c>
      <c r="N841">
        <v>0</v>
      </c>
    </row>
    <row r="842" spans="1:14" hidden="1" x14ac:dyDescent="0.25">
      <c r="A842" s="120" t="s">
        <v>3463</v>
      </c>
      <c r="B842" s="120" t="s">
        <v>3805</v>
      </c>
      <c r="C842" s="120" t="s">
        <v>301</v>
      </c>
      <c r="D842" s="120" t="s">
        <v>3694</v>
      </c>
      <c r="E842" s="120" t="s">
        <v>1783</v>
      </c>
      <c r="F842" s="120" t="s">
        <v>14</v>
      </c>
      <c r="G842" s="120">
        <v>50</v>
      </c>
      <c r="H842">
        <v>0</v>
      </c>
      <c r="I842" s="120" t="s">
        <v>47</v>
      </c>
      <c r="J842">
        <v>50</v>
      </c>
      <c r="K842">
        <v>0</v>
      </c>
      <c r="L842">
        <v>0</v>
      </c>
      <c r="M842">
        <v>0</v>
      </c>
      <c r="N842">
        <v>0</v>
      </c>
    </row>
    <row r="843" spans="1:14" hidden="1" x14ac:dyDescent="0.25">
      <c r="A843" s="120" t="s">
        <v>3463</v>
      </c>
      <c r="B843" s="120" t="s">
        <v>3805</v>
      </c>
      <c r="C843" s="120" t="s">
        <v>301</v>
      </c>
      <c r="D843" s="120" t="s">
        <v>621</v>
      </c>
      <c r="E843" s="120" t="s">
        <v>49</v>
      </c>
      <c r="F843" s="120" t="s">
        <v>18</v>
      </c>
      <c r="G843" s="120">
        <v>7</v>
      </c>
      <c r="H843">
        <v>13</v>
      </c>
      <c r="I843" s="120" t="s">
        <v>47</v>
      </c>
      <c r="J843">
        <v>-6</v>
      </c>
      <c r="K843">
        <v>0</v>
      </c>
      <c r="L843">
        <v>11</v>
      </c>
      <c r="M843">
        <v>77</v>
      </c>
      <c r="N843">
        <v>143</v>
      </c>
    </row>
    <row r="844" spans="1:14" hidden="1" x14ac:dyDescent="0.25">
      <c r="A844" s="120" t="s">
        <v>3463</v>
      </c>
      <c r="B844" s="120" t="s">
        <v>3805</v>
      </c>
      <c r="C844" s="120" t="s">
        <v>301</v>
      </c>
      <c r="D844" s="120" t="s">
        <v>623</v>
      </c>
      <c r="E844" s="120" t="s">
        <v>21</v>
      </c>
      <c r="F844" s="120" t="s">
        <v>18</v>
      </c>
      <c r="G844" s="120">
        <v>15</v>
      </c>
      <c r="H844">
        <v>19</v>
      </c>
      <c r="I844" s="120" t="s">
        <v>47</v>
      </c>
      <c r="J844">
        <v>-4</v>
      </c>
      <c r="K844">
        <v>0</v>
      </c>
      <c r="L844">
        <v>13</v>
      </c>
      <c r="M844">
        <v>195</v>
      </c>
      <c r="N844">
        <v>247</v>
      </c>
    </row>
    <row r="845" spans="1:14" hidden="1" x14ac:dyDescent="0.25">
      <c r="A845" s="120" t="s">
        <v>3463</v>
      </c>
      <c r="B845" s="120" t="s">
        <v>3805</v>
      </c>
      <c r="C845" s="120" t="s">
        <v>301</v>
      </c>
      <c r="D845" s="120" t="s">
        <v>604</v>
      </c>
      <c r="E845" s="120" t="s">
        <v>605</v>
      </c>
      <c r="F845" s="120"/>
      <c r="G845" s="120">
        <v>3</v>
      </c>
      <c r="H845">
        <v>6</v>
      </c>
      <c r="I845" s="120" t="s">
        <v>57</v>
      </c>
      <c r="J845">
        <v>-3</v>
      </c>
      <c r="K845">
        <v>0</v>
      </c>
      <c r="L845">
        <v>11</v>
      </c>
      <c r="M845">
        <v>33</v>
      </c>
      <c r="N845">
        <v>66</v>
      </c>
    </row>
    <row r="846" spans="1:14" hidden="1" x14ac:dyDescent="0.25">
      <c r="A846" s="120" t="s">
        <v>3463</v>
      </c>
      <c r="B846" s="120" t="s">
        <v>3805</v>
      </c>
      <c r="C846" s="120" t="s">
        <v>301</v>
      </c>
      <c r="D846" s="120" t="s">
        <v>3530</v>
      </c>
      <c r="E846" s="120" t="s">
        <v>205</v>
      </c>
      <c r="F846" s="120" t="s">
        <v>14</v>
      </c>
      <c r="G846" s="120">
        <v>2</v>
      </c>
      <c r="H846">
        <v>0</v>
      </c>
      <c r="I846" s="120" t="s">
        <v>57</v>
      </c>
      <c r="J846">
        <v>2</v>
      </c>
      <c r="K846">
        <v>0</v>
      </c>
      <c r="L846">
        <v>0</v>
      </c>
      <c r="M846">
        <v>0</v>
      </c>
      <c r="N846">
        <v>0</v>
      </c>
    </row>
    <row r="847" spans="1:14" hidden="1" x14ac:dyDescent="0.25">
      <c r="A847" s="120" t="s">
        <v>3463</v>
      </c>
      <c r="B847" s="120" t="s">
        <v>3816</v>
      </c>
      <c r="C847" s="120" t="s">
        <v>301</v>
      </c>
      <c r="D847" s="120" t="s">
        <v>3674</v>
      </c>
      <c r="E847" s="120" t="s">
        <v>491</v>
      </c>
      <c r="F847" s="120" t="s">
        <v>10</v>
      </c>
      <c r="G847" s="120">
        <v>0</v>
      </c>
      <c r="H847">
        <v>0</v>
      </c>
      <c r="I847" s="120" t="s">
        <v>57</v>
      </c>
      <c r="J847">
        <v>0</v>
      </c>
      <c r="K847">
        <v>1</v>
      </c>
      <c r="L847" s="121">
        <v>0</v>
      </c>
      <c r="M847" s="121">
        <v>0</v>
      </c>
      <c r="N847" s="121">
        <v>0</v>
      </c>
    </row>
    <row r="848" spans="1:14" hidden="1" x14ac:dyDescent="0.25">
      <c r="A848" s="120" t="s">
        <v>3772</v>
      </c>
      <c r="B848" s="120" t="s">
        <v>3773</v>
      </c>
      <c r="C848" s="120" t="s">
        <v>301</v>
      </c>
      <c r="D848" s="120" t="s">
        <v>3589</v>
      </c>
      <c r="E848" s="120" t="s">
        <v>389</v>
      </c>
      <c r="F848" s="120" t="s">
        <v>14</v>
      </c>
      <c r="G848" s="120">
        <v>0</v>
      </c>
      <c r="H848">
        <v>0</v>
      </c>
      <c r="I848" s="120" t="s">
        <v>47</v>
      </c>
      <c r="J848">
        <v>0</v>
      </c>
      <c r="K848">
        <v>1</v>
      </c>
      <c r="L848" s="121">
        <v>0</v>
      </c>
      <c r="M848" s="121">
        <v>0</v>
      </c>
      <c r="N848" s="121">
        <v>0</v>
      </c>
    </row>
    <row r="849" spans="1:14" hidden="1" x14ac:dyDescent="0.25">
      <c r="A849" s="120" t="s">
        <v>3463</v>
      </c>
      <c r="B849" s="120" t="s">
        <v>3805</v>
      </c>
      <c r="C849" s="120" t="s">
        <v>301</v>
      </c>
      <c r="D849" s="120" t="s">
        <v>3513</v>
      </c>
      <c r="E849" s="120" t="s">
        <v>138</v>
      </c>
      <c r="F849" s="120" t="s">
        <v>18</v>
      </c>
      <c r="G849" s="120">
        <v>24</v>
      </c>
      <c r="H849">
        <v>0</v>
      </c>
      <c r="I849" s="120" t="s">
        <v>57</v>
      </c>
      <c r="J849">
        <v>24</v>
      </c>
      <c r="K849">
        <v>0</v>
      </c>
      <c r="L849">
        <v>0</v>
      </c>
      <c r="M849">
        <v>0</v>
      </c>
      <c r="N849">
        <v>0</v>
      </c>
    </row>
    <row r="850" spans="1:14" hidden="1" x14ac:dyDescent="0.25">
      <c r="A850" s="120" t="s">
        <v>3463</v>
      </c>
      <c r="B850" s="120" t="s">
        <v>3805</v>
      </c>
      <c r="C850" s="120" t="s">
        <v>301</v>
      </c>
      <c r="D850" s="120" t="s">
        <v>3519</v>
      </c>
      <c r="E850" s="120" t="s">
        <v>162</v>
      </c>
      <c r="F850" s="120" t="s">
        <v>14</v>
      </c>
      <c r="G850" s="120">
        <v>1</v>
      </c>
      <c r="H850">
        <v>0</v>
      </c>
      <c r="I850" s="120" t="s">
        <v>57</v>
      </c>
      <c r="J850">
        <v>1</v>
      </c>
      <c r="K850">
        <v>0</v>
      </c>
      <c r="L850">
        <v>0</v>
      </c>
      <c r="M850">
        <v>0</v>
      </c>
      <c r="N850">
        <v>0</v>
      </c>
    </row>
    <row r="851" spans="1:14" hidden="1" x14ac:dyDescent="0.25">
      <c r="A851" s="120" t="s">
        <v>3463</v>
      </c>
      <c r="B851" s="120" t="s">
        <v>3805</v>
      </c>
      <c r="C851" s="120" t="s">
        <v>301</v>
      </c>
      <c r="D851" s="120" t="s">
        <v>3807</v>
      </c>
      <c r="E851" s="120" t="s">
        <v>1798</v>
      </c>
      <c r="F851" s="120"/>
      <c r="G851" s="120">
        <v>57</v>
      </c>
      <c r="H851">
        <v>0</v>
      </c>
      <c r="I851" s="120" t="s">
        <v>57</v>
      </c>
      <c r="J851">
        <v>57</v>
      </c>
      <c r="K851">
        <v>0</v>
      </c>
      <c r="L851">
        <v>0</v>
      </c>
      <c r="M851">
        <v>0</v>
      </c>
      <c r="N851">
        <v>0</v>
      </c>
    </row>
    <row r="852" spans="1:14" hidden="1" x14ac:dyDescent="0.25">
      <c r="A852" s="120" t="s">
        <v>3463</v>
      </c>
      <c r="B852" s="120" t="s">
        <v>3805</v>
      </c>
      <c r="C852" s="120" t="s">
        <v>301</v>
      </c>
      <c r="D852" s="120" t="s">
        <v>639</v>
      </c>
      <c r="E852" s="120" t="s">
        <v>137</v>
      </c>
      <c r="F852" s="120" t="s">
        <v>18</v>
      </c>
      <c r="G852" s="120">
        <v>2</v>
      </c>
      <c r="H852">
        <v>1</v>
      </c>
      <c r="I852" s="120" t="s">
        <v>57</v>
      </c>
      <c r="J852">
        <v>1</v>
      </c>
      <c r="K852">
        <v>0</v>
      </c>
      <c r="L852">
        <v>3.8</v>
      </c>
      <c r="M852">
        <v>7.6</v>
      </c>
      <c r="N852">
        <v>3.8</v>
      </c>
    </row>
    <row r="853" spans="1:14" hidden="1" x14ac:dyDescent="0.25">
      <c r="A853" s="120" t="s">
        <v>3463</v>
      </c>
      <c r="B853" s="120" t="s">
        <v>3805</v>
      </c>
      <c r="C853" s="120" t="s">
        <v>301</v>
      </c>
      <c r="D853" s="120" t="s">
        <v>1116</v>
      </c>
      <c r="E853" s="120" t="s">
        <v>152</v>
      </c>
      <c r="F853" s="120" t="s">
        <v>14</v>
      </c>
      <c r="G853" s="120">
        <v>0</v>
      </c>
      <c r="H853">
        <v>2</v>
      </c>
      <c r="I853" s="120" t="s">
        <v>57</v>
      </c>
      <c r="J853">
        <v>-2</v>
      </c>
      <c r="K853">
        <v>0</v>
      </c>
      <c r="L853">
        <v>227.3</v>
      </c>
      <c r="M853">
        <v>0</v>
      </c>
      <c r="N853">
        <v>454.6</v>
      </c>
    </row>
    <row r="854" spans="1:14" hidden="1" x14ac:dyDescent="0.25">
      <c r="A854" s="120" t="s">
        <v>3772</v>
      </c>
      <c r="B854" s="120" t="s">
        <v>3773</v>
      </c>
      <c r="C854" s="120" t="s">
        <v>301</v>
      </c>
      <c r="D854" s="120" t="s">
        <v>3694</v>
      </c>
      <c r="E854" s="120" t="s">
        <v>1783</v>
      </c>
      <c r="F854" s="120" t="s">
        <v>14</v>
      </c>
      <c r="G854" s="120">
        <v>54</v>
      </c>
      <c r="H854">
        <v>0</v>
      </c>
      <c r="I854" s="120" t="s">
        <v>11</v>
      </c>
      <c r="J854">
        <v>54</v>
      </c>
      <c r="K854">
        <v>0</v>
      </c>
      <c r="L854">
        <v>0</v>
      </c>
      <c r="M854">
        <v>0</v>
      </c>
      <c r="N854">
        <v>0</v>
      </c>
    </row>
    <row r="855" spans="1:14" hidden="1" x14ac:dyDescent="0.25">
      <c r="A855" s="120" t="s">
        <v>3772</v>
      </c>
      <c r="B855" s="120" t="s">
        <v>3773</v>
      </c>
      <c r="C855" s="120" t="s">
        <v>301</v>
      </c>
      <c r="D855" s="120" t="s">
        <v>1082</v>
      </c>
      <c r="E855" s="120" t="s">
        <v>150</v>
      </c>
      <c r="F855" s="120" t="s">
        <v>14</v>
      </c>
      <c r="G855" s="120">
        <v>15</v>
      </c>
      <c r="H855">
        <v>14</v>
      </c>
      <c r="I855" s="120" t="s">
        <v>11</v>
      </c>
      <c r="J855">
        <v>1</v>
      </c>
      <c r="K855">
        <v>0</v>
      </c>
      <c r="L855">
        <v>560</v>
      </c>
      <c r="M855">
        <v>8400</v>
      </c>
      <c r="N855">
        <v>7840</v>
      </c>
    </row>
    <row r="856" spans="1:14" hidden="1" x14ac:dyDescent="0.25">
      <c r="A856" s="120" t="s">
        <v>3772</v>
      </c>
      <c r="B856" s="120" t="s">
        <v>3773</v>
      </c>
      <c r="C856" s="120" t="s">
        <v>301</v>
      </c>
      <c r="D856" s="120" t="s">
        <v>543</v>
      </c>
      <c r="E856" s="120" t="s">
        <v>12</v>
      </c>
      <c r="F856" s="120" t="s">
        <v>10</v>
      </c>
      <c r="G856" s="120">
        <v>4</v>
      </c>
      <c r="H856">
        <v>0</v>
      </c>
      <c r="I856" s="120" t="s">
        <v>11</v>
      </c>
      <c r="J856">
        <v>4</v>
      </c>
      <c r="K856">
        <v>0</v>
      </c>
      <c r="L856">
        <v>35</v>
      </c>
      <c r="M856">
        <v>140</v>
      </c>
      <c r="N856">
        <v>0</v>
      </c>
    </row>
    <row r="857" spans="1:14" hidden="1" x14ac:dyDescent="0.25">
      <c r="A857" s="120" t="s">
        <v>3772</v>
      </c>
      <c r="B857" s="120" t="s">
        <v>3773</v>
      </c>
      <c r="C857" s="120" t="s">
        <v>301</v>
      </c>
      <c r="D857" s="120" t="s">
        <v>3478</v>
      </c>
      <c r="E857" s="120" t="s">
        <v>48</v>
      </c>
      <c r="F857" s="120" t="s">
        <v>10</v>
      </c>
      <c r="G857" s="120">
        <v>7</v>
      </c>
      <c r="H857">
        <v>0</v>
      </c>
      <c r="I857" s="120" t="s">
        <v>11</v>
      </c>
      <c r="J857">
        <v>7</v>
      </c>
      <c r="K857">
        <v>0</v>
      </c>
      <c r="L857">
        <v>0</v>
      </c>
      <c r="M857">
        <v>0</v>
      </c>
      <c r="N857">
        <v>0</v>
      </c>
    </row>
    <row r="858" spans="1:14" hidden="1" x14ac:dyDescent="0.25">
      <c r="A858" s="120" t="s">
        <v>3772</v>
      </c>
      <c r="B858" s="120" t="s">
        <v>3773</v>
      </c>
      <c r="C858" s="120" t="s">
        <v>301</v>
      </c>
      <c r="D858" s="120" t="s">
        <v>3469</v>
      </c>
      <c r="E858" s="120" t="s">
        <v>140</v>
      </c>
      <c r="F858" s="120" t="s">
        <v>10</v>
      </c>
      <c r="G858" s="120">
        <v>29</v>
      </c>
      <c r="H858">
        <v>0</v>
      </c>
      <c r="I858" s="120" t="s">
        <v>11</v>
      </c>
      <c r="J858">
        <v>29</v>
      </c>
      <c r="K858">
        <v>0</v>
      </c>
      <c r="L858">
        <v>0</v>
      </c>
      <c r="M858">
        <v>0</v>
      </c>
      <c r="N858">
        <v>0</v>
      </c>
    </row>
    <row r="859" spans="1:14" hidden="1" x14ac:dyDescent="0.25">
      <c r="A859" s="120" t="s">
        <v>3772</v>
      </c>
      <c r="B859" s="120" t="s">
        <v>3773</v>
      </c>
      <c r="C859" s="120" t="s">
        <v>301</v>
      </c>
      <c r="D859" s="120" t="s">
        <v>751</v>
      </c>
      <c r="E859" s="120" t="s">
        <v>149</v>
      </c>
      <c r="F859" s="120" t="s">
        <v>14</v>
      </c>
      <c r="G859" s="120">
        <v>105</v>
      </c>
      <c r="H859">
        <v>60</v>
      </c>
      <c r="I859" s="120" t="s">
        <v>11</v>
      </c>
      <c r="J859">
        <v>45</v>
      </c>
      <c r="K859">
        <v>0</v>
      </c>
      <c r="L859">
        <v>15</v>
      </c>
      <c r="M859">
        <v>1575</v>
      </c>
      <c r="N859">
        <v>900</v>
      </c>
    </row>
    <row r="860" spans="1:14" hidden="1" x14ac:dyDescent="0.25">
      <c r="A860" s="120" t="s">
        <v>3772</v>
      </c>
      <c r="B860" s="120" t="s">
        <v>3773</v>
      </c>
      <c r="C860" s="120" t="s">
        <v>301</v>
      </c>
      <c r="D860" s="120" t="s">
        <v>542</v>
      </c>
      <c r="E860" s="120" t="s">
        <v>9</v>
      </c>
      <c r="F860" s="120" t="s">
        <v>10</v>
      </c>
      <c r="G860" s="120">
        <v>25</v>
      </c>
      <c r="H860">
        <v>41</v>
      </c>
      <c r="I860" s="120" t="s">
        <v>11</v>
      </c>
      <c r="J860">
        <v>-16</v>
      </c>
      <c r="K860">
        <v>0</v>
      </c>
      <c r="L860">
        <v>35</v>
      </c>
      <c r="M860">
        <v>875</v>
      </c>
      <c r="N860">
        <v>1435</v>
      </c>
    </row>
    <row r="861" spans="1:14" hidden="1" x14ac:dyDescent="0.25">
      <c r="A861" s="120" t="s">
        <v>3772</v>
      </c>
      <c r="B861" s="120" t="s">
        <v>3773</v>
      </c>
      <c r="C861" s="120" t="s">
        <v>301</v>
      </c>
      <c r="D861" s="120" t="s">
        <v>1178</v>
      </c>
      <c r="E861" s="120" t="s">
        <v>43</v>
      </c>
      <c r="F861" s="120" t="s">
        <v>10</v>
      </c>
      <c r="G861" s="120">
        <v>34</v>
      </c>
      <c r="H861">
        <v>4</v>
      </c>
      <c r="I861" s="120" t="s">
        <v>11</v>
      </c>
      <c r="J861">
        <v>30</v>
      </c>
      <c r="K861">
        <v>0</v>
      </c>
      <c r="L861">
        <v>17</v>
      </c>
      <c r="M861">
        <v>578</v>
      </c>
      <c r="N861">
        <v>68</v>
      </c>
    </row>
    <row r="862" spans="1:14" hidden="1" x14ac:dyDescent="0.25">
      <c r="A862" s="120" t="s">
        <v>3772</v>
      </c>
      <c r="B862" s="120" t="s">
        <v>3773</v>
      </c>
      <c r="C862" s="120" t="s">
        <v>301</v>
      </c>
      <c r="D862" s="120" t="s">
        <v>3470</v>
      </c>
      <c r="E862" s="120" t="s">
        <v>26</v>
      </c>
      <c r="F862" s="120" t="s">
        <v>18</v>
      </c>
      <c r="G862" s="120">
        <v>43</v>
      </c>
      <c r="H862">
        <v>0</v>
      </c>
      <c r="I862" s="120" t="s">
        <v>11</v>
      </c>
      <c r="J862">
        <v>43</v>
      </c>
      <c r="K862">
        <v>0</v>
      </c>
      <c r="L862">
        <v>0</v>
      </c>
      <c r="M862">
        <v>0</v>
      </c>
      <c r="N862">
        <v>0</v>
      </c>
    </row>
    <row r="863" spans="1:14" hidden="1" x14ac:dyDescent="0.25">
      <c r="A863" s="120" t="s">
        <v>3772</v>
      </c>
      <c r="B863" s="120" t="s">
        <v>3773</v>
      </c>
      <c r="C863" s="120" t="s">
        <v>301</v>
      </c>
      <c r="D863" s="120" t="s">
        <v>549</v>
      </c>
      <c r="E863" s="120" t="s">
        <v>46</v>
      </c>
      <c r="F863" s="120" t="s">
        <v>10</v>
      </c>
      <c r="G863" s="120">
        <v>57</v>
      </c>
      <c r="H863">
        <v>91</v>
      </c>
      <c r="I863" s="120" t="s">
        <v>11</v>
      </c>
      <c r="J863">
        <v>-34</v>
      </c>
      <c r="K863">
        <v>0</v>
      </c>
      <c r="L863">
        <v>15</v>
      </c>
      <c r="M863">
        <v>855</v>
      </c>
      <c r="N863">
        <v>1365</v>
      </c>
    </row>
    <row r="864" spans="1:14" hidden="1" x14ac:dyDescent="0.25">
      <c r="A864" s="120" t="s">
        <v>3772</v>
      </c>
      <c r="B864" s="120" t="s">
        <v>3773</v>
      </c>
      <c r="C864" s="120" t="s">
        <v>301</v>
      </c>
      <c r="D864" s="120" t="s">
        <v>558</v>
      </c>
      <c r="E864" s="120" t="s">
        <v>16</v>
      </c>
      <c r="F864" s="120" t="s">
        <v>10</v>
      </c>
      <c r="G864" s="120">
        <v>87</v>
      </c>
      <c r="H864">
        <v>66</v>
      </c>
      <c r="I864" s="120" t="s">
        <v>11</v>
      </c>
      <c r="J864">
        <v>21</v>
      </c>
      <c r="K864">
        <v>0</v>
      </c>
      <c r="L864">
        <v>35</v>
      </c>
      <c r="M864">
        <v>3045</v>
      </c>
      <c r="N864">
        <v>2310</v>
      </c>
    </row>
    <row r="865" spans="1:14" hidden="1" x14ac:dyDescent="0.25">
      <c r="A865" s="120" t="s">
        <v>3772</v>
      </c>
      <c r="B865" s="120" t="s">
        <v>3773</v>
      </c>
      <c r="C865" s="120" t="s">
        <v>301</v>
      </c>
      <c r="D865" s="120" t="s">
        <v>714</v>
      </c>
      <c r="E865" s="120" t="s">
        <v>52</v>
      </c>
      <c r="F865" s="120" t="s">
        <v>14</v>
      </c>
      <c r="G865" s="120">
        <v>50</v>
      </c>
      <c r="H865">
        <v>14</v>
      </c>
      <c r="I865" s="120" t="s">
        <v>11</v>
      </c>
      <c r="J865">
        <v>36</v>
      </c>
      <c r="K865">
        <v>0</v>
      </c>
      <c r="L865">
        <v>3</v>
      </c>
      <c r="M865">
        <v>150</v>
      </c>
      <c r="N865">
        <v>42</v>
      </c>
    </row>
    <row r="866" spans="1:14" hidden="1" x14ac:dyDescent="0.25">
      <c r="A866" s="120" t="s">
        <v>3772</v>
      </c>
      <c r="B866" s="120" t="s">
        <v>3773</v>
      </c>
      <c r="C866" s="120" t="s">
        <v>301</v>
      </c>
      <c r="D866" s="120" t="s">
        <v>3512</v>
      </c>
      <c r="E866" s="120" t="s">
        <v>131</v>
      </c>
      <c r="F866" s="120" t="s">
        <v>10</v>
      </c>
      <c r="G866" s="120">
        <v>58</v>
      </c>
      <c r="H866">
        <v>0</v>
      </c>
      <c r="I866" s="120" t="s">
        <v>11</v>
      </c>
      <c r="J866">
        <v>58</v>
      </c>
      <c r="K866">
        <v>0</v>
      </c>
      <c r="L866">
        <v>0</v>
      </c>
      <c r="M866">
        <v>0</v>
      </c>
      <c r="N866">
        <v>0</v>
      </c>
    </row>
    <row r="867" spans="1:14" hidden="1" x14ac:dyDescent="0.25">
      <c r="A867" s="120" t="s">
        <v>3772</v>
      </c>
      <c r="B867" s="120" t="s">
        <v>3773</v>
      </c>
      <c r="C867" s="120" t="s">
        <v>301</v>
      </c>
      <c r="D867" s="120" t="s">
        <v>1114</v>
      </c>
      <c r="E867" s="120" t="s">
        <v>38</v>
      </c>
      <c r="F867" s="120" t="s">
        <v>14</v>
      </c>
      <c r="G867" s="120">
        <v>76</v>
      </c>
      <c r="H867">
        <v>9</v>
      </c>
      <c r="I867" s="120" t="s">
        <v>11</v>
      </c>
      <c r="J867">
        <v>67</v>
      </c>
      <c r="K867">
        <v>0</v>
      </c>
      <c r="L867">
        <v>140</v>
      </c>
      <c r="M867">
        <v>10640</v>
      </c>
      <c r="N867">
        <v>1260</v>
      </c>
    </row>
    <row r="868" spans="1:14" hidden="1" x14ac:dyDescent="0.25">
      <c r="A868" s="120" t="s">
        <v>3772</v>
      </c>
      <c r="B868" s="120" t="s">
        <v>3773</v>
      </c>
      <c r="C868" s="120" t="s">
        <v>301</v>
      </c>
      <c r="D868" s="120" t="s">
        <v>3516</v>
      </c>
      <c r="E868" s="120" t="s">
        <v>151</v>
      </c>
      <c r="F868" s="120" t="s">
        <v>10</v>
      </c>
      <c r="G868" s="120">
        <v>24</v>
      </c>
      <c r="H868">
        <v>0</v>
      </c>
      <c r="I868" s="120" t="s">
        <v>11</v>
      </c>
      <c r="J868">
        <v>24</v>
      </c>
      <c r="K868">
        <v>0</v>
      </c>
      <c r="L868">
        <v>0</v>
      </c>
      <c r="M868">
        <v>0</v>
      </c>
      <c r="N868">
        <v>0</v>
      </c>
    </row>
    <row r="869" spans="1:14" hidden="1" x14ac:dyDescent="0.25">
      <c r="A869" s="120" t="s">
        <v>3772</v>
      </c>
      <c r="B869" s="120" t="s">
        <v>3773</v>
      </c>
      <c r="C869" s="120" t="s">
        <v>301</v>
      </c>
      <c r="D869" s="120" t="s">
        <v>3806</v>
      </c>
      <c r="E869" s="120" t="s">
        <v>1782</v>
      </c>
      <c r="F869" s="120" t="s">
        <v>14</v>
      </c>
      <c r="G869" s="120">
        <v>24</v>
      </c>
      <c r="H869">
        <v>0</v>
      </c>
      <c r="I869" s="120" t="s">
        <v>11</v>
      </c>
      <c r="J869">
        <v>24</v>
      </c>
      <c r="K869">
        <v>0</v>
      </c>
      <c r="L869">
        <v>0</v>
      </c>
      <c r="M869">
        <v>0</v>
      </c>
      <c r="N869">
        <v>0</v>
      </c>
    </row>
    <row r="870" spans="1:14" hidden="1" x14ac:dyDescent="0.25">
      <c r="A870" s="120" t="s">
        <v>3772</v>
      </c>
      <c r="B870" s="120" t="s">
        <v>3773</v>
      </c>
      <c r="C870" s="120" t="s">
        <v>301</v>
      </c>
      <c r="D870" s="120" t="s">
        <v>3465</v>
      </c>
      <c r="E870" s="120" t="s">
        <v>17</v>
      </c>
      <c r="F870" s="120" t="s">
        <v>18</v>
      </c>
      <c r="G870" s="120">
        <v>194</v>
      </c>
      <c r="H870">
        <v>0</v>
      </c>
      <c r="I870" s="120" t="s">
        <v>11</v>
      </c>
      <c r="J870">
        <v>194</v>
      </c>
      <c r="K870">
        <v>0</v>
      </c>
      <c r="L870">
        <v>0</v>
      </c>
      <c r="M870">
        <v>0</v>
      </c>
      <c r="N870">
        <v>0</v>
      </c>
    </row>
    <row r="871" spans="1:14" hidden="1" x14ac:dyDescent="0.25">
      <c r="A871" s="120" t="s">
        <v>3772</v>
      </c>
      <c r="B871" s="120" t="s">
        <v>3773</v>
      </c>
      <c r="C871" s="120" t="s">
        <v>301</v>
      </c>
      <c r="D871" s="120" t="s">
        <v>712</v>
      </c>
      <c r="E871" s="120" t="s">
        <v>51</v>
      </c>
      <c r="F871" s="120" t="s">
        <v>14</v>
      </c>
      <c r="G871" s="120">
        <v>90</v>
      </c>
      <c r="H871">
        <v>17</v>
      </c>
      <c r="I871" s="120" t="s">
        <v>11</v>
      </c>
      <c r="J871">
        <v>73</v>
      </c>
      <c r="K871">
        <v>0</v>
      </c>
      <c r="L871">
        <v>10</v>
      </c>
      <c r="M871">
        <v>900</v>
      </c>
      <c r="N871">
        <v>170</v>
      </c>
    </row>
    <row r="872" spans="1:14" hidden="1" x14ac:dyDescent="0.25">
      <c r="A872" s="120" t="s">
        <v>3772</v>
      </c>
      <c r="B872" s="120" t="s">
        <v>3773</v>
      </c>
      <c r="C872" s="120" t="s">
        <v>301</v>
      </c>
      <c r="D872" s="120" t="s">
        <v>695</v>
      </c>
      <c r="E872" s="120" t="s">
        <v>62</v>
      </c>
      <c r="F872" s="120" t="s">
        <v>10</v>
      </c>
      <c r="G872" s="120">
        <v>76</v>
      </c>
      <c r="H872">
        <v>14</v>
      </c>
      <c r="I872" s="120" t="s">
        <v>11</v>
      </c>
      <c r="J872">
        <v>62</v>
      </c>
      <c r="K872">
        <v>0</v>
      </c>
      <c r="L872">
        <v>15.9</v>
      </c>
      <c r="M872">
        <v>1208.4000000000001</v>
      </c>
      <c r="N872">
        <v>222.6</v>
      </c>
    </row>
    <row r="873" spans="1:14" hidden="1" x14ac:dyDescent="0.25">
      <c r="A873" s="120" t="s">
        <v>3772</v>
      </c>
      <c r="B873" s="120" t="s">
        <v>3773</v>
      </c>
      <c r="C873" s="120" t="s">
        <v>301</v>
      </c>
      <c r="D873" s="120" t="s">
        <v>626</v>
      </c>
      <c r="E873" s="120" t="s">
        <v>135</v>
      </c>
      <c r="F873" s="120" t="s">
        <v>10</v>
      </c>
      <c r="G873" s="120">
        <v>58</v>
      </c>
      <c r="H873">
        <v>3</v>
      </c>
      <c r="I873" s="120" t="s">
        <v>11</v>
      </c>
      <c r="J873">
        <v>55</v>
      </c>
      <c r="K873">
        <v>0</v>
      </c>
      <c r="L873">
        <v>14.9</v>
      </c>
      <c r="M873">
        <v>864.2</v>
      </c>
      <c r="N873">
        <v>44.7</v>
      </c>
    </row>
    <row r="874" spans="1:14" hidden="1" x14ac:dyDescent="0.25">
      <c r="A874" s="120" t="s">
        <v>3772</v>
      </c>
      <c r="B874" s="120" t="s">
        <v>3773</v>
      </c>
      <c r="C874" s="120" t="s">
        <v>69</v>
      </c>
      <c r="D874" s="120" t="s">
        <v>3524</v>
      </c>
      <c r="E874" s="120" t="s">
        <v>169</v>
      </c>
      <c r="F874" s="120" t="s">
        <v>14</v>
      </c>
      <c r="G874" s="120">
        <v>52</v>
      </c>
      <c r="H874">
        <v>0</v>
      </c>
      <c r="I874" s="120" t="s">
        <v>11</v>
      </c>
      <c r="J874">
        <v>52</v>
      </c>
      <c r="K874">
        <v>0</v>
      </c>
      <c r="L874">
        <v>0</v>
      </c>
      <c r="M874">
        <v>0</v>
      </c>
      <c r="N874">
        <v>0</v>
      </c>
    </row>
    <row r="875" spans="1:14" hidden="1" x14ac:dyDescent="0.25">
      <c r="A875" s="120" t="s">
        <v>3772</v>
      </c>
      <c r="B875" s="120" t="s">
        <v>3773</v>
      </c>
      <c r="C875" s="120" t="s">
        <v>301</v>
      </c>
      <c r="D875" s="120" t="s">
        <v>3484</v>
      </c>
      <c r="E875" s="120" t="s">
        <v>65</v>
      </c>
      <c r="F875" s="120" t="s">
        <v>14</v>
      </c>
      <c r="G875" s="120">
        <v>30</v>
      </c>
      <c r="H875">
        <v>0</v>
      </c>
      <c r="I875" s="120" t="s">
        <v>11</v>
      </c>
      <c r="J875">
        <v>30</v>
      </c>
      <c r="K875">
        <v>0</v>
      </c>
      <c r="L875">
        <v>0</v>
      </c>
      <c r="M875">
        <v>0</v>
      </c>
      <c r="N875">
        <v>0</v>
      </c>
    </row>
    <row r="876" spans="1:14" hidden="1" x14ac:dyDescent="0.25">
      <c r="A876" s="120" t="s">
        <v>3772</v>
      </c>
      <c r="B876" s="120" t="s">
        <v>3773</v>
      </c>
      <c r="C876" s="120" t="s">
        <v>301</v>
      </c>
      <c r="D876" s="120" t="s">
        <v>642</v>
      </c>
      <c r="E876" s="120" t="s">
        <v>643</v>
      </c>
      <c r="F876" s="120" t="s">
        <v>14</v>
      </c>
      <c r="G876" s="120">
        <v>46</v>
      </c>
      <c r="H876">
        <v>3</v>
      </c>
      <c r="I876" s="120" t="s">
        <v>11</v>
      </c>
      <c r="J876">
        <v>43</v>
      </c>
      <c r="K876">
        <v>0</v>
      </c>
      <c r="L876">
        <v>6.9</v>
      </c>
      <c r="M876">
        <v>317.40000000000003</v>
      </c>
      <c r="N876">
        <v>20.700000000000003</v>
      </c>
    </row>
    <row r="877" spans="1:14" hidden="1" x14ac:dyDescent="0.25">
      <c r="A877" s="120" t="s">
        <v>3772</v>
      </c>
      <c r="B877" s="120" t="s">
        <v>3773</v>
      </c>
      <c r="C877" s="120" t="s">
        <v>301</v>
      </c>
      <c r="D877" s="120" t="s">
        <v>1776</v>
      </c>
      <c r="E877" s="120" t="s">
        <v>67</v>
      </c>
      <c r="F877" s="120" t="s">
        <v>10</v>
      </c>
      <c r="G877" s="120">
        <v>71</v>
      </c>
      <c r="H877">
        <v>20</v>
      </c>
      <c r="I877" s="120" t="s">
        <v>11</v>
      </c>
      <c r="J877">
        <v>51</v>
      </c>
      <c r="K877">
        <v>0</v>
      </c>
      <c r="L877">
        <v>26.9</v>
      </c>
      <c r="M877">
        <v>1909.8999999999999</v>
      </c>
      <c r="N877">
        <v>538</v>
      </c>
    </row>
    <row r="878" spans="1:14" hidden="1" x14ac:dyDescent="0.25">
      <c r="A878" s="120" t="s">
        <v>3772</v>
      </c>
      <c r="B878" s="120" t="s">
        <v>3773</v>
      </c>
      <c r="C878" s="120" t="s">
        <v>301</v>
      </c>
      <c r="D878" s="120" t="s">
        <v>1077</v>
      </c>
      <c r="E878" s="120" t="s">
        <v>34</v>
      </c>
      <c r="F878" s="120" t="s">
        <v>18</v>
      </c>
      <c r="G878" s="120">
        <v>23</v>
      </c>
      <c r="H878">
        <v>4</v>
      </c>
      <c r="I878" s="120" t="s">
        <v>11</v>
      </c>
      <c r="J878">
        <v>19</v>
      </c>
      <c r="K878">
        <v>0</v>
      </c>
      <c r="L878">
        <v>189</v>
      </c>
      <c r="M878">
        <v>4347</v>
      </c>
      <c r="N878">
        <v>756</v>
      </c>
    </row>
    <row r="879" spans="1:14" hidden="1" x14ac:dyDescent="0.25">
      <c r="A879" s="120" t="s">
        <v>3772</v>
      </c>
      <c r="B879" s="120" t="s">
        <v>3773</v>
      </c>
      <c r="C879" s="120" t="s">
        <v>301</v>
      </c>
      <c r="D879" s="120" t="s">
        <v>3520</v>
      </c>
      <c r="E879" s="120" t="s">
        <v>164</v>
      </c>
      <c r="F879" s="120" t="s">
        <v>18</v>
      </c>
      <c r="G879" s="120">
        <v>96</v>
      </c>
      <c r="H879">
        <v>0</v>
      </c>
      <c r="I879" s="120" t="s">
        <v>11</v>
      </c>
      <c r="J879">
        <v>96</v>
      </c>
      <c r="K879">
        <v>0</v>
      </c>
      <c r="L879">
        <v>0</v>
      </c>
      <c r="M879">
        <v>0</v>
      </c>
      <c r="N879">
        <v>0</v>
      </c>
    </row>
    <row r="880" spans="1:14" hidden="1" x14ac:dyDescent="0.25">
      <c r="A880" s="120" t="s">
        <v>3772</v>
      </c>
      <c r="B880" s="120" t="s">
        <v>3773</v>
      </c>
      <c r="C880" s="120" t="s">
        <v>301</v>
      </c>
      <c r="D880" s="120" t="s">
        <v>638</v>
      </c>
      <c r="E880" s="120" t="s">
        <v>60</v>
      </c>
      <c r="F880" s="120" t="s">
        <v>10</v>
      </c>
      <c r="G880" s="120">
        <v>39</v>
      </c>
      <c r="H880">
        <v>2</v>
      </c>
      <c r="I880" s="120" t="s">
        <v>11</v>
      </c>
      <c r="J880">
        <v>37</v>
      </c>
      <c r="K880">
        <v>0</v>
      </c>
      <c r="L880">
        <v>3.5</v>
      </c>
      <c r="M880">
        <v>136.5</v>
      </c>
      <c r="N880">
        <v>7</v>
      </c>
    </row>
    <row r="881" spans="1:14" hidden="1" x14ac:dyDescent="0.25">
      <c r="A881" s="120" t="s">
        <v>3772</v>
      </c>
      <c r="B881" s="120" t="s">
        <v>3773</v>
      </c>
      <c r="C881" s="120" t="s">
        <v>301</v>
      </c>
      <c r="D881" s="120" t="s">
        <v>3483</v>
      </c>
      <c r="E881" s="120" t="s">
        <v>64</v>
      </c>
      <c r="F881" s="120" t="s">
        <v>14</v>
      </c>
      <c r="G881" s="120">
        <v>27</v>
      </c>
      <c r="H881">
        <v>0</v>
      </c>
      <c r="I881" s="120" t="s">
        <v>11</v>
      </c>
      <c r="J881">
        <v>27</v>
      </c>
      <c r="K881">
        <v>0</v>
      </c>
      <c r="L881">
        <v>0</v>
      </c>
      <c r="M881">
        <v>0</v>
      </c>
      <c r="N881">
        <v>0</v>
      </c>
    </row>
    <row r="882" spans="1:14" hidden="1" x14ac:dyDescent="0.25">
      <c r="A882" s="120" t="s">
        <v>3772</v>
      </c>
      <c r="B882" s="120" t="s">
        <v>3773</v>
      </c>
      <c r="C882" s="120" t="s">
        <v>301</v>
      </c>
      <c r="D882" s="120" t="s">
        <v>3515</v>
      </c>
      <c r="E882" s="120" t="s">
        <v>146</v>
      </c>
      <c r="F882" s="120" t="s">
        <v>14</v>
      </c>
      <c r="G882" s="120">
        <v>2</v>
      </c>
      <c r="H882">
        <v>0</v>
      </c>
      <c r="I882" s="120" t="s">
        <v>11</v>
      </c>
      <c r="J882">
        <v>2</v>
      </c>
      <c r="K882">
        <v>0</v>
      </c>
      <c r="L882">
        <v>0</v>
      </c>
      <c r="M882">
        <v>0</v>
      </c>
      <c r="N882">
        <v>0</v>
      </c>
    </row>
    <row r="883" spans="1:14" hidden="1" x14ac:dyDescent="0.25">
      <c r="A883" s="120" t="s">
        <v>3772</v>
      </c>
      <c r="B883" s="120" t="s">
        <v>3773</v>
      </c>
      <c r="C883" s="120" t="s">
        <v>301</v>
      </c>
      <c r="D883" s="120" t="s">
        <v>3725</v>
      </c>
      <c r="E883" s="120" t="s">
        <v>327</v>
      </c>
      <c r="F883" s="120" t="s">
        <v>10</v>
      </c>
      <c r="G883" s="120">
        <v>18</v>
      </c>
      <c r="H883">
        <v>0</v>
      </c>
      <c r="I883" s="120" t="s">
        <v>11</v>
      </c>
      <c r="J883">
        <v>18</v>
      </c>
      <c r="K883">
        <v>0</v>
      </c>
      <c r="L883">
        <v>0</v>
      </c>
      <c r="M883">
        <v>0</v>
      </c>
      <c r="N883">
        <v>0</v>
      </c>
    </row>
    <row r="884" spans="1:14" hidden="1" x14ac:dyDescent="0.25">
      <c r="A884" s="120" t="s">
        <v>3772</v>
      </c>
      <c r="B884" s="120" t="s">
        <v>3773</v>
      </c>
      <c r="C884" s="120" t="s">
        <v>301</v>
      </c>
      <c r="D884" s="120" t="s">
        <v>3740</v>
      </c>
      <c r="E884" s="120" t="s">
        <v>1786</v>
      </c>
      <c r="F884" s="120" t="s">
        <v>10</v>
      </c>
      <c r="G884" s="120">
        <v>22</v>
      </c>
      <c r="H884">
        <v>0</v>
      </c>
      <c r="I884" s="120" t="s">
        <v>11</v>
      </c>
      <c r="J884">
        <v>22</v>
      </c>
      <c r="K884">
        <v>0</v>
      </c>
      <c r="L884">
        <v>0</v>
      </c>
      <c r="M884">
        <v>0</v>
      </c>
      <c r="N884">
        <v>0</v>
      </c>
    </row>
    <row r="885" spans="1:14" hidden="1" x14ac:dyDescent="0.25">
      <c r="A885" s="120" t="s">
        <v>3772</v>
      </c>
      <c r="B885" s="120" t="s">
        <v>3773</v>
      </c>
      <c r="C885" s="120" t="s">
        <v>301</v>
      </c>
      <c r="D885" s="120" t="s">
        <v>3482</v>
      </c>
      <c r="E885" s="120" t="s">
        <v>63</v>
      </c>
      <c r="F885" s="120" t="s">
        <v>14</v>
      </c>
      <c r="G885" s="120">
        <v>28</v>
      </c>
      <c r="H885">
        <v>0</v>
      </c>
      <c r="I885" s="120" t="s">
        <v>11</v>
      </c>
      <c r="J885">
        <v>28</v>
      </c>
      <c r="K885">
        <v>0</v>
      </c>
      <c r="L885">
        <v>0</v>
      </c>
      <c r="M885">
        <v>0</v>
      </c>
      <c r="N885">
        <v>0</v>
      </c>
    </row>
    <row r="886" spans="1:14" hidden="1" x14ac:dyDescent="0.25">
      <c r="A886" s="120" t="s">
        <v>3772</v>
      </c>
      <c r="B886" s="120" t="s">
        <v>3773</v>
      </c>
      <c r="C886" s="120" t="s">
        <v>301</v>
      </c>
      <c r="D886" s="120" t="s">
        <v>3474</v>
      </c>
      <c r="E886" s="120" t="s">
        <v>36</v>
      </c>
      <c r="F886" s="120" t="s">
        <v>14</v>
      </c>
      <c r="G886" s="120">
        <v>15</v>
      </c>
      <c r="H886">
        <v>0</v>
      </c>
      <c r="I886" s="120" t="s">
        <v>11</v>
      </c>
      <c r="J886">
        <v>15</v>
      </c>
      <c r="K886">
        <v>0</v>
      </c>
      <c r="L886">
        <v>0</v>
      </c>
      <c r="M886">
        <v>0</v>
      </c>
      <c r="N886">
        <v>0</v>
      </c>
    </row>
    <row r="887" spans="1:14" hidden="1" x14ac:dyDescent="0.25">
      <c r="A887" s="120" t="s">
        <v>3772</v>
      </c>
      <c r="B887" s="120" t="s">
        <v>3773</v>
      </c>
      <c r="C887" s="120" t="s">
        <v>301</v>
      </c>
      <c r="D887" s="120" t="s">
        <v>3473</v>
      </c>
      <c r="E887" s="120" t="s">
        <v>35</v>
      </c>
      <c r="F887" s="120" t="s">
        <v>10</v>
      </c>
      <c r="G887" s="120">
        <v>3</v>
      </c>
      <c r="H887">
        <v>0</v>
      </c>
      <c r="I887" s="120" t="s">
        <v>47</v>
      </c>
      <c r="J887">
        <v>3</v>
      </c>
      <c r="K887">
        <v>0</v>
      </c>
      <c r="L887">
        <v>0</v>
      </c>
      <c r="M887">
        <v>0</v>
      </c>
      <c r="N887">
        <v>0</v>
      </c>
    </row>
    <row r="888" spans="1:14" hidden="1" x14ac:dyDescent="0.25">
      <c r="A888" s="120" t="s">
        <v>3772</v>
      </c>
      <c r="B888" s="120" t="s">
        <v>3773</v>
      </c>
      <c r="C888" s="120" t="s">
        <v>301</v>
      </c>
      <c r="D888" s="120" t="s">
        <v>3486</v>
      </c>
      <c r="E888" s="120" t="s">
        <v>68</v>
      </c>
      <c r="F888" s="120" t="s">
        <v>10</v>
      </c>
      <c r="G888" s="120">
        <v>76</v>
      </c>
      <c r="H888">
        <v>0</v>
      </c>
      <c r="I888" s="120" t="s">
        <v>47</v>
      </c>
      <c r="J888">
        <v>76</v>
      </c>
      <c r="K888">
        <v>0</v>
      </c>
      <c r="L888">
        <v>0</v>
      </c>
      <c r="M888">
        <v>0</v>
      </c>
      <c r="N888">
        <v>0</v>
      </c>
    </row>
    <row r="889" spans="1:14" hidden="1" x14ac:dyDescent="0.25">
      <c r="A889" s="120" t="s">
        <v>3772</v>
      </c>
      <c r="B889" s="120" t="s">
        <v>3773</v>
      </c>
      <c r="C889" s="120" t="s">
        <v>69</v>
      </c>
      <c r="D889" s="120" t="s">
        <v>3695</v>
      </c>
      <c r="E889" s="120" t="s">
        <v>1787</v>
      </c>
      <c r="F889" s="120" t="s">
        <v>14</v>
      </c>
      <c r="G889" s="120">
        <v>202</v>
      </c>
      <c r="H889">
        <v>0</v>
      </c>
      <c r="I889" s="120" t="s">
        <v>47</v>
      </c>
      <c r="J889">
        <v>202</v>
      </c>
      <c r="K889">
        <v>0</v>
      </c>
      <c r="L889">
        <v>0</v>
      </c>
      <c r="M889">
        <v>0</v>
      </c>
      <c r="N889">
        <v>0</v>
      </c>
    </row>
    <row r="890" spans="1:14" hidden="1" x14ac:dyDescent="0.25">
      <c r="A890" s="120" t="s">
        <v>3772</v>
      </c>
      <c r="B890" s="120" t="s">
        <v>3773</v>
      </c>
      <c r="C890" s="120" t="s">
        <v>301</v>
      </c>
      <c r="D890" s="120" t="s">
        <v>713</v>
      </c>
      <c r="E890" s="120" t="s">
        <v>28</v>
      </c>
      <c r="F890" s="120" t="s">
        <v>14</v>
      </c>
      <c r="G890" s="120">
        <v>41</v>
      </c>
      <c r="H890">
        <v>3</v>
      </c>
      <c r="I890" s="120" t="s">
        <v>47</v>
      </c>
      <c r="J890">
        <v>38</v>
      </c>
      <c r="K890">
        <v>0</v>
      </c>
      <c r="L890">
        <v>5.9</v>
      </c>
      <c r="M890">
        <v>241.9</v>
      </c>
      <c r="N890">
        <v>17.700000000000003</v>
      </c>
    </row>
    <row r="891" spans="1:14" hidden="1" x14ac:dyDescent="0.25">
      <c r="A891" s="120" t="s">
        <v>3772</v>
      </c>
      <c r="B891" s="120" t="s">
        <v>3773</v>
      </c>
      <c r="C891" s="120" t="s">
        <v>301</v>
      </c>
      <c r="D891" s="120" t="s">
        <v>617</v>
      </c>
      <c r="E891" s="120" t="s">
        <v>618</v>
      </c>
      <c r="F891" s="120" t="s">
        <v>18</v>
      </c>
      <c r="G891" s="120">
        <v>53</v>
      </c>
      <c r="H891">
        <v>20</v>
      </c>
      <c r="I891" s="120" t="s">
        <v>47</v>
      </c>
      <c r="J891">
        <v>33</v>
      </c>
      <c r="K891">
        <v>0</v>
      </c>
      <c r="L891">
        <v>2.9</v>
      </c>
      <c r="M891">
        <v>153.69999999999999</v>
      </c>
      <c r="N891">
        <v>58</v>
      </c>
    </row>
    <row r="892" spans="1:14" hidden="1" x14ac:dyDescent="0.25">
      <c r="A892" s="120" t="s">
        <v>3772</v>
      </c>
      <c r="B892" s="120" t="s">
        <v>3773</v>
      </c>
      <c r="C892" s="120" t="s">
        <v>301</v>
      </c>
      <c r="D892" s="120" t="s">
        <v>3857</v>
      </c>
      <c r="E892" s="120" t="s">
        <v>2971</v>
      </c>
      <c r="F892" s="120"/>
      <c r="G892" s="120">
        <v>146</v>
      </c>
      <c r="H892">
        <v>0</v>
      </c>
      <c r="I892" s="120" t="s">
        <v>47</v>
      </c>
      <c r="J892">
        <v>146</v>
      </c>
      <c r="K892">
        <v>0</v>
      </c>
      <c r="L892">
        <v>0</v>
      </c>
      <c r="M892">
        <v>0</v>
      </c>
      <c r="N892">
        <v>0</v>
      </c>
    </row>
    <row r="893" spans="1:14" hidden="1" x14ac:dyDescent="0.25">
      <c r="A893" s="120" t="s">
        <v>3772</v>
      </c>
      <c r="B893" s="120" t="s">
        <v>3773</v>
      </c>
      <c r="C893" s="120" t="s">
        <v>301</v>
      </c>
      <c r="D893" s="120" t="s">
        <v>1085</v>
      </c>
      <c r="E893" s="120" t="s">
        <v>1086</v>
      </c>
      <c r="F893" s="120"/>
      <c r="G893" s="120">
        <v>4</v>
      </c>
      <c r="H893">
        <v>1</v>
      </c>
      <c r="I893" s="120" t="s">
        <v>47</v>
      </c>
      <c r="J893">
        <v>3</v>
      </c>
      <c r="K893">
        <v>0</v>
      </c>
      <c r="L893">
        <v>280</v>
      </c>
      <c r="M893">
        <v>1120</v>
      </c>
      <c r="N893">
        <v>280</v>
      </c>
    </row>
    <row r="894" spans="1:14" hidden="1" x14ac:dyDescent="0.25">
      <c r="A894" s="120" t="s">
        <v>3772</v>
      </c>
      <c r="B894" s="120" t="s">
        <v>3773</v>
      </c>
      <c r="C894" s="120" t="s">
        <v>301</v>
      </c>
      <c r="D894" s="120" t="s">
        <v>1168</v>
      </c>
      <c r="E894" s="120" t="s">
        <v>1167</v>
      </c>
      <c r="F894" s="120"/>
      <c r="G894" s="120">
        <v>0</v>
      </c>
      <c r="H894">
        <v>0</v>
      </c>
      <c r="I894" s="120" t="s">
        <v>47</v>
      </c>
      <c r="J894">
        <v>0</v>
      </c>
      <c r="K894">
        <v>1</v>
      </c>
      <c r="L894" s="121">
        <v>4999</v>
      </c>
      <c r="M894" s="121">
        <v>0</v>
      </c>
      <c r="N894" s="121">
        <v>0</v>
      </c>
    </row>
    <row r="895" spans="1:14" hidden="1" x14ac:dyDescent="0.25">
      <c r="A895" s="120" t="s">
        <v>3772</v>
      </c>
      <c r="B895" s="120" t="s">
        <v>3773</v>
      </c>
      <c r="C895" s="120" t="s">
        <v>301</v>
      </c>
      <c r="D895" s="120" t="s">
        <v>3853</v>
      </c>
      <c r="E895" s="120" t="s">
        <v>2529</v>
      </c>
      <c r="F895" s="120"/>
      <c r="G895" s="120">
        <v>6</v>
      </c>
      <c r="H895">
        <v>0</v>
      </c>
      <c r="I895" s="120" t="s">
        <v>47</v>
      </c>
      <c r="J895">
        <v>6</v>
      </c>
      <c r="K895">
        <v>0</v>
      </c>
      <c r="L895">
        <v>0</v>
      </c>
      <c r="M895">
        <v>0</v>
      </c>
      <c r="N895">
        <v>0</v>
      </c>
    </row>
    <row r="896" spans="1:14" hidden="1" x14ac:dyDescent="0.25">
      <c r="A896" s="120" t="s">
        <v>3772</v>
      </c>
      <c r="B896" s="120" t="s">
        <v>3773</v>
      </c>
      <c r="C896" s="120" t="s">
        <v>69</v>
      </c>
      <c r="D896" s="120" t="s">
        <v>1143</v>
      </c>
      <c r="E896" s="120" t="s">
        <v>54</v>
      </c>
      <c r="F896" s="120" t="s">
        <v>14</v>
      </c>
      <c r="G896" s="120">
        <v>28</v>
      </c>
      <c r="H896">
        <v>0</v>
      </c>
      <c r="I896" s="120" t="s">
        <v>47</v>
      </c>
      <c r="J896">
        <v>28</v>
      </c>
      <c r="K896">
        <v>0</v>
      </c>
      <c r="L896">
        <v>17</v>
      </c>
      <c r="M896">
        <v>476</v>
      </c>
      <c r="N896">
        <v>0</v>
      </c>
    </row>
    <row r="897" spans="1:14" hidden="1" x14ac:dyDescent="0.25">
      <c r="A897" s="120" t="s">
        <v>3772</v>
      </c>
      <c r="B897" s="120" t="s">
        <v>3773</v>
      </c>
      <c r="C897" s="120" t="s">
        <v>301</v>
      </c>
      <c r="D897" s="120" t="s">
        <v>3755</v>
      </c>
      <c r="E897" s="120" t="s">
        <v>2989</v>
      </c>
      <c r="F897" s="120" t="s">
        <v>14</v>
      </c>
      <c r="G897" s="120">
        <v>5</v>
      </c>
      <c r="H897">
        <v>0</v>
      </c>
      <c r="I897" s="120" t="s">
        <v>47</v>
      </c>
      <c r="J897">
        <v>5</v>
      </c>
      <c r="K897">
        <v>0</v>
      </c>
      <c r="L897">
        <v>0</v>
      </c>
      <c r="M897">
        <v>0</v>
      </c>
      <c r="N897">
        <v>0</v>
      </c>
    </row>
    <row r="898" spans="1:14" hidden="1" x14ac:dyDescent="0.25">
      <c r="A898" s="120" t="s">
        <v>3772</v>
      </c>
      <c r="B898" s="120" t="s">
        <v>3773</v>
      </c>
      <c r="C898" s="120" t="s">
        <v>69</v>
      </c>
      <c r="D898" s="120" t="s">
        <v>1239</v>
      </c>
      <c r="E898" s="120" t="s">
        <v>121</v>
      </c>
      <c r="F898" s="120" t="s">
        <v>14</v>
      </c>
      <c r="G898" s="120">
        <v>56</v>
      </c>
      <c r="H898">
        <v>0</v>
      </c>
      <c r="I898" s="120" t="s">
        <v>47</v>
      </c>
      <c r="J898">
        <v>56</v>
      </c>
      <c r="K898">
        <v>0</v>
      </c>
      <c r="L898">
        <v>10.5</v>
      </c>
      <c r="M898">
        <v>588</v>
      </c>
      <c r="N898">
        <v>0</v>
      </c>
    </row>
    <row r="899" spans="1:14" hidden="1" x14ac:dyDescent="0.25">
      <c r="A899" s="120" t="s">
        <v>3772</v>
      </c>
      <c r="B899" s="120" t="s">
        <v>3773</v>
      </c>
      <c r="C899" s="120" t="s">
        <v>301</v>
      </c>
      <c r="D899" s="120" t="s">
        <v>3652</v>
      </c>
      <c r="E899" s="120" t="s">
        <v>461</v>
      </c>
      <c r="F899" s="120" t="s">
        <v>10</v>
      </c>
      <c r="G899" s="120">
        <v>3</v>
      </c>
      <c r="H899">
        <v>0</v>
      </c>
      <c r="I899" s="120" t="s">
        <v>47</v>
      </c>
      <c r="J899">
        <v>3</v>
      </c>
      <c r="K899">
        <v>0</v>
      </c>
      <c r="L899">
        <v>0</v>
      </c>
      <c r="M899">
        <v>0</v>
      </c>
      <c r="N899">
        <v>0</v>
      </c>
    </row>
    <row r="900" spans="1:14" hidden="1" x14ac:dyDescent="0.25">
      <c r="A900" s="120" t="s">
        <v>3772</v>
      </c>
      <c r="B900" s="120" t="s">
        <v>3773</v>
      </c>
      <c r="C900" s="120" t="s">
        <v>301</v>
      </c>
      <c r="D900" s="120" t="s">
        <v>1453</v>
      </c>
      <c r="E900" s="120" t="s">
        <v>1454</v>
      </c>
      <c r="F900" s="120" t="s">
        <v>14</v>
      </c>
      <c r="G900" s="120">
        <v>2</v>
      </c>
      <c r="H900">
        <v>2</v>
      </c>
      <c r="I900" s="120" t="s">
        <v>57</v>
      </c>
      <c r="J900">
        <v>0</v>
      </c>
      <c r="K900">
        <v>1</v>
      </c>
      <c r="L900" s="121">
        <v>41</v>
      </c>
      <c r="M900" s="121">
        <v>82</v>
      </c>
      <c r="N900" s="121">
        <v>82</v>
      </c>
    </row>
    <row r="901" spans="1:14" hidden="1" x14ac:dyDescent="0.25">
      <c r="A901" s="120" t="s">
        <v>3772</v>
      </c>
      <c r="B901" s="120" t="s">
        <v>3773</v>
      </c>
      <c r="C901" s="120" t="s">
        <v>301</v>
      </c>
      <c r="D901" s="120" t="s">
        <v>1186</v>
      </c>
      <c r="E901" s="120" t="s">
        <v>160</v>
      </c>
      <c r="F901" s="120" t="s">
        <v>10</v>
      </c>
      <c r="G901" s="120">
        <v>53</v>
      </c>
      <c r="H901">
        <v>19</v>
      </c>
      <c r="I901" s="120" t="s">
        <v>47</v>
      </c>
      <c r="J901">
        <v>34</v>
      </c>
      <c r="K901">
        <v>0</v>
      </c>
      <c r="L901">
        <v>14.8</v>
      </c>
      <c r="M901">
        <v>784.40000000000009</v>
      </c>
      <c r="N901">
        <v>281.2</v>
      </c>
    </row>
    <row r="902" spans="1:14" hidden="1" x14ac:dyDescent="0.25">
      <c r="A902" s="120" t="s">
        <v>3772</v>
      </c>
      <c r="B902" s="120" t="s">
        <v>3773</v>
      </c>
      <c r="C902" s="120" t="s">
        <v>301</v>
      </c>
      <c r="D902" s="120" t="s">
        <v>3631</v>
      </c>
      <c r="E902" s="120" t="s">
        <v>433</v>
      </c>
      <c r="F902" s="120" t="s">
        <v>14</v>
      </c>
      <c r="G902" s="120">
        <v>52</v>
      </c>
      <c r="H902">
        <v>0</v>
      </c>
      <c r="I902" s="120" t="s">
        <v>47</v>
      </c>
      <c r="J902">
        <v>52</v>
      </c>
      <c r="K902">
        <v>0</v>
      </c>
      <c r="L902">
        <v>0</v>
      </c>
      <c r="M902">
        <v>0</v>
      </c>
      <c r="N902">
        <v>0</v>
      </c>
    </row>
    <row r="903" spans="1:14" hidden="1" x14ac:dyDescent="0.25">
      <c r="A903" s="120" t="s">
        <v>3772</v>
      </c>
      <c r="B903" s="120" t="s">
        <v>3773</v>
      </c>
      <c r="C903" s="120" t="s">
        <v>301</v>
      </c>
      <c r="D903" s="120" t="s">
        <v>3659</v>
      </c>
      <c r="E903" s="120" t="s">
        <v>472</v>
      </c>
      <c r="F903" s="120" t="s">
        <v>10</v>
      </c>
      <c r="G903" s="120">
        <v>1</v>
      </c>
      <c r="H903">
        <v>0</v>
      </c>
      <c r="I903" s="120" t="s">
        <v>47</v>
      </c>
      <c r="J903">
        <v>1</v>
      </c>
      <c r="K903">
        <v>0</v>
      </c>
      <c r="L903">
        <v>0</v>
      </c>
      <c r="M903">
        <v>0</v>
      </c>
      <c r="N903">
        <v>0</v>
      </c>
    </row>
    <row r="904" spans="1:14" hidden="1" x14ac:dyDescent="0.25">
      <c r="A904" s="120" t="s">
        <v>3772</v>
      </c>
      <c r="B904" s="120" t="s">
        <v>3773</v>
      </c>
      <c r="C904" s="120" t="s">
        <v>301</v>
      </c>
      <c r="D904" s="120" t="s">
        <v>3848</v>
      </c>
      <c r="E904" s="120" t="s">
        <v>1784</v>
      </c>
      <c r="F904" s="120"/>
      <c r="G904" s="120">
        <v>81</v>
      </c>
      <c r="H904">
        <v>0</v>
      </c>
      <c r="I904" s="120" t="s">
        <v>47</v>
      </c>
      <c r="J904">
        <v>81</v>
      </c>
      <c r="K904">
        <v>0</v>
      </c>
      <c r="L904">
        <v>0</v>
      </c>
      <c r="M904">
        <v>0</v>
      </c>
      <c r="N904">
        <v>0</v>
      </c>
    </row>
    <row r="905" spans="1:14" hidden="1" x14ac:dyDescent="0.25">
      <c r="A905" s="120" t="s">
        <v>3772</v>
      </c>
      <c r="B905" s="120" t="s">
        <v>3773</v>
      </c>
      <c r="C905" s="120" t="s">
        <v>301</v>
      </c>
      <c r="D905" s="120" t="s">
        <v>3466</v>
      </c>
      <c r="E905" s="120" t="s">
        <v>19</v>
      </c>
      <c r="F905" s="120" t="s">
        <v>10</v>
      </c>
      <c r="G905" s="120">
        <v>88</v>
      </c>
      <c r="H905">
        <v>0</v>
      </c>
      <c r="I905" s="120" t="s">
        <v>47</v>
      </c>
      <c r="J905">
        <v>88</v>
      </c>
      <c r="K905">
        <v>0</v>
      </c>
      <c r="L905">
        <v>0</v>
      </c>
      <c r="M905">
        <v>0</v>
      </c>
      <c r="N905">
        <v>0</v>
      </c>
    </row>
    <row r="906" spans="1:14" hidden="1" x14ac:dyDescent="0.25">
      <c r="A906" s="120" t="s">
        <v>3772</v>
      </c>
      <c r="B906" s="120" t="s">
        <v>3773</v>
      </c>
      <c r="C906" s="120" t="s">
        <v>301</v>
      </c>
      <c r="D906" s="120" t="s">
        <v>689</v>
      </c>
      <c r="E906" s="120" t="s">
        <v>412</v>
      </c>
      <c r="F906" s="120" t="s">
        <v>10</v>
      </c>
      <c r="G906" s="120">
        <v>57</v>
      </c>
      <c r="H906">
        <v>14</v>
      </c>
      <c r="I906" s="120" t="s">
        <v>47</v>
      </c>
      <c r="J906">
        <v>43</v>
      </c>
      <c r="K906">
        <v>0</v>
      </c>
      <c r="L906">
        <v>17.399999999999999</v>
      </c>
      <c r="M906">
        <v>991.8</v>
      </c>
      <c r="N906">
        <v>243.59999999999997</v>
      </c>
    </row>
    <row r="907" spans="1:14" hidden="1" x14ac:dyDescent="0.25">
      <c r="A907" s="120" t="s">
        <v>3772</v>
      </c>
      <c r="B907" s="120" t="s">
        <v>3773</v>
      </c>
      <c r="C907" s="120" t="s">
        <v>301</v>
      </c>
      <c r="D907" s="120" t="s">
        <v>3668</v>
      </c>
      <c r="E907" s="120" t="s">
        <v>484</v>
      </c>
      <c r="F907" s="120" t="s">
        <v>14</v>
      </c>
      <c r="G907" s="120">
        <v>53</v>
      </c>
      <c r="H907">
        <v>0</v>
      </c>
      <c r="I907" s="120" t="s">
        <v>47</v>
      </c>
      <c r="J907">
        <v>53</v>
      </c>
      <c r="K907">
        <v>0</v>
      </c>
      <c r="L907">
        <v>0</v>
      </c>
      <c r="M907">
        <v>0</v>
      </c>
      <c r="N907">
        <v>0</v>
      </c>
    </row>
    <row r="908" spans="1:14" hidden="1" x14ac:dyDescent="0.25">
      <c r="A908" s="120" t="s">
        <v>3772</v>
      </c>
      <c r="B908" s="120" t="s">
        <v>3773</v>
      </c>
      <c r="C908" s="120" t="s">
        <v>301</v>
      </c>
      <c r="D908" s="120" t="s">
        <v>604</v>
      </c>
      <c r="E908" s="120" t="s">
        <v>605</v>
      </c>
      <c r="F908" s="120"/>
      <c r="G908" s="120">
        <v>72</v>
      </c>
      <c r="H908">
        <v>0</v>
      </c>
      <c r="I908" s="120" t="s">
        <v>47</v>
      </c>
      <c r="J908">
        <v>72</v>
      </c>
      <c r="K908">
        <v>0</v>
      </c>
      <c r="L908">
        <v>11</v>
      </c>
      <c r="M908">
        <v>792</v>
      </c>
      <c r="N908">
        <v>0</v>
      </c>
    </row>
    <row r="909" spans="1:14" hidden="1" x14ac:dyDescent="0.25">
      <c r="A909" s="120" t="s">
        <v>3772</v>
      </c>
      <c r="B909" s="120" t="s">
        <v>3773</v>
      </c>
      <c r="C909" s="120" t="s">
        <v>301</v>
      </c>
      <c r="D909" s="120" t="s">
        <v>3530</v>
      </c>
      <c r="E909" s="120" t="s">
        <v>205</v>
      </c>
      <c r="F909" s="120" t="s">
        <v>14</v>
      </c>
      <c r="G909" s="120">
        <v>1</v>
      </c>
      <c r="H909">
        <v>0</v>
      </c>
      <c r="I909" s="120" t="s">
        <v>47</v>
      </c>
      <c r="J909">
        <v>1</v>
      </c>
      <c r="K909">
        <v>0</v>
      </c>
      <c r="L909">
        <v>0</v>
      </c>
      <c r="M909">
        <v>0</v>
      </c>
      <c r="N909">
        <v>0</v>
      </c>
    </row>
    <row r="910" spans="1:14" hidden="1" x14ac:dyDescent="0.25">
      <c r="A910" s="120" t="s">
        <v>3772</v>
      </c>
      <c r="B910" s="120" t="s">
        <v>3773</v>
      </c>
      <c r="C910" s="120" t="s">
        <v>301</v>
      </c>
      <c r="D910" s="120" t="s">
        <v>715</v>
      </c>
      <c r="E910" s="120" t="s">
        <v>716</v>
      </c>
      <c r="F910" s="120" t="s">
        <v>18</v>
      </c>
      <c r="G910" s="120">
        <v>44</v>
      </c>
      <c r="H910">
        <v>15</v>
      </c>
      <c r="I910" s="120" t="s">
        <v>47</v>
      </c>
      <c r="J910">
        <v>29</v>
      </c>
      <c r="K910">
        <v>0</v>
      </c>
      <c r="L910">
        <v>78</v>
      </c>
      <c r="M910">
        <v>3432</v>
      </c>
      <c r="N910">
        <v>1170</v>
      </c>
    </row>
    <row r="911" spans="1:14" hidden="1" x14ac:dyDescent="0.25">
      <c r="A911" s="120" t="s">
        <v>3772</v>
      </c>
      <c r="B911" s="120" t="s">
        <v>3773</v>
      </c>
      <c r="C911" s="120" t="s">
        <v>301</v>
      </c>
      <c r="D911" s="120" t="s">
        <v>3751</v>
      </c>
      <c r="E911" s="120" t="s">
        <v>1823</v>
      </c>
      <c r="F911" s="120" t="s">
        <v>71</v>
      </c>
      <c r="G911" s="120">
        <v>106</v>
      </c>
      <c r="H911">
        <v>0</v>
      </c>
      <c r="I911" s="120" t="s">
        <v>47</v>
      </c>
      <c r="J911">
        <v>106</v>
      </c>
      <c r="K911">
        <v>0</v>
      </c>
      <c r="L911">
        <v>0</v>
      </c>
      <c r="M911">
        <v>0</v>
      </c>
      <c r="N911">
        <v>0</v>
      </c>
    </row>
    <row r="912" spans="1:14" hidden="1" x14ac:dyDescent="0.25">
      <c r="A912" s="120" t="s">
        <v>3772</v>
      </c>
      <c r="B912" s="120" t="s">
        <v>3773</v>
      </c>
      <c r="C912" s="120" t="s">
        <v>301</v>
      </c>
      <c r="D912" s="120" t="s">
        <v>3854</v>
      </c>
      <c r="E912" s="120" t="s">
        <v>3824</v>
      </c>
      <c r="F912" s="120"/>
      <c r="G912" s="120">
        <v>1</v>
      </c>
      <c r="H912">
        <v>0</v>
      </c>
      <c r="I912" s="120" t="s">
        <v>57</v>
      </c>
      <c r="J912">
        <v>1</v>
      </c>
      <c r="K912">
        <v>0</v>
      </c>
      <c r="L912">
        <v>0</v>
      </c>
      <c r="M912">
        <v>0</v>
      </c>
      <c r="N912">
        <v>0</v>
      </c>
    </row>
    <row r="913" spans="1:14" hidden="1" x14ac:dyDescent="0.25">
      <c r="A913" s="120" t="s">
        <v>3772</v>
      </c>
      <c r="B913" s="120" t="s">
        <v>3773</v>
      </c>
      <c r="C913" s="120" t="s">
        <v>301</v>
      </c>
      <c r="D913" s="120" t="s">
        <v>627</v>
      </c>
      <c r="E913" s="120" t="s">
        <v>58</v>
      </c>
      <c r="F913" s="120" t="s">
        <v>59</v>
      </c>
      <c r="G913" s="120">
        <v>20</v>
      </c>
      <c r="H913">
        <v>0</v>
      </c>
      <c r="I913" s="120" t="s">
        <v>57</v>
      </c>
      <c r="J913">
        <v>20</v>
      </c>
      <c r="K913">
        <v>0</v>
      </c>
      <c r="L913">
        <v>3.8</v>
      </c>
      <c r="M913">
        <v>76</v>
      </c>
      <c r="N913">
        <v>0</v>
      </c>
    </row>
    <row r="914" spans="1:14" hidden="1" x14ac:dyDescent="0.25">
      <c r="A914" s="120" t="s">
        <v>3772</v>
      </c>
      <c r="B914" s="120" t="s">
        <v>3773</v>
      </c>
      <c r="C914" s="120" t="s">
        <v>301</v>
      </c>
      <c r="D914" s="120" t="s">
        <v>3480</v>
      </c>
      <c r="E914" s="120" t="s">
        <v>53</v>
      </c>
      <c r="F914" s="120" t="s">
        <v>14</v>
      </c>
      <c r="G914" s="120">
        <v>27</v>
      </c>
      <c r="H914">
        <v>0</v>
      </c>
      <c r="I914" s="120" t="s">
        <v>57</v>
      </c>
      <c r="J914">
        <v>27</v>
      </c>
      <c r="K914">
        <v>0</v>
      </c>
      <c r="L914">
        <v>0</v>
      </c>
      <c r="M914">
        <v>0</v>
      </c>
      <c r="N914">
        <v>0</v>
      </c>
    </row>
    <row r="915" spans="1:14" hidden="1" x14ac:dyDescent="0.25">
      <c r="A915" s="120" t="s">
        <v>3772</v>
      </c>
      <c r="B915" s="120" t="s">
        <v>3773</v>
      </c>
      <c r="C915" s="120" t="s">
        <v>301</v>
      </c>
      <c r="D915" s="120" t="s">
        <v>3640</v>
      </c>
      <c r="E915" s="120" t="s">
        <v>445</v>
      </c>
      <c r="F915" s="120" t="s">
        <v>10</v>
      </c>
      <c r="G915" s="120">
        <v>27</v>
      </c>
      <c r="H915">
        <v>0</v>
      </c>
      <c r="I915" s="120" t="s">
        <v>57</v>
      </c>
      <c r="J915">
        <v>27</v>
      </c>
      <c r="K915">
        <v>0</v>
      </c>
      <c r="L915">
        <v>0</v>
      </c>
      <c r="M915">
        <v>0</v>
      </c>
      <c r="N915">
        <v>0</v>
      </c>
    </row>
    <row r="916" spans="1:14" hidden="1" x14ac:dyDescent="0.25">
      <c r="A916" s="120" t="s">
        <v>3772</v>
      </c>
      <c r="B916" s="120" t="s">
        <v>3773</v>
      </c>
      <c r="C916" s="120" t="s">
        <v>301</v>
      </c>
      <c r="D916" s="120" t="s">
        <v>3869</v>
      </c>
      <c r="E916" s="120" t="s">
        <v>3834</v>
      </c>
      <c r="F916" s="120"/>
      <c r="G916" s="120">
        <v>0</v>
      </c>
      <c r="H916">
        <v>0</v>
      </c>
      <c r="I916" s="120" t="s">
        <v>57</v>
      </c>
      <c r="J916">
        <v>0</v>
      </c>
      <c r="K916">
        <v>1</v>
      </c>
      <c r="L916" s="121">
        <v>0</v>
      </c>
      <c r="M916" s="121">
        <v>0</v>
      </c>
      <c r="N916" s="121">
        <v>0</v>
      </c>
    </row>
    <row r="917" spans="1:14" hidden="1" x14ac:dyDescent="0.25">
      <c r="A917" s="120" t="s">
        <v>3772</v>
      </c>
      <c r="B917" s="120" t="s">
        <v>3773</v>
      </c>
      <c r="C917" s="120" t="s">
        <v>301</v>
      </c>
      <c r="D917" s="120" t="s">
        <v>3692</v>
      </c>
      <c r="E917" s="120" t="s">
        <v>523</v>
      </c>
      <c r="F917" s="120" t="s">
        <v>14</v>
      </c>
      <c r="G917" s="120">
        <v>58</v>
      </c>
      <c r="H917">
        <v>0</v>
      </c>
      <c r="I917" s="120" t="s">
        <v>57</v>
      </c>
      <c r="J917">
        <v>58</v>
      </c>
      <c r="K917">
        <v>0</v>
      </c>
      <c r="L917">
        <v>0</v>
      </c>
      <c r="M917">
        <v>0</v>
      </c>
      <c r="N917">
        <v>0</v>
      </c>
    </row>
    <row r="918" spans="1:14" hidden="1" x14ac:dyDescent="0.25">
      <c r="A918" s="120" t="s">
        <v>3772</v>
      </c>
      <c r="B918" s="120" t="s">
        <v>3773</v>
      </c>
      <c r="C918" s="120" t="s">
        <v>301</v>
      </c>
      <c r="D918" s="120" t="s">
        <v>634</v>
      </c>
      <c r="E918" s="120" t="s">
        <v>136</v>
      </c>
      <c r="F918" s="120" t="s">
        <v>18</v>
      </c>
      <c r="G918" s="120">
        <v>10</v>
      </c>
      <c r="H918">
        <v>7</v>
      </c>
      <c r="I918" s="120" t="s">
        <v>57</v>
      </c>
      <c r="J918">
        <v>3</v>
      </c>
      <c r="K918">
        <v>0</v>
      </c>
      <c r="L918">
        <v>6.9</v>
      </c>
      <c r="M918">
        <v>69</v>
      </c>
      <c r="N918">
        <v>48.300000000000004</v>
      </c>
    </row>
    <row r="919" spans="1:14" hidden="1" x14ac:dyDescent="0.25">
      <c r="A919" s="120" t="s">
        <v>3772</v>
      </c>
      <c r="B919" s="120" t="s">
        <v>3773</v>
      </c>
      <c r="C919" s="120" t="s">
        <v>301</v>
      </c>
      <c r="D919" s="120" t="s">
        <v>3870</v>
      </c>
      <c r="E919" s="120" t="s">
        <v>3835</v>
      </c>
      <c r="F919" s="120"/>
      <c r="G919" s="120">
        <v>0</v>
      </c>
      <c r="H919">
        <v>0</v>
      </c>
      <c r="I919" s="120" t="s">
        <v>57</v>
      </c>
      <c r="J919">
        <v>0</v>
      </c>
      <c r="K919">
        <v>1</v>
      </c>
      <c r="L919" s="121">
        <v>0</v>
      </c>
      <c r="M919" s="121">
        <v>0</v>
      </c>
      <c r="N919" s="121">
        <v>0</v>
      </c>
    </row>
    <row r="920" spans="1:14" hidden="1" x14ac:dyDescent="0.25">
      <c r="A920" s="120" t="s">
        <v>3772</v>
      </c>
      <c r="B920" s="120" t="s">
        <v>3773</v>
      </c>
      <c r="C920" s="120" t="s">
        <v>301</v>
      </c>
      <c r="D920" s="120" t="s">
        <v>615</v>
      </c>
      <c r="E920" s="120" t="s">
        <v>616</v>
      </c>
      <c r="F920" s="120" t="s">
        <v>18</v>
      </c>
      <c r="G920" s="120">
        <v>31</v>
      </c>
      <c r="H920">
        <v>0</v>
      </c>
      <c r="I920" s="120" t="s">
        <v>57</v>
      </c>
      <c r="J920">
        <v>31</v>
      </c>
      <c r="K920">
        <v>0</v>
      </c>
      <c r="L920">
        <v>1.9</v>
      </c>
      <c r="M920">
        <v>58.9</v>
      </c>
      <c r="N920">
        <v>0</v>
      </c>
    </row>
    <row r="921" spans="1:14" hidden="1" x14ac:dyDescent="0.25">
      <c r="A921" s="120" t="s">
        <v>3772</v>
      </c>
      <c r="B921" s="120" t="s">
        <v>3773</v>
      </c>
      <c r="C921" s="120" t="s">
        <v>301</v>
      </c>
      <c r="D921" s="120" t="s">
        <v>3728</v>
      </c>
      <c r="E921" s="120" t="s">
        <v>1801</v>
      </c>
      <c r="F921" s="120" t="s">
        <v>18</v>
      </c>
      <c r="G921" s="120">
        <v>48</v>
      </c>
      <c r="H921">
        <v>0</v>
      </c>
      <c r="I921" s="120" t="s">
        <v>57</v>
      </c>
      <c r="J921">
        <v>48</v>
      </c>
      <c r="K921">
        <v>0</v>
      </c>
      <c r="L921">
        <v>0</v>
      </c>
      <c r="M921">
        <v>0</v>
      </c>
      <c r="N921">
        <v>0</v>
      </c>
    </row>
    <row r="922" spans="1:14" hidden="1" x14ac:dyDescent="0.25">
      <c r="A922" s="120" t="s">
        <v>3772</v>
      </c>
      <c r="B922" s="120" t="s">
        <v>3773</v>
      </c>
      <c r="C922" s="120" t="s">
        <v>301</v>
      </c>
      <c r="D922" s="120" t="s">
        <v>545</v>
      </c>
      <c r="E922" s="120" t="s">
        <v>381</v>
      </c>
      <c r="F922" s="120" t="s">
        <v>18</v>
      </c>
      <c r="G922" s="120">
        <v>39</v>
      </c>
      <c r="H922">
        <v>20</v>
      </c>
      <c r="I922" s="120" t="s">
        <v>57</v>
      </c>
      <c r="J922">
        <v>19</v>
      </c>
      <c r="K922">
        <v>0</v>
      </c>
      <c r="L922">
        <v>32.5</v>
      </c>
      <c r="M922">
        <v>1267.5</v>
      </c>
      <c r="N922">
        <v>650</v>
      </c>
    </row>
    <row r="923" spans="1:14" hidden="1" x14ac:dyDescent="0.25">
      <c r="A923" s="120" t="s">
        <v>3772</v>
      </c>
      <c r="B923" s="120" t="s">
        <v>3773</v>
      </c>
      <c r="C923" s="120" t="s">
        <v>301</v>
      </c>
      <c r="D923" s="120" t="s">
        <v>3844</v>
      </c>
      <c r="E923" s="120" t="s">
        <v>1790</v>
      </c>
      <c r="F923" s="120"/>
      <c r="G923" s="120">
        <v>43</v>
      </c>
      <c r="H923">
        <v>0</v>
      </c>
      <c r="I923" s="120" t="s">
        <v>57</v>
      </c>
      <c r="J923">
        <v>43</v>
      </c>
      <c r="K923">
        <v>0</v>
      </c>
      <c r="L923">
        <v>0</v>
      </c>
      <c r="M923">
        <v>0</v>
      </c>
      <c r="N923">
        <v>0</v>
      </c>
    </row>
    <row r="924" spans="1:14" hidden="1" x14ac:dyDescent="0.25">
      <c r="A924" s="120" t="s">
        <v>3772</v>
      </c>
      <c r="B924" s="120" t="s">
        <v>3773</v>
      </c>
      <c r="C924" s="120" t="s">
        <v>301</v>
      </c>
      <c r="D924" s="120" t="s">
        <v>750</v>
      </c>
      <c r="E924" s="120" t="s">
        <v>148</v>
      </c>
      <c r="F924" s="120" t="s">
        <v>14</v>
      </c>
      <c r="G924" s="120">
        <v>58</v>
      </c>
      <c r="H924">
        <v>0</v>
      </c>
      <c r="I924" s="120" t="s">
        <v>57</v>
      </c>
      <c r="J924">
        <v>58</v>
      </c>
      <c r="K924">
        <v>0</v>
      </c>
      <c r="L924">
        <v>16</v>
      </c>
      <c r="M924">
        <v>928</v>
      </c>
      <c r="N924">
        <v>0</v>
      </c>
    </row>
    <row r="925" spans="1:14" hidden="1" x14ac:dyDescent="0.25">
      <c r="A925" s="120" t="s">
        <v>3772</v>
      </c>
      <c r="B925" s="120" t="s">
        <v>3773</v>
      </c>
      <c r="C925" s="120" t="s">
        <v>301</v>
      </c>
      <c r="D925" s="120" t="s">
        <v>690</v>
      </c>
      <c r="E925" s="120" t="s">
        <v>413</v>
      </c>
      <c r="F925" s="120" t="s">
        <v>14</v>
      </c>
      <c r="G925" s="120">
        <v>34</v>
      </c>
      <c r="H925">
        <v>0</v>
      </c>
      <c r="I925" s="120" t="s">
        <v>57</v>
      </c>
      <c r="J925">
        <v>34</v>
      </c>
      <c r="K925">
        <v>0</v>
      </c>
      <c r="L925">
        <v>19</v>
      </c>
      <c r="M925">
        <v>646</v>
      </c>
      <c r="N925">
        <v>0</v>
      </c>
    </row>
    <row r="926" spans="1:14" hidden="1" x14ac:dyDescent="0.25">
      <c r="A926" s="120" t="s">
        <v>3772</v>
      </c>
      <c r="B926" s="120" t="s">
        <v>3773</v>
      </c>
      <c r="C926" s="120" t="s">
        <v>301</v>
      </c>
      <c r="D926" s="120" t="s">
        <v>697</v>
      </c>
      <c r="E926" s="120" t="s">
        <v>27</v>
      </c>
      <c r="F926" s="120" t="s">
        <v>10</v>
      </c>
      <c r="G926" s="120">
        <v>46</v>
      </c>
      <c r="H926">
        <v>0</v>
      </c>
      <c r="I926" s="120" t="s">
        <v>57</v>
      </c>
      <c r="J926">
        <v>46</v>
      </c>
      <c r="K926">
        <v>0</v>
      </c>
      <c r="L926">
        <v>15</v>
      </c>
      <c r="M926">
        <v>690</v>
      </c>
      <c r="N926">
        <v>0</v>
      </c>
    </row>
    <row r="927" spans="1:14" hidden="1" x14ac:dyDescent="0.25">
      <c r="A927" s="120" t="s">
        <v>3772</v>
      </c>
      <c r="B927" s="120" t="s">
        <v>3773</v>
      </c>
      <c r="C927" s="120" t="s">
        <v>301</v>
      </c>
      <c r="D927" s="120" t="s">
        <v>3674</v>
      </c>
      <c r="E927" s="120" t="s">
        <v>491</v>
      </c>
      <c r="F927" s="120" t="s">
        <v>10</v>
      </c>
      <c r="G927" s="120">
        <v>19</v>
      </c>
      <c r="H927">
        <v>0</v>
      </c>
      <c r="I927" s="120" t="s">
        <v>57</v>
      </c>
      <c r="J927">
        <v>19</v>
      </c>
      <c r="K927">
        <v>0</v>
      </c>
      <c r="L927">
        <v>0</v>
      </c>
      <c r="M927">
        <v>0</v>
      </c>
      <c r="N927">
        <v>0</v>
      </c>
    </row>
    <row r="928" spans="1:14" hidden="1" x14ac:dyDescent="0.25">
      <c r="A928" s="120" t="s">
        <v>3772</v>
      </c>
      <c r="B928" s="120" t="s">
        <v>3773</v>
      </c>
      <c r="C928" s="120" t="s">
        <v>301</v>
      </c>
      <c r="D928" s="120" t="s">
        <v>1078</v>
      </c>
      <c r="E928" s="120" t="s">
        <v>449</v>
      </c>
      <c r="F928" s="120" t="s">
        <v>14</v>
      </c>
      <c r="G928" s="120">
        <v>9</v>
      </c>
      <c r="H928">
        <v>5</v>
      </c>
      <c r="I928" s="120" t="s">
        <v>57</v>
      </c>
      <c r="J928">
        <v>4</v>
      </c>
      <c r="K928">
        <v>0</v>
      </c>
      <c r="L928">
        <v>760</v>
      </c>
      <c r="M928">
        <v>6840</v>
      </c>
      <c r="N928">
        <v>3800</v>
      </c>
    </row>
    <row r="929" spans="1:14" hidden="1" x14ac:dyDescent="0.25">
      <c r="A929" s="120" t="s">
        <v>3772</v>
      </c>
      <c r="B929" s="120" t="s">
        <v>3773</v>
      </c>
      <c r="C929" s="120" t="s">
        <v>301</v>
      </c>
      <c r="D929" s="120" t="s">
        <v>544</v>
      </c>
      <c r="E929" s="120" t="s">
        <v>13</v>
      </c>
      <c r="F929" s="120" t="s">
        <v>14</v>
      </c>
      <c r="G929" s="120">
        <v>65</v>
      </c>
      <c r="H929">
        <v>5</v>
      </c>
      <c r="I929" s="120" t="s">
        <v>57</v>
      </c>
      <c r="J929">
        <v>60</v>
      </c>
      <c r="K929">
        <v>0</v>
      </c>
      <c r="L929">
        <v>30</v>
      </c>
      <c r="M929">
        <v>1950</v>
      </c>
      <c r="N929">
        <v>150</v>
      </c>
    </row>
    <row r="930" spans="1:14" hidden="1" x14ac:dyDescent="0.25">
      <c r="A930" s="120" t="s">
        <v>3772</v>
      </c>
      <c r="B930" s="120" t="s">
        <v>3773</v>
      </c>
      <c r="C930" s="120" t="s">
        <v>69</v>
      </c>
      <c r="D930" s="120" t="s">
        <v>1189</v>
      </c>
      <c r="E930" s="120" t="s">
        <v>1190</v>
      </c>
      <c r="F930" s="120" t="s">
        <v>18</v>
      </c>
      <c r="G930" s="120">
        <v>103</v>
      </c>
      <c r="H930">
        <v>46</v>
      </c>
      <c r="I930" s="120" t="s">
        <v>11</v>
      </c>
      <c r="J930">
        <v>57</v>
      </c>
      <c r="K930">
        <v>0</v>
      </c>
      <c r="L930">
        <v>58</v>
      </c>
      <c r="M930">
        <v>5974</v>
      </c>
      <c r="N930">
        <v>2668</v>
      </c>
    </row>
    <row r="931" spans="1:14" hidden="1" x14ac:dyDescent="0.25">
      <c r="A931" s="120" t="s">
        <v>3772</v>
      </c>
      <c r="B931" s="120" t="s">
        <v>3773</v>
      </c>
      <c r="C931" s="120" t="s">
        <v>301</v>
      </c>
      <c r="D931" s="120" t="s">
        <v>1149</v>
      </c>
      <c r="E931" s="120" t="s">
        <v>41</v>
      </c>
      <c r="F931" s="120" t="s">
        <v>10</v>
      </c>
      <c r="G931" s="120">
        <v>17</v>
      </c>
      <c r="H931">
        <v>14</v>
      </c>
      <c r="I931" s="120" t="s">
        <v>57</v>
      </c>
      <c r="J931">
        <v>3</v>
      </c>
      <c r="K931">
        <v>0</v>
      </c>
      <c r="L931">
        <v>20</v>
      </c>
      <c r="M931">
        <v>340</v>
      </c>
      <c r="N931">
        <v>280</v>
      </c>
    </row>
    <row r="932" spans="1:14" hidden="1" x14ac:dyDescent="0.25">
      <c r="A932" s="120" t="s">
        <v>3772</v>
      </c>
      <c r="B932" s="120" t="s">
        <v>3773</v>
      </c>
      <c r="C932" s="120" t="s">
        <v>301</v>
      </c>
      <c r="D932" s="120" t="s">
        <v>3850</v>
      </c>
      <c r="E932" s="120" t="s">
        <v>1806</v>
      </c>
      <c r="F932" s="120"/>
      <c r="G932" s="120">
        <v>236</v>
      </c>
      <c r="H932">
        <v>0</v>
      </c>
      <c r="I932" s="120" t="s">
        <v>57</v>
      </c>
      <c r="J932">
        <v>236</v>
      </c>
      <c r="K932">
        <v>0</v>
      </c>
      <c r="L932">
        <v>0</v>
      </c>
      <c r="M932">
        <v>0</v>
      </c>
      <c r="N932">
        <v>0</v>
      </c>
    </row>
    <row r="933" spans="1:14" hidden="1" x14ac:dyDescent="0.25">
      <c r="A933" s="120" t="s">
        <v>3772</v>
      </c>
      <c r="B933" s="120" t="s">
        <v>3773</v>
      </c>
      <c r="C933" s="120" t="s">
        <v>301</v>
      </c>
      <c r="D933" s="120" t="s">
        <v>3867</v>
      </c>
      <c r="E933" s="120" t="s">
        <v>3832</v>
      </c>
      <c r="F933" s="120"/>
      <c r="G933" s="120">
        <v>0</v>
      </c>
      <c r="H933">
        <v>0</v>
      </c>
      <c r="I933" s="120" t="s">
        <v>57</v>
      </c>
      <c r="J933">
        <v>0</v>
      </c>
      <c r="K933">
        <v>1</v>
      </c>
      <c r="L933" s="121">
        <v>0</v>
      </c>
      <c r="M933" s="121">
        <v>0</v>
      </c>
      <c r="N933" s="121">
        <v>0</v>
      </c>
    </row>
    <row r="934" spans="1:14" hidden="1" x14ac:dyDescent="0.25">
      <c r="A934" s="120" t="s">
        <v>3772</v>
      </c>
      <c r="B934" s="120" t="s">
        <v>3773</v>
      </c>
      <c r="C934" s="120" t="s">
        <v>301</v>
      </c>
      <c r="D934" s="120" t="s">
        <v>1075</v>
      </c>
      <c r="E934" s="120" t="s">
        <v>1076</v>
      </c>
      <c r="F934" s="120"/>
      <c r="G934" s="120">
        <v>8</v>
      </c>
      <c r="H934">
        <v>8</v>
      </c>
      <c r="I934" s="120" t="s">
        <v>57</v>
      </c>
      <c r="J934">
        <v>0</v>
      </c>
      <c r="K934">
        <v>1</v>
      </c>
      <c r="L934" s="121">
        <v>115.71</v>
      </c>
      <c r="M934" s="121">
        <v>925.68</v>
      </c>
      <c r="N934" s="121">
        <v>925.68</v>
      </c>
    </row>
    <row r="935" spans="1:14" hidden="1" x14ac:dyDescent="0.25">
      <c r="A935" s="120" t="s">
        <v>3772</v>
      </c>
      <c r="B935" s="120" t="s">
        <v>3773</v>
      </c>
      <c r="C935" s="120" t="s">
        <v>301</v>
      </c>
      <c r="D935" s="120" t="s">
        <v>3593</v>
      </c>
      <c r="E935" s="120" t="s">
        <v>376</v>
      </c>
      <c r="F935" s="120" t="s">
        <v>10</v>
      </c>
      <c r="G935" s="120">
        <v>0</v>
      </c>
      <c r="H935">
        <v>0</v>
      </c>
      <c r="I935" s="120" t="s">
        <v>11</v>
      </c>
      <c r="J935">
        <v>0</v>
      </c>
      <c r="K935">
        <v>1</v>
      </c>
      <c r="L935" s="121">
        <v>0</v>
      </c>
      <c r="M935" s="121">
        <v>0</v>
      </c>
      <c r="N935" s="121">
        <v>0</v>
      </c>
    </row>
    <row r="936" spans="1:14" hidden="1" x14ac:dyDescent="0.25">
      <c r="A936" s="120" t="s">
        <v>3463</v>
      </c>
      <c r="B936" s="120" t="s">
        <v>3464</v>
      </c>
      <c r="C936" s="120" t="s">
        <v>69</v>
      </c>
      <c r="D936" s="120" t="s">
        <v>591</v>
      </c>
      <c r="E936" s="120" t="s">
        <v>74</v>
      </c>
      <c r="F936" s="120" t="s">
        <v>71</v>
      </c>
      <c r="G936" s="120">
        <v>49</v>
      </c>
      <c r="H936">
        <v>1</v>
      </c>
      <c r="I936" s="120" t="s">
        <v>11</v>
      </c>
      <c r="J936">
        <v>48</v>
      </c>
      <c r="K936">
        <v>0</v>
      </c>
      <c r="L936">
        <v>54</v>
      </c>
      <c r="M936">
        <v>2646</v>
      </c>
      <c r="N936">
        <v>54</v>
      </c>
    </row>
    <row r="937" spans="1:14" hidden="1" x14ac:dyDescent="0.25">
      <c r="A937" s="120" t="s">
        <v>3463</v>
      </c>
      <c r="B937" s="120" t="s">
        <v>3464</v>
      </c>
      <c r="C937" s="120" t="s">
        <v>69</v>
      </c>
      <c r="D937" s="120" t="s">
        <v>1134</v>
      </c>
      <c r="E937" s="120" t="s">
        <v>111</v>
      </c>
      <c r="F937" s="120" t="s">
        <v>10</v>
      </c>
      <c r="G937" s="120">
        <v>240</v>
      </c>
      <c r="H937">
        <v>77</v>
      </c>
      <c r="I937" s="120" t="s">
        <v>11</v>
      </c>
      <c r="J937">
        <v>163</v>
      </c>
      <c r="K937">
        <v>0</v>
      </c>
      <c r="L937">
        <v>34</v>
      </c>
      <c r="M937">
        <v>8160</v>
      </c>
      <c r="N937">
        <v>2618</v>
      </c>
    </row>
    <row r="938" spans="1:14" hidden="1" x14ac:dyDescent="0.25">
      <c r="A938" s="120" t="s">
        <v>3463</v>
      </c>
      <c r="B938" s="120" t="s">
        <v>3464</v>
      </c>
      <c r="C938" s="120" t="s">
        <v>69</v>
      </c>
      <c r="D938" s="120" t="s">
        <v>3503</v>
      </c>
      <c r="E938" s="120" t="s">
        <v>105</v>
      </c>
      <c r="F938" s="120" t="s">
        <v>10</v>
      </c>
      <c r="G938" s="120">
        <v>58</v>
      </c>
      <c r="H938">
        <v>0</v>
      </c>
      <c r="I938" s="120" t="s">
        <v>11</v>
      </c>
      <c r="J938">
        <v>58</v>
      </c>
      <c r="K938">
        <v>0</v>
      </c>
      <c r="L938">
        <v>0</v>
      </c>
      <c r="M938">
        <v>0</v>
      </c>
      <c r="N938">
        <v>0</v>
      </c>
    </row>
    <row r="939" spans="1:14" hidden="1" x14ac:dyDescent="0.25">
      <c r="A939" s="120" t="s">
        <v>3463</v>
      </c>
      <c r="B939" s="120" t="s">
        <v>3464</v>
      </c>
      <c r="C939" s="120" t="s">
        <v>69</v>
      </c>
      <c r="D939" s="120" t="s">
        <v>3495</v>
      </c>
      <c r="E939" s="120" t="s">
        <v>89</v>
      </c>
      <c r="F939" s="120" t="s">
        <v>18</v>
      </c>
      <c r="G939" s="120">
        <v>16</v>
      </c>
      <c r="H939">
        <v>0</v>
      </c>
      <c r="I939" s="120" t="s">
        <v>11</v>
      </c>
      <c r="J939">
        <v>16</v>
      </c>
      <c r="K939">
        <v>0</v>
      </c>
      <c r="L939">
        <v>0</v>
      </c>
      <c r="M939">
        <v>0</v>
      </c>
      <c r="N939">
        <v>0</v>
      </c>
    </row>
    <row r="940" spans="1:14" hidden="1" x14ac:dyDescent="0.25">
      <c r="A940" s="120" t="s">
        <v>3463</v>
      </c>
      <c r="B940" s="120" t="s">
        <v>3464</v>
      </c>
      <c r="C940" s="120" t="s">
        <v>69</v>
      </c>
      <c r="D940" s="120" t="s">
        <v>1113</v>
      </c>
      <c r="E940" s="120" t="s">
        <v>106</v>
      </c>
      <c r="F940" s="120" t="s">
        <v>18</v>
      </c>
      <c r="G940" s="120">
        <v>21</v>
      </c>
      <c r="H940">
        <v>53</v>
      </c>
      <c r="I940" s="120" t="s">
        <v>11</v>
      </c>
      <c r="J940">
        <v>-32</v>
      </c>
      <c r="K940">
        <v>0</v>
      </c>
      <c r="L940">
        <v>99</v>
      </c>
      <c r="M940">
        <v>2079</v>
      </c>
      <c r="N940">
        <v>5247</v>
      </c>
    </row>
    <row r="941" spans="1:14" hidden="1" x14ac:dyDescent="0.25">
      <c r="A941" s="120" t="s">
        <v>3463</v>
      </c>
      <c r="B941" s="120" t="s">
        <v>3464</v>
      </c>
      <c r="C941" s="120" t="s">
        <v>69</v>
      </c>
      <c r="D941" s="120" t="s">
        <v>687</v>
      </c>
      <c r="E941" s="120" t="s">
        <v>99</v>
      </c>
      <c r="F941" s="120" t="s">
        <v>10</v>
      </c>
      <c r="G941" s="120">
        <v>252</v>
      </c>
      <c r="H941">
        <v>110</v>
      </c>
      <c r="I941" s="120" t="s">
        <v>11</v>
      </c>
      <c r="J941">
        <v>142</v>
      </c>
      <c r="K941">
        <v>0</v>
      </c>
      <c r="L941">
        <v>9</v>
      </c>
      <c r="M941">
        <v>2268</v>
      </c>
      <c r="N941">
        <v>990</v>
      </c>
    </row>
    <row r="942" spans="1:14" hidden="1" x14ac:dyDescent="0.25">
      <c r="A942" s="120" t="s">
        <v>3463</v>
      </c>
      <c r="B942" s="120" t="s">
        <v>3464</v>
      </c>
      <c r="C942" s="120" t="s">
        <v>69</v>
      </c>
      <c r="D942" s="120" t="s">
        <v>738</v>
      </c>
      <c r="E942" s="120" t="s">
        <v>102</v>
      </c>
      <c r="F942" s="120" t="s">
        <v>10</v>
      </c>
      <c r="G942" s="120">
        <v>186</v>
      </c>
      <c r="H942">
        <v>182</v>
      </c>
      <c r="I942" s="120" t="s">
        <v>11</v>
      </c>
      <c r="J942">
        <v>4</v>
      </c>
      <c r="K942">
        <v>0</v>
      </c>
      <c r="L942">
        <v>10</v>
      </c>
      <c r="M942">
        <v>1860</v>
      </c>
      <c r="N942">
        <v>1820</v>
      </c>
    </row>
    <row r="943" spans="1:14" hidden="1" x14ac:dyDescent="0.25">
      <c r="A943" s="120" t="s">
        <v>3463</v>
      </c>
      <c r="B943" s="120" t="s">
        <v>3464</v>
      </c>
      <c r="C943" s="120" t="s">
        <v>69</v>
      </c>
      <c r="D943" s="120" t="s">
        <v>740</v>
      </c>
      <c r="E943" s="120" t="s">
        <v>103</v>
      </c>
      <c r="F943" s="120" t="s">
        <v>14</v>
      </c>
      <c r="G943" s="120">
        <v>393</v>
      </c>
      <c r="H943">
        <v>201</v>
      </c>
      <c r="I943" s="120" t="s">
        <v>11</v>
      </c>
      <c r="J943">
        <v>192</v>
      </c>
      <c r="K943">
        <v>0</v>
      </c>
      <c r="L943">
        <v>29</v>
      </c>
      <c r="M943">
        <v>11397</v>
      </c>
      <c r="N943">
        <v>5829</v>
      </c>
    </row>
    <row r="944" spans="1:14" hidden="1" x14ac:dyDescent="0.25">
      <c r="A944" s="120" t="s">
        <v>3463</v>
      </c>
      <c r="B944" s="120" t="s">
        <v>3464</v>
      </c>
      <c r="C944" s="120" t="s">
        <v>69</v>
      </c>
      <c r="D944" s="120" t="s">
        <v>1155</v>
      </c>
      <c r="E944" s="120" t="s">
        <v>114</v>
      </c>
      <c r="F944" s="120" t="s">
        <v>71</v>
      </c>
      <c r="G944" s="120">
        <v>146</v>
      </c>
      <c r="H944">
        <v>139</v>
      </c>
      <c r="I944" s="120" t="s">
        <v>11</v>
      </c>
      <c r="J944">
        <v>7</v>
      </c>
      <c r="K944">
        <v>0</v>
      </c>
      <c r="L944">
        <v>14</v>
      </c>
      <c r="M944">
        <v>2044</v>
      </c>
      <c r="N944">
        <v>1946</v>
      </c>
    </row>
    <row r="945" spans="1:14" hidden="1" x14ac:dyDescent="0.25">
      <c r="A945" s="120" t="s">
        <v>3463</v>
      </c>
      <c r="B945" s="120" t="s">
        <v>3464</v>
      </c>
      <c r="C945" s="120" t="s">
        <v>69</v>
      </c>
      <c r="D945" s="120" t="s">
        <v>1191</v>
      </c>
      <c r="E945" s="120" t="s">
        <v>117</v>
      </c>
      <c r="F945" s="120" t="s">
        <v>14</v>
      </c>
      <c r="G945" s="120">
        <v>0</v>
      </c>
      <c r="H945">
        <v>43</v>
      </c>
      <c r="I945" s="120" t="s">
        <v>11</v>
      </c>
      <c r="J945">
        <v>-43</v>
      </c>
      <c r="K945">
        <v>0</v>
      </c>
      <c r="L945">
        <v>3.5</v>
      </c>
      <c r="M945">
        <v>0</v>
      </c>
      <c r="N945">
        <v>150.5</v>
      </c>
    </row>
    <row r="946" spans="1:14" hidden="1" x14ac:dyDescent="0.25">
      <c r="A946" s="120" t="s">
        <v>3463</v>
      </c>
      <c r="B946" s="120" t="s">
        <v>3464</v>
      </c>
      <c r="C946" s="120" t="s">
        <v>69</v>
      </c>
      <c r="D946" s="120" t="s">
        <v>1192</v>
      </c>
      <c r="E946" s="120" t="s">
        <v>124</v>
      </c>
      <c r="F946" s="120" t="s">
        <v>14</v>
      </c>
      <c r="G946" s="120">
        <v>145</v>
      </c>
      <c r="H946">
        <v>125</v>
      </c>
      <c r="I946" s="120" t="s">
        <v>11</v>
      </c>
      <c r="J946">
        <v>20</v>
      </c>
      <c r="K946">
        <v>0</v>
      </c>
      <c r="L946">
        <v>3.5</v>
      </c>
      <c r="M946">
        <v>507.5</v>
      </c>
      <c r="N946">
        <v>437.5</v>
      </c>
    </row>
    <row r="947" spans="1:14" hidden="1" x14ac:dyDescent="0.25">
      <c r="A947" s="120" t="s">
        <v>3463</v>
      </c>
      <c r="B947" s="120" t="s">
        <v>3464</v>
      </c>
      <c r="C947" s="120" t="s">
        <v>69</v>
      </c>
      <c r="D947" s="120" t="s">
        <v>1239</v>
      </c>
      <c r="E947" s="120" t="s">
        <v>121</v>
      </c>
      <c r="F947" s="120" t="s">
        <v>14</v>
      </c>
      <c r="G947" s="120">
        <v>248</v>
      </c>
      <c r="H947">
        <v>82</v>
      </c>
      <c r="I947" s="120" t="s">
        <v>11</v>
      </c>
      <c r="J947">
        <v>166</v>
      </c>
      <c r="K947">
        <v>0</v>
      </c>
      <c r="L947">
        <v>10.5</v>
      </c>
      <c r="M947">
        <v>2604</v>
      </c>
      <c r="N947">
        <v>861</v>
      </c>
    </row>
    <row r="948" spans="1:14" hidden="1" x14ac:dyDescent="0.25">
      <c r="A948" s="120" t="s">
        <v>3463</v>
      </c>
      <c r="B948" s="120" t="s">
        <v>3464</v>
      </c>
      <c r="C948" s="120" t="s">
        <v>69</v>
      </c>
      <c r="D948" s="120" t="s">
        <v>1757</v>
      </c>
      <c r="E948" s="120" t="s">
        <v>122</v>
      </c>
      <c r="F948" s="120" t="s">
        <v>14</v>
      </c>
      <c r="G948" s="120">
        <v>58</v>
      </c>
      <c r="H948">
        <v>104</v>
      </c>
      <c r="I948" s="120" t="s">
        <v>11</v>
      </c>
      <c r="J948">
        <v>-46</v>
      </c>
      <c r="K948">
        <v>0</v>
      </c>
      <c r="L948">
        <v>170</v>
      </c>
      <c r="M948">
        <v>9860</v>
      </c>
      <c r="N948">
        <v>17680</v>
      </c>
    </row>
    <row r="949" spans="1:14" hidden="1" x14ac:dyDescent="0.25">
      <c r="A949" s="120" t="s">
        <v>3463</v>
      </c>
      <c r="B949" s="120" t="s">
        <v>3464</v>
      </c>
      <c r="C949" s="120" t="s">
        <v>69</v>
      </c>
      <c r="D949" s="120" t="s">
        <v>1760</v>
      </c>
      <c r="E949" s="120" t="s">
        <v>123</v>
      </c>
      <c r="F949" s="120" t="s">
        <v>14</v>
      </c>
      <c r="G949" s="120">
        <v>24</v>
      </c>
      <c r="H949">
        <v>148</v>
      </c>
      <c r="I949" s="120" t="s">
        <v>11</v>
      </c>
      <c r="J949">
        <v>-124</v>
      </c>
      <c r="K949">
        <v>0</v>
      </c>
      <c r="L949">
        <v>165</v>
      </c>
      <c r="M949">
        <v>3960</v>
      </c>
      <c r="N949">
        <v>24420</v>
      </c>
    </row>
    <row r="950" spans="1:14" hidden="1" x14ac:dyDescent="0.25">
      <c r="A950" s="120" t="s">
        <v>3463</v>
      </c>
      <c r="B950" s="120" t="s">
        <v>3464</v>
      </c>
      <c r="C950" s="120" t="s">
        <v>69</v>
      </c>
      <c r="D950" s="120" t="s">
        <v>678</v>
      </c>
      <c r="E950" s="120" t="s">
        <v>97</v>
      </c>
      <c r="F950" s="120" t="s">
        <v>10</v>
      </c>
      <c r="G950" s="120">
        <v>108</v>
      </c>
      <c r="H950">
        <v>118</v>
      </c>
      <c r="I950" s="120" t="s">
        <v>11</v>
      </c>
      <c r="J950">
        <v>-10</v>
      </c>
      <c r="K950">
        <v>0</v>
      </c>
      <c r="L950">
        <v>34</v>
      </c>
      <c r="M950">
        <v>3672</v>
      </c>
      <c r="N950">
        <v>4012</v>
      </c>
    </row>
    <row r="951" spans="1:14" hidden="1" x14ac:dyDescent="0.25">
      <c r="A951" s="120" t="s">
        <v>3463</v>
      </c>
      <c r="B951" s="120" t="s">
        <v>3464</v>
      </c>
      <c r="C951" s="120" t="s">
        <v>69</v>
      </c>
      <c r="D951" s="120" t="s">
        <v>3504</v>
      </c>
      <c r="E951" s="120" t="s">
        <v>107</v>
      </c>
      <c r="F951" s="120" t="s">
        <v>18</v>
      </c>
      <c r="G951" s="120">
        <v>2</v>
      </c>
      <c r="H951">
        <v>0</v>
      </c>
      <c r="I951" s="120" t="s">
        <v>11</v>
      </c>
      <c r="J951">
        <v>2</v>
      </c>
      <c r="K951">
        <v>0</v>
      </c>
      <c r="L951">
        <v>0</v>
      </c>
      <c r="M951">
        <v>0</v>
      </c>
      <c r="N951">
        <v>0</v>
      </c>
    </row>
    <row r="952" spans="1:14" hidden="1" x14ac:dyDescent="0.25">
      <c r="A952" s="120" t="s">
        <v>3463</v>
      </c>
      <c r="B952" s="120" t="s">
        <v>3464</v>
      </c>
      <c r="C952" s="120" t="s">
        <v>69</v>
      </c>
      <c r="D952" s="120" t="s">
        <v>3489</v>
      </c>
      <c r="E952" s="120" t="s">
        <v>80</v>
      </c>
      <c r="F952" s="120" t="s">
        <v>10</v>
      </c>
      <c r="G952" s="120">
        <v>54</v>
      </c>
      <c r="H952">
        <v>0</v>
      </c>
      <c r="I952" s="120" t="s">
        <v>11</v>
      </c>
      <c r="J952">
        <v>54</v>
      </c>
      <c r="K952">
        <v>0</v>
      </c>
      <c r="L952">
        <v>0</v>
      </c>
      <c r="M952">
        <v>0</v>
      </c>
      <c r="N952">
        <v>0</v>
      </c>
    </row>
    <row r="953" spans="1:14" hidden="1" x14ac:dyDescent="0.25">
      <c r="A953" s="120" t="s">
        <v>3463</v>
      </c>
      <c r="B953" s="120" t="s">
        <v>3464</v>
      </c>
      <c r="C953" s="120" t="s">
        <v>69</v>
      </c>
      <c r="D953" s="120" t="s">
        <v>3497</v>
      </c>
      <c r="E953" s="120" t="s">
        <v>91</v>
      </c>
      <c r="F953" s="120" t="s">
        <v>18</v>
      </c>
      <c r="G953" s="120">
        <v>5</v>
      </c>
      <c r="H953">
        <v>0</v>
      </c>
      <c r="I953" s="120" t="s">
        <v>11</v>
      </c>
      <c r="J953">
        <v>5</v>
      </c>
      <c r="K953">
        <v>0</v>
      </c>
      <c r="L953">
        <v>0</v>
      </c>
      <c r="M953">
        <v>0</v>
      </c>
      <c r="N953">
        <v>0</v>
      </c>
    </row>
    <row r="954" spans="1:14" hidden="1" x14ac:dyDescent="0.25">
      <c r="A954" s="120" t="s">
        <v>3463</v>
      </c>
      <c r="B954" s="120" t="s">
        <v>3464</v>
      </c>
      <c r="C954" s="120" t="s">
        <v>69</v>
      </c>
      <c r="D954" s="120" t="s">
        <v>1156</v>
      </c>
      <c r="E954" s="120" t="s">
        <v>115</v>
      </c>
      <c r="F954" s="120" t="s">
        <v>71</v>
      </c>
      <c r="G954" s="120">
        <v>88</v>
      </c>
      <c r="H954">
        <v>89</v>
      </c>
      <c r="I954" s="120" t="s">
        <v>11</v>
      </c>
      <c r="J954">
        <v>-1</v>
      </c>
      <c r="K954">
        <v>0</v>
      </c>
      <c r="L954">
        <v>2.46</v>
      </c>
      <c r="M954">
        <v>216.48</v>
      </c>
      <c r="N954">
        <v>218.94</v>
      </c>
    </row>
    <row r="955" spans="1:14" hidden="1" x14ac:dyDescent="0.25">
      <c r="A955" s="120" t="s">
        <v>3463</v>
      </c>
      <c r="B955" s="120" t="s">
        <v>3528</v>
      </c>
      <c r="C955" s="120" t="s">
        <v>69</v>
      </c>
      <c r="D955" s="120" t="s">
        <v>3548</v>
      </c>
      <c r="E955" s="120" t="s">
        <v>176</v>
      </c>
      <c r="F955" s="120" t="s">
        <v>14</v>
      </c>
      <c r="G955" s="120">
        <v>0</v>
      </c>
      <c r="H955">
        <v>0</v>
      </c>
      <c r="I955" s="120" t="s">
        <v>11</v>
      </c>
      <c r="J955">
        <v>0</v>
      </c>
      <c r="K955">
        <v>1</v>
      </c>
      <c r="L955" s="121">
        <v>0</v>
      </c>
      <c r="M955" s="121">
        <v>0</v>
      </c>
      <c r="N955" s="121">
        <v>0</v>
      </c>
    </row>
    <row r="956" spans="1:14" hidden="1" x14ac:dyDescent="0.25">
      <c r="A956" s="120" t="s">
        <v>3463</v>
      </c>
      <c r="B956" s="120" t="s">
        <v>3528</v>
      </c>
      <c r="C956" s="120" t="s">
        <v>69</v>
      </c>
      <c r="D956" s="120" t="s">
        <v>3546</v>
      </c>
      <c r="E956" s="120" t="s">
        <v>239</v>
      </c>
      <c r="F956" s="120" t="s">
        <v>14</v>
      </c>
      <c r="G956" s="120">
        <v>0</v>
      </c>
      <c r="H956">
        <v>0</v>
      </c>
      <c r="I956" s="120" t="s">
        <v>11</v>
      </c>
      <c r="J956">
        <v>0</v>
      </c>
      <c r="K956">
        <v>1</v>
      </c>
      <c r="L956" s="121">
        <v>0</v>
      </c>
      <c r="M956" s="121">
        <v>0</v>
      </c>
      <c r="N956" s="121">
        <v>0</v>
      </c>
    </row>
    <row r="957" spans="1:14" hidden="1" x14ac:dyDescent="0.25">
      <c r="A957" s="120" t="s">
        <v>3463</v>
      </c>
      <c r="B957" s="120" t="s">
        <v>3528</v>
      </c>
      <c r="C957" s="120" t="s">
        <v>69</v>
      </c>
      <c r="D957" s="120" t="s">
        <v>3572</v>
      </c>
      <c r="E957" s="120" t="s">
        <v>259</v>
      </c>
      <c r="F957" s="120" t="s">
        <v>14</v>
      </c>
      <c r="G957" s="120">
        <v>2</v>
      </c>
      <c r="H957">
        <v>0</v>
      </c>
      <c r="I957" s="120" t="s">
        <v>11</v>
      </c>
      <c r="J957">
        <v>2</v>
      </c>
      <c r="K957">
        <v>0</v>
      </c>
      <c r="L957">
        <v>0</v>
      </c>
      <c r="M957">
        <v>0</v>
      </c>
      <c r="N957">
        <v>0</v>
      </c>
    </row>
    <row r="958" spans="1:14" hidden="1" x14ac:dyDescent="0.25">
      <c r="A958" s="120" t="s">
        <v>3463</v>
      </c>
      <c r="B958" s="120" t="s">
        <v>3528</v>
      </c>
      <c r="C958" s="120" t="s">
        <v>69</v>
      </c>
      <c r="D958" s="120" t="s">
        <v>594</v>
      </c>
      <c r="E958" s="120" t="s">
        <v>171</v>
      </c>
      <c r="F958" s="120" t="s">
        <v>71</v>
      </c>
      <c r="G958" s="120">
        <v>0</v>
      </c>
      <c r="H958">
        <v>3</v>
      </c>
      <c r="I958" s="120" t="s">
        <v>11</v>
      </c>
      <c r="J958">
        <v>-3</v>
      </c>
      <c r="K958">
        <v>0</v>
      </c>
      <c r="L958">
        <v>54</v>
      </c>
      <c r="M958">
        <v>0</v>
      </c>
      <c r="N958">
        <v>162</v>
      </c>
    </row>
    <row r="959" spans="1:14" hidden="1" x14ac:dyDescent="0.25">
      <c r="A959" s="120" t="s">
        <v>3463</v>
      </c>
      <c r="B959" s="120" t="s">
        <v>3528</v>
      </c>
      <c r="C959" s="120" t="s">
        <v>69</v>
      </c>
      <c r="D959" s="120" t="s">
        <v>740</v>
      </c>
      <c r="E959" s="120" t="s">
        <v>103</v>
      </c>
      <c r="F959" s="120" t="s">
        <v>14</v>
      </c>
      <c r="G959" s="120">
        <v>0</v>
      </c>
      <c r="H959">
        <v>6</v>
      </c>
      <c r="I959" s="120" t="s">
        <v>11</v>
      </c>
      <c r="J959">
        <v>-6</v>
      </c>
      <c r="K959">
        <v>0</v>
      </c>
      <c r="L959">
        <v>29</v>
      </c>
      <c r="M959">
        <v>0</v>
      </c>
      <c r="N959">
        <v>174</v>
      </c>
    </row>
    <row r="960" spans="1:14" hidden="1" x14ac:dyDescent="0.25">
      <c r="A960" s="120" t="s">
        <v>3463</v>
      </c>
      <c r="B960" s="120" t="s">
        <v>3528</v>
      </c>
      <c r="C960" s="120" t="s">
        <v>69</v>
      </c>
      <c r="D960" s="120" t="s">
        <v>678</v>
      </c>
      <c r="E960" s="120" t="s">
        <v>97</v>
      </c>
      <c r="F960" s="120" t="s">
        <v>10</v>
      </c>
      <c r="G960" s="120">
        <v>0</v>
      </c>
      <c r="H960">
        <v>9</v>
      </c>
      <c r="I960" s="120" t="s">
        <v>11</v>
      </c>
      <c r="J960">
        <v>-9</v>
      </c>
      <c r="K960">
        <v>0</v>
      </c>
      <c r="L960">
        <v>34</v>
      </c>
      <c r="M960">
        <v>0</v>
      </c>
      <c r="N960">
        <v>306</v>
      </c>
    </row>
    <row r="961" spans="1:14" hidden="1" x14ac:dyDescent="0.25">
      <c r="A961" s="120" t="s">
        <v>3463</v>
      </c>
      <c r="B961" s="120" t="s">
        <v>3528</v>
      </c>
      <c r="C961" s="120" t="s">
        <v>69</v>
      </c>
      <c r="D961" s="120" t="s">
        <v>3502</v>
      </c>
      <c r="E961" s="120" t="s">
        <v>96</v>
      </c>
      <c r="F961" s="120" t="s">
        <v>10</v>
      </c>
      <c r="G961" s="120">
        <v>2</v>
      </c>
      <c r="H961">
        <v>0</v>
      </c>
      <c r="I961" s="120" t="s">
        <v>11</v>
      </c>
      <c r="J961">
        <v>2</v>
      </c>
      <c r="K961">
        <v>0</v>
      </c>
      <c r="L961">
        <v>0</v>
      </c>
      <c r="M961">
        <v>0</v>
      </c>
      <c r="N961">
        <v>0</v>
      </c>
    </row>
    <row r="962" spans="1:14" hidden="1" x14ac:dyDescent="0.25">
      <c r="A962" s="120" t="s">
        <v>3463</v>
      </c>
      <c r="B962" s="120" t="s">
        <v>3528</v>
      </c>
      <c r="C962" s="120" t="s">
        <v>69</v>
      </c>
      <c r="D962" s="120" t="s">
        <v>725</v>
      </c>
      <c r="E962" s="120" t="s">
        <v>178</v>
      </c>
      <c r="F962" s="120" t="s">
        <v>10</v>
      </c>
      <c r="G962" s="120">
        <v>0</v>
      </c>
      <c r="H962">
        <v>6</v>
      </c>
      <c r="I962" s="120" t="s">
        <v>11</v>
      </c>
      <c r="J962">
        <v>-6</v>
      </c>
      <c r="K962">
        <v>0</v>
      </c>
      <c r="L962">
        <v>140</v>
      </c>
      <c r="M962">
        <v>0</v>
      </c>
      <c r="N962">
        <v>840</v>
      </c>
    </row>
    <row r="963" spans="1:14" hidden="1" x14ac:dyDescent="0.25">
      <c r="A963" s="120" t="s">
        <v>3463</v>
      </c>
      <c r="B963" s="120" t="s">
        <v>3528</v>
      </c>
      <c r="C963" s="120" t="s">
        <v>69</v>
      </c>
      <c r="D963" s="120" t="s">
        <v>1154</v>
      </c>
      <c r="E963" s="120" t="s">
        <v>113</v>
      </c>
      <c r="F963" s="120" t="s">
        <v>71</v>
      </c>
      <c r="G963" s="120">
        <v>1</v>
      </c>
      <c r="H963">
        <v>3</v>
      </c>
      <c r="I963" s="120" t="s">
        <v>11</v>
      </c>
      <c r="J963">
        <v>-2</v>
      </c>
      <c r="K963">
        <v>0</v>
      </c>
      <c r="L963">
        <v>3.4</v>
      </c>
      <c r="M963">
        <v>3.4</v>
      </c>
      <c r="N963">
        <v>10.199999999999999</v>
      </c>
    </row>
    <row r="964" spans="1:14" hidden="1" x14ac:dyDescent="0.25">
      <c r="A964" s="120" t="s">
        <v>3463</v>
      </c>
      <c r="B964" s="120" t="s">
        <v>3528</v>
      </c>
      <c r="C964" s="120" t="s">
        <v>69</v>
      </c>
      <c r="D964" s="120" t="s">
        <v>3503</v>
      </c>
      <c r="E964" s="120" t="s">
        <v>105</v>
      </c>
      <c r="F964" s="120" t="s">
        <v>10</v>
      </c>
      <c r="G964" s="120">
        <v>0</v>
      </c>
      <c r="H964">
        <v>0</v>
      </c>
      <c r="I964" s="120" t="s">
        <v>11</v>
      </c>
      <c r="J964">
        <v>0</v>
      </c>
      <c r="K964">
        <v>1</v>
      </c>
      <c r="L964" s="121">
        <v>0</v>
      </c>
      <c r="M964" s="121">
        <v>0</v>
      </c>
      <c r="N964" s="121">
        <v>0</v>
      </c>
    </row>
    <row r="965" spans="1:14" hidden="1" x14ac:dyDescent="0.25">
      <c r="A965" s="120" t="s">
        <v>3463</v>
      </c>
      <c r="B965" s="120" t="s">
        <v>3528</v>
      </c>
      <c r="C965" s="120" t="s">
        <v>69</v>
      </c>
      <c r="D965" s="120" t="s">
        <v>738</v>
      </c>
      <c r="E965" s="120" t="s">
        <v>102</v>
      </c>
      <c r="F965" s="120" t="s">
        <v>10</v>
      </c>
      <c r="G965" s="120">
        <v>3</v>
      </c>
      <c r="H965">
        <v>5</v>
      </c>
      <c r="I965" s="120" t="s">
        <v>11</v>
      </c>
      <c r="J965">
        <v>-2</v>
      </c>
      <c r="K965">
        <v>0</v>
      </c>
      <c r="L965">
        <v>10</v>
      </c>
      <c r="M965">
        <v>30</v>
      </c>
      <c r="N965">
        <v>50</v>
      </c>
    </row>
    <row r="966" spans="1:14" hidden="1" x14ac:dyDescent="0.25">
      <c r="A966" s="120" t="s">
        <v>3463</v>
      </c>
      <c r="B966" s="120" t="s">
        <v>3528</v>
      </c>
      <c r="C966" s="120" t="s">
        <v>69</v>
      </c>
      <c r="D966" s="120" t="s">
        <v>1134</v>
      </c>
      <c r="E966" s="120" t="s">
        <v>111</v>
      </c>
      <c r="F966" s="120" t="s">
        <v>10</v>
      </c>
      <c r="G966" s="120">
        <v>0</v>
      </c>
      <c r="H966">
        <v>1</v>
      </c>
      <c r="I966" s="120" t="s">
        <v>11</v>
      </c>
      <c r="J966">
        <v>-1</v>
      </c>
      <c r="K966">
        <v>0</v>
      </c>
      <c r="L966">
        <v>34</v>
      </c>
      <c r="M966">
        <v>0</v>
      </c>
      <c r="N966">
        <v>34</v>
      </c>
    </row>
    <row r="967" spans="1:14" hidden="1" x14ac:dyDescent="0.25">
      <c r="A967" s="120" t="s">
        <v>3463</v>
      </c>
      <c r="B967" s="120" t="s">
        <v>3528</v>
      </c>
      <c r="C967" s="120" t="s">
        <v>69</v>
      </c>
      <c r="D967" s="120" t="s">
        <v>1155</v>
      </c>
      <c r="E967" s="120" t="s">
        <v>114</v>
      </c>
      <c r="F967" s="120" t="s">
        <v>71</v>
      </c>
      <c r="G967" s="120">
        <v>0</v>
      </c>
      <c r="H967">
        <v>2</v>
      </c>
      <c r="I967" s="120" t="s">
        <v>11</v>
      </c>
      <c r="J967">
        <v>-2</v>
      </c>
      <c r="K967">
        <v>0</v>
      </c>
      <c r="L967">
        <v>14</v>
      </c>
      <c r="M967">
        <v>0</v>
      </c>
      <c r="N967">
        <v>28</v>
      </c>
    </row>
    <row r="968" spans="1:14" hidden="1" x14ac:dyDescent="0.25">
      <c r="A968" s="120" t="s">
        <v>3463</v>
      </c>
      <c r="B968" s="120" t="s">
        <v>3528</v>
      </c>
      <c r="C968" s="120" t="s">
        <v>69</v>
      </c>
      <c r="D968" s="120" t="s">
        <v>1757</v>
      </c>
      <c r="E968" s="120" t="s">
        <v>187</v>
      </c>
      <c r="F968" s="120" t="s">
        <v>14</v>
      </c>
      <c r="G968" s="120">
        <v>0</v>
      </c>
      <c r="H968">
        <v>5</v>
      </c>
      <c r="I968" s="120" t="s">
        <v>11</v>
      </c>
      <c r="J968">
        <v>-5</v>
      </c>
      <c r="K968">
        <v>0</v>
      </c>
      <c r="L968">
        <v>170</v>
      </c>
      <c r="M968">
        <v>0</v>
      </c>
      <c r="N968">
        <v>850</v>
      </c>
    </row>
    <row r="969" spans="1:14" hidden="1" x14ac:dyDescent="0.25">
      <c r="A969" s="120" t="s">
        <v>3463</v>
      </c>
      <c r="B969" s="120" t="s">
        <v>3528</v>
      </c>
      <c r="C969" s="120" t="s">
        <v>69</v>
      </c>
      <c r="D969" s="120" t="s">
        <v>1760</v>
      </c>
      <c r="E969" s="120" t="s">
        <v>188</v>
      </c>
      <c r="F969" s="120" t="s">
        <v>14</v>
      </c>
      <c r="G969" s="120">
        <v>2</v>
      </c>
      <c r="H969">
        <v>5</v>
      </c>
      <c r="I969" s="120" t="s">
        <v>11</v>
      </c>
      <c r="J969">
        <v>-3</v>
      </c>
      <c r="K969">
        <v>0</v>
      </c>
      <c r="L969">
        <v>165</v>
      </c>
      <c r="M969">
        <v>330</v>
      </c>
      <c r="N969">
        <v>825</v>
      </c>
    </row>
    <row r="970" spans="1:14" hidden="1" x14ac:dyDescent="0.25">
      <c r="A970" s="120" t="s">
        <v>3463</v>
      </c>
      <c r="B970" s="120" t="s">
        <v>3528</v>
      </c>
      <c r="C970" s="120" t="s">
        <v>69</v>
      </c>
      <c r="D970" s="120" t="s">
        <v>3468</v>
      </c>
      <c r="E970" s="120" t="s">
        <v>266</v>
      </c>
      <c r="F970" s="120" t="s">
        <v>14</v>
      </c>
      <c r="G970" s="120">
        <v>0</v>
      </c>
      <c r="H970">
        <v>0</v>
      </c>
      <c r="I970" s="120" t="s">
        <v>11</v>
      </c>
      <c r="J970">
        <v>0</v>
      </c>
      <c r="K970">
        <v>1</v>
      </c>
      <c r="L970" s="121">
        <v>0</v>
      </c>
      <c r="M970" s="121">
        <v>0</v>
      </c>
      <c r="N970" s="121">
        <v>0</v>
      </c>
    </row>
    <row r="971" spans="1:14" hidden="1" x14ac:dyDescent="0.25">
      <c r="A971" s="120" t="s">
        <v>3463</v>
      </c>
      <c r="B971" s="120" t="s">
        <v>3528</v>
      </c>
      <c r="C971" s="120" t="s">
        <v>69</v>
      </c>
      <c r="D971" s="120" t="s">
        <v>3526</v>
      </c>
      <c r="E971" s="120" t="s">
        <v>177</v>
      </c>
      <c r="F971" s="120" t="s">
        <v>14</v>
      </c>
      <c r="G971" s="120">
        <v>2</v>
      </c>
      <c r="H971">
        <v>0</v>
      </c>
      <c r="I971" s="120" t="s">
        <v>11</v>
      </c>
      <c r="J971">
        <v>2</v>
      </c>
      <c r="K971">
        <v>0</v>
      </c>
      <c r="L971">
        <v>0</v>
      </c>
      <c r="M971">
        <v>0</v>
      </c>
      <c r="N971">
        <v>0</v>
      </c>
    </row>
    <row r="972" spans="1:14" hidden="1" x14ac:dyDescent="0.25">
      <c r="A972" s="120" t="s">
        <v>3463</v>
      </c>
      <c r="B972" s="120" t="s">
        <v>3528</v>
      </c>
      <c r="C972" s="120" t="s">
        <v>69</v>
      </c>
      <c r="D972" s="120" t="s">
        <v>3527</v>
      </c>
      <c r="E972" s="120" t="s">
        <v>185</v>
      </c>
      <c r="F972" s="120" t="s">
        <v>10</v>
      </c>
      <c r="G972" s="120">
        <v>0</v>
      </c>
      <c r="H972">
        <v>0</v>
      </c>
      <c r="I972" s="120" t="s">
        <v>11</v>
      </c>
      <c r="J972">
        <v>0</v>
      </c>
      <c r="K972">
        <v>1</v>
      </c>
      <c r="L972" s="121">
        <v>0</v>
      </c>
      <c r="M972" s="121">
        <v>0</v>
      </c>
      <c r="N972" s="121">
        <v>0</v>
      </c>
    </row>
    <row r="973" spans="1:14" hidden="1" x14ac:dyDescent="0.25">
      <c r="A973" s="120" t="s">
        <v>3463</v>
      </c>
      <c r="B973" s="120" t="s">
        <v>3528</v>
      </c>
      <c r="C973" s="120" t="s">
        <v>69</v>
      </c>
      <c r="D973" s="120" t="s">
        <v>1100</v>
      </c>
      <c r="E973" s="120" t="s">
        <v>280</v>
      </c>
      <c r="F973" s="120" t="s">
        <v>18</v>
      </c>
      <c r="G973" s="120">
        <v>4</v>
      </c>
      <c r="H973">
        <v>7</v>
      </c>
      <c r="I973" s="120" t="s">
        <v>11</v>
      </c>
      <c r="J973">
        <v>-3</v>
      </c>
      <c r="K973">
        <v>0</v>
      </c>
      <c r="L973">
        <v>68</v>
      </c>
      <c r="M973">
        <v>272</v>
      </c>
      <c r="N973">
        <v>476</v>
      </c>
    </row>
    <row r="974" spans="1:14" hidden="1" x14ac:dyDescent="0.25">
      <c r="A974" s="120" t="s">
        <v>3463</v>
      </c>
      <c r="B974" s="120" t="s">
        <v>3528</v>
      </c>
      <c r="C974" s="120" t="s">
        <v>69</v>
      </c>
      <c r="D974" s="120" t="s">
        <v>566</v>
      </c>
      <c r="E974" s="120" t="s">
        <v>221</v>
      </c>
      <c r="F974" s="120" t="s">
        <v>18</v>
      </c>
      <c r="G974" s="120">
        <v>4</v>
      </c>
      <c r="H974">
        <v>5</v>
      </c>
      <c r="I974" s="120" t="s">
        <v>11</v>
      </c>
      <c r="J974">
        <v>-1</v>
      </c>
      <c r="K974">
        <v>0</v>
      </c>
      <c r="L974">
        <v>25.7</v>
      </c>
      <c r="M974">
        <v>102.8</v>
      </c>
      <c r="N974">
        <v>128.5</v>
      </c>
    </row>
    <row r="975" spans="1:14" hidden="1" x14ac:dyDescent="0.25">
      <c r="A975" s="120" t="s">
        <v>3463</v>
      </c>
      <c r="B975" s="120" t="s">
        <v>3528</v>
      </c>
      <c r="C975" s="120" t="s">
        <v>69</v>
      </c>
      <c r="D975" s="120" t="s">
        <v>1113</v>
      </c>
      <c r="E975" s="120" t="s">
        <v>106</v>
      </c>
      <c r="F975" s="120" t="s">
        <v>18</v>
      </c>
      <c r="G975" s="120">
        <v>0</v>
      </c>
      <c r="H975">
        <v>4</v>
      </c>
      <c r="I975" s="120" t="s">
        <v>11</v>
      </c>
      <c r="J975">
        <v>-4</v>
      </c>
      <c r="K975">
        <v>0</v>
      </c>
      <c r="L975">
        <v>99</v>
      </c>
      <c r="M975">
        <v>0</v>
      </c>
      <c r="N975">
        <v>396</v>
      </c>
    </row>
    <row r="976" spans="1:14" hidden="1" x14ac:dyDescent="0.25">
      <c r="A976" s="120" t="s">
        <v>3463</v>
      </c>
      <c r="B976" s="120" t="s">
        <v>3528</v>
      </c>
      <c r="C976" s="120" t="s">
        <v>69</v>
      </c>
      <c r="D976" s="120" t="s">
        <v>687</v>
      </c>
      <c r="E976" s="120" t="s">
        <v>99</v>
      </c>
      <c r="F976" s="120" t="s">
        <v>10</v>
      </c>
      <c r="G976" s="120">
        <v>5</v>
      </c>
      <c r="H976">
        <v>2</v>
      </c>
      <c r="I976" s="120" t="s">
        <v>11</v>
      </c>
      <c r="J976">
        <v>3</v>
      </c>
      <c r="K976">
        <v>0</v>
      </c>
      <c r="L976">
        <v>9</v>
      </c>
      <c r="M976">
        <v>45</v>
      </c>
      <c r="N976">
        <v>18</v>
      </c>
    </row>
    <row r="977" spans="1:14" hidden="1" x14ac:dyDescent="0.25">
      <c r="A977" s="120" t="s">
        <v>3463</v>
      </c>
      <c r="B977" s="120" t="s">
        <v>3528</v>
      </c>
      <c r="C977" s="120" t="s">
        <v>69</v>
      </c>
      <c r="D977" s="120" t="s">
        <v>1191</v>
      </c>
      <c r="E977" s="120" t="s">
        <v>117</v>
      </c>
      <c r="F977" s="120" t="s">
        <v>14</v>
      </c>
      <c r="G977" s="120">
        <v>0</v>
      </c>
      <c r="H977">
        <v>2</v>
      </c>
      <c r="I977" s="120" t="s">
        <v>11</v>
      </c>
      <c r="J977">
        <v>-2</v>
      </c>
      <c r="K977">
        <v>0</v>
      </c>
      <c r="L977">
        <v>3.5</v>
      </c>
      <c r="M977">
        <v>0</v>
      </c>
      <c r="N977">
        <v>7</v>
      </c>
    </row>
    <row r="978" spans="1:14" hidden="1" x14ac:dyDescent="0.25">
      <c r="A978" s="120" t="s">
        <v>3463</v>
      </c>
      <c r="B978" s="120" t="s">
        <v>3528</v>
      </c>
      <c r="C978" s="120" t="s">
        <v>69</v>
      </c>
      <c r="D978" s="120" t="s">
        <v>1192</v>
      </c>
      <c r="E978" s="120" t="s">
        <v>124</v>
      </c>
      <c r="F978" s="120" t="s">
        <v>14</v>
      </c>
      <c r="G978" s="120">
        <v>0</v>
      </c>
      <c r="H978">
        <v>3</v>
      </c>
      <c r="I978" s="120" t="s">
        <v>47</v>
      </c>
      <c r="J978">
        <v>-3</v>
      </c>
      <c r="K978">
        <v>0</v>
      </c>
      <c r="L978">
        <v>3.5</v>
      </c>
      <c r="M978">
        <v>0</v>
      </c>
      <c r="N978">
        <v>10.5</v>
      </c>
    </row>
    <row r="979" spans="1:14" hidden="1" x14ac:dyDescent="0.25">
      <c r="A979" s="120" t="s">
        <v>3463</v>
      </c>
      <c r="B979" s="120" t="s">
        <v>3528</v>
      </c>
      <c r="C979" s="120" t="s">
        <v>69</v>
      </c>
      <c r="D979" s="120" t="s">
        <v>1189</v>
      </c>
      <c r="E979" s="120" t="s">
        <v>44</v>
      </c>
      <c r="F979" s="120" t="s">
        <v>18</v>
      </c>
      <c r="G979" s="120">
        <v>0</v>
      </c>
      <c r="H979">
        <v>1</v>
      </c>
      <c r="I979" s="120" t="s">
        <v>47</v>
      </c>
      <c r="J979">
        <v>-1</v>
      </c>
      <c r="K979">
        <v>0</v>
      </c>
      <c r="L979">
        <v>58</v>
      </c>
      <c r="M979">
        <v>0</v>
      </c>
      <c r="N979">
        <v>58</v>
      </c>
    </row>
    <row r="980" spans="1:14" hidden="1" x14ac:dyDescent="0.25">
      <c r="A980" s="120" t="s">
        <v>3463</v>
      </c>
      <c r="B980" s="120" t="s">
        <v>3528</v>
      </c>
      <c r="C980" s="120" t="s">
        <v>69</v>
      </c>
      <c r="D980" s="120" t="s">
        <v>1156</v>
      </c>
      <c r="E980" s="120" t="s">
        <v>115</v>
      </c>
      <c r="F980" s="120" t="s">
        <v>71</v>
      </c>
      <c r="G980" s="120">
        <v>2</v>
      </c>
      <c r="H980">
        <v>2</v>
      </c>
      <c r="I980" s="120" t="s">
        <v>47</v>
      </c>
      <c r="J980">
        <v>0</v>
      </c>
      <c r="K980">
        <v>1</v>
      </c>
      <c r="L980" s="121">
        <v>2.46</v>
      </c>
      <c r="M980" s="121">
        <v>4.92</v>
      </c>
      <c r="N980" s="121">
        <v>4.92</v>
      </c>
    </row>
    <row r="981" spans="1:14" hidden="1" x14ac:dyDescent="0.25">
      <c r="A981" s="120" t="s">
        <v>3463</v>
      </c>
      <c r="B981" s="120" t="s">
        <v>3528</v>
      </c>
      <c r="C981" s="120" t="s">
        <v>69</v>
      </c>
      <c r="D981" s="120" t="s">
        <v>3545</v>
      </c>
      <c r="E981" s="120" t="s">
        <v>175</v>
      </c>
      <c r="F981" s="120" t="s">
        <v>14</v>
      </c>
      <c r="G981" s="120">
        <v>0</v>
      </c>
      <c r="H981">
        <v>0</v>
      </c>
      <c r="I981" s="120" t="s">
        <v>47</v>
      </c>
      <c r="J981">
        <v>0</v>
      </c>
      <c r="K981">
        <v>1</v>
      </c>
      <c r="L981" s="121">
        <v>0</v>
      </c>
      <c r="M981" s="121">
        <v>0</v>
      </c>
      <c r="N981" s="121">
        <v>0</v>
      </c>
    </row>
    <row r="982" spans="1:14" hidden="1" x14ac:dyDescent="0.25">
      <c r="A982" s="120" t="s">
        <v>3463</v>
      </c>
      <c r="B982" s="120" t="s">
        <v>3528</v>
      </c>
      <c r="C982" s="120" t="s">
        <v>69</v>
      </c>
      <c r="D982" s="120" t="s">
        <v>595</v>
      </c>
      <c r="E982" s="120" t="s">
        <v>172</v>
      </c>
      <c r="F982" s="120" t="s">
        <v>71</v>
      </c>
      <c r="G982" s="120">
        <v>0</v>
      </c>
      <c r="H982">
        <v>4</v>
      </c>
      <c r="I982" s="120" t="s">
        <v>47</v>
      </c>
      <c r="J982">
        <v>-4</v>
      </c>
      <c r="K982">
        <v>0</v>
      </c>
      <c r="L982">
        <v>54</v>
      </c>
      <c r="M982">
        <v>0</v>
      </c>
      <c r="N982">
        <v>216</v>
      </c>
    </row>
    <row r="983" spans="1:14" hidden="1" x14ac:dyDescent="0.25">
      <c r="A983" s="120" t="s">
        <v>3463</v>
      </c>
      <c r="B983" s="120" t="s">
        <v>3528</v>
      </c>
      <c r="C983" s="120" t="s">
        <v>69</v>
      </c>
      <c r="D983" s="120" t="s">
        <v>1239</v>
      </c>
      <c r="E983" s="120" t="s">
        <v>121</v>
      </c>
      <c r="F983" s="120" t="s">
        <v>14</v>
      </c>
      <c r="G983" s="120">
        <v>0</v>
      </c>
      <c r="H983">
        <v>5</v>
      </c>
      <c r="I983" s="120" t="s">
        <v>47</v>
      </c>
      <c r="J983">
        <v>-5</v>
      </c>
      <c r="K983">
        <v>0</v>
      </c>
      <c r="L983">
        <v>10.5</v>
      </c>
      <c r="M983">
        <v>0</v>
      </c>
      <c r="N983">
        <v>52.5</v>
      </c>
    </row>
    <row r="984" spans="1:14" hidden="1" x14ac:dyDescent="0.25">
      <c r="A984" s="120" t="s">
        <v>3463</v>
      </c>
      <c r="B984" s="120" t="s">
        <v>3528</v>
      </c>
      <c r="C984" s="120" t="s">
        <v>69</v>
      </c>
      <c r="D984" s="120" t="s">
        <v>3571</v>
      </c>
      <c r="E984" s="120" t="s">
        <v>258</v>
      </c>
      <c r="F984" s="120" t="s">
        <v>18</v>
      </c>
      <c r="G984" s="120">
        <v>0</v>
      </c>
      <c r="H984">
        <v>0</v>
      </c>
      <c r="I984" s="120" t="s">
        <v>57</v>
      </c>
      <c r="J984">
        <v>0</v>
      </c>
      <c r="K984">
        <v>1</v>
      </c>
      <c r="L984" s="121">
        <v>0</v>
      </c>
      <c r="M984" s="121">
        <v>0</v>
      </c>
      <c r="N984" s="121">
        <v>0</v>
      </c>
    </row>
    <row r="985" spans="1:14" hidden="1" x14ac:dyDescent="0.25">
      <c r="A985" s="120" t="s">
        <v>3463</v>
      </c>
      <c r="B985" s="120" t="s">
        <v>3528</v>
      </c>
      <c r="C985" s="120" t="s">
        <v>69</v>
      </c>
      <c r="D985" s="120" t="s">
        <v>597</v>
      </c>
      <c r="E985" s="120" t="s">
        <v>174</v>
      </c>
      <c r="F985" s="120" t="s">
        <v>71</v>
      </c>
      <c r="G985" s="120">
        <v>0</v>
      </c>
      <c r="H985">
        <v>1</v>
      </c>
      <c r="I985" s="120" t="s">
        <v>57</v>
      </c>
      <c r="J985">
        <v>-1</v>
      </c>
      <c r="K985">
        <v>0</v>
      </c>
      <c r="L985">
        <v>54</v>
      </c>
      <c r="M985">
        <v>0</v>
      </c>
      <c r="N985">
        <v>54</v>
      </c>
    </row>
    <row r="986" spans="1:14" hidden="1" x14ac:dyDescent="0.25">
      <c r="A986" s="120" t="s">
        <v>3463</v>
      </c>
      <c r="B986" s="120" t="s">
        <v>3528</v>
      </c>
      <c r="C986" s="120" t="s">
        <v>69</v>
      </c>
      <c r="D986" s="120" t="s">
        <v>598</v>
      </c>
      <c r="E986" s="120" t="s">
        <v>77</v>
      </c>
      <c r="F986" s="120" t="s">
        <v>71</v>
      </c>
      <c r="G986" s="120">
        <v>1</v>
      </c>
      <c r="H986">
        <v>0</v>
      </c>
      <c r="I986" s="120" t="s">
        <v>57</v>
      </c>
      <c r="J986">
        <v>1</v>
      </c>
      <c r="K986">
        <v>0</v>
      </c>
      <c r="L986">
        <v>54</v>
      </c>
      <c r="M986">
        <v>54</v>
      </c>
      <c r="N986">
        <v>0</v>
      </c>
    </row>
    <row r="987" spans="1:14" hidden="1" x14ac:dyDescent="0.25">
      <c r="A987" s="120" t="s">
        <v>3463</v>
      </c>
      <c r="B987" s="120" t="s">
        <v>3528</v>
      </c>
      <c r="C987" s="120" t="s">
        <v>69</v>
      </c>
      <c r="D987" s="120" t="s">
        <v>3547</v>
      </c>
      <c r="E987" s="120" t="s">
        <v>240</v>
      </c>
      <c r="F987" s="120" t="s">
        <v>18</v>
      </c>
      <c r="G987" s="120">
        <v>0</v>
      </c>
      <c r="H987">
        <v>0</v>
      </c>
      <c r="I987" s="120" t="s">
        <v>57</v>
      </c>
      <c r="J987">
        <v>0</v>
      </c>
      <c r="K987">
        <v>1</v>
      </c>
      <c r="L987" s="121">
        <v>0</v>
      </c>
      <c r="M987" s="121">
        <v>0</v>
      </c>
      <c r="N987" s="121">
        <v>0</v>
      </c>
    </row>
    <row r="988" spans="1:14" hidden="1" x14ac:dyDescent="0.25">
      <c r="A988" s="120" t="s">
        <v>3463</v>
      </c>
      <c r="B988" s="120" t="s">
        <v>3528</v>
      </c>
      <c r="C988" s="120" t="s">
        <v>69</v>
      </c>
      <c r="D988" s="120" t="s">
        <v>590</v>
      </c>
      <c r="E988" s="120" t="s">
        <v>73</v>
      </c>
      <c r="F988" s="120" t="s">
        <v>71</v>
      </c>
      <c r="G988" s="120">
        <v>0</v>
      </c>
      <c r="H988">
        <v>1</v>
      </c>
      <c r="I988" s="120" t="s">
        <v>57</v>
      </c>
      <c r="J988">
        <v>-1</v>
      </c>
      <c r="K988">
        <v>0</v>
      </c>
      <c r="L988">
        <v>54</v>
      </c>
      <c r="M988">
        <v>0</v>
      </c>
      <c r="N988">
        <v>54</v>
      </c>
    </row>
    <row r="989" spans="1:14" hidden="1" x14ac:dyDescent="0.25">
      <c r="A989" s="120" t="s">
        <v>3463</v>
      </c>
      <c r="B989" s="120" t="s">
        <v>3528</v>
      </c>
      <c r="C989" s="120" t="s">
        <v>69</v>
      </c>
      <c r="D989" s="120" t="s">
        <v>591</v>
      </c>
      <c r="E989" s="120" t="s">
        <v>74</v>
      </c>
      <c r="F989" s="120" t="s">
        <v>71</v>
      </c>
      <c r="G989" s="120">
        <v>0</v>
      </c>
      <c r="H989">
        <v>2</v>
      </c>
      <c r="I989" s="120" t="s">
        <v>57</v>
      </c>
      <c r="J989">
        <v>-2</v>
      </c>
      <c r="K989">
        <v>0</v>
      </c>
      <c r="L989">
        <v>54</v>
      </c>
      <c r="M989">
        <v>0</v>
      </c>
      <c r="N989">
        <v>108</v>
      </c>
    </row>
    <row r="990" spans="1:14" hidden="1" x14ac:dyDescent="0.25">
      <c r="A990" s="120" t="s">
        <v>3463</v>
      </c>
      <c r="B990" s="120" t="s">
        <v>3528</v>
      </c>
      <c r="C990" s="120" t="s">
        <v>69</v>
      </c>
      <c r="D990" s="120" t="s">
        <v>592</v>
      </c>
      <c r="E990" s="120" t="s">
        <v>75</v>
      </c>
      <c r="F990" s="120" t="s">
        <v>71</v>
      </c>
      <c r="G990" s="120">
        <v>1</v>
      </c>
      <c r="H990">
        <v>2</v>
      </c>
      <c r="I990" s="120" t="s">
        <v>57</v>
      </c>
      <c r="J990">
        <v>-1</v>
      </c>
      <c r="K990">
        <v>0</v>
      </c>
      <c r="L990">
        <v>54</v>
      </c>
      <c r="M990">
        <v>54</v>
      </c>
      <c r="N990">
        <v>108</v>
      </c>
    </row>
    <row r="991" spans="1:14" hidden="1" x14ac:dyDescent="0.25">
      <c r="A991" s="120" t="s">
        <v>3463</v>
      </c>
      <c r="B991" s="120" t="s">
        <v>3528</v>
      </c>
      <c r="C991" s="120" t="s">
        <v>69</v>
      </c>
      <c r="D991" s="120" t="s">
        <v>593</v>
      </c>
      <c r="E991" s="120" t="s">
        <v>76</v>
      </c>
      <c r="F991" s="120" t="s">
        <v>71</v>
      </c>
      <c r="G991" s="120">
        <v>2</v>
      </c>
      <c r="H991">
        <v>4</v>
      </c>
      <c r="I991" s="120" t="s">
        <v>57</v>
      </c>
      <c r="J991">
        <v>-2</v>
      </c>
      <c r="K991">
        <v>0</v>
      </c>
      <c r="L991">
        <v>54</v>
      </c>
      <c r="M991">
        <v>108</v>
      </c>
      <c r="N991">
        <v>216</v>
      </c>
    </row>
    <row r="992" spans="1:14" hidden="1" x14ac:dyDescent="0.25">
      <c r="A992" s="120" t="s">
        <v>3463</v>
      </c>
      <c r="B992" s="120" t="s">
        <v>3528</v>
      </c>
      <c r="C992" s="120" t="s">
        <v>69</v>
      </c>
      <c r="D992" s="120" t="s">
        <v>3575</v>
      </c>
      <c r="E992" s="120" t="s">
        <v>262</v>
      </c>
      <c r="F992" s="120" t="s">
        <v>18</v>
      </c>
      <c r="G992" s="120">
        <v>0</v>
      </c>
      <c r="H992">
        <v>0</v>
      </c>
      <c r="I992" s="120" t="s">
        <v>57</v>
      </c>
      <c r="J992">
        <v>0</v>
      </c>
      <c r="K992">
        <v>1</v>
      </c>
      <c r="L992" s="121">
        <v>0</v>
      </c>
      <c r="M992" s="121">
        <v>0</v>
      </c>
      <c r="N992" s="121">
        <v>0</v>
      </c>
    </row>
    <row r="993" spans="1:14" hidden="1" x14ac:dyDescent="0.25">
      <c r="A993" s="120" t="s">
        <v>3463</v>
      </c>
      <c r="B993" s="120" t="s">
        <v>3805</v>
      </c>
      <c r="C993" s="120" t="s">
        <v>69</v>
      </c>
      <c r="D993" s="120" t="s">
        <v>3526</v>
      </c>
      <c r="E993" s="120" t="s">
        <v>177</v>
      </c>
      <c r="F993" s="120" t="s">
        <v>14</v>
      </c>
      <c r="G993" s="120">
        <v>6</v>
      </c>
      <c r="H993">
        <v>0</v>
      </c>
      <c r="I993" s="120" t="s">
        <v>11</v>
      </c>
      <c r="J993">
        <v>6</v>
      </c>
      <c r="K993">
        <v>0</v>
      </c>
      <c r="L993">
        <v>0</v>
      </c>
      <c r="M993">
        <v>0</v>
      </c>
      <c r="N993">
        <v>0</v>
      </c>
    </row>
    <row r="994" spans="1:14" hidden="1" x14ac:dyDescent="0.25">
      <c r="A994" s="120" t="s">
        <v>3463</v>
      </c>
      <c r="B994" s="120" t="s">
        <v>3805</v>
      </c>
      <c r="C994" s="120" t="s">
        <v>69</v>
      </c>
      <c r="D994" s="120" t="s">
        <v>3496</v>
      </c>
      <c r="E994" s="120" t="s">
        <v>90</v>
      </c>
      <c r="F994" s="120" t="s">
        <v>14</v>
      </c>
      <c r="G994" s="120">
        <v>7</v>
      </c>
      <c r="H994">
        <v>0</v>
      </c>
      <c r="I994" s="120" t="s">
        <v>11</v>
      </c>
      <c r="J994">
        <v>7</v>
      </c>
      <c r="K994">
        <v>0</v>
      </c>
      <c r="L994">
        <v>0</v>
      </c>
      <c r="M994">
        <v>0</v>
      </c>
      <c r="N994">
        <v>0</v>
      </c>
    </row>
    <row r="995" spans="1:14" hidden="1" x14ac:dyDescent="0.25">
      <c r="A995" s="120" t="s">
        <v>3463</v>
      </c>
      <c r="B995" s="120" t="s">
        <v>3805</v>
      </c>
      <c r="C995" s="120" t="s">
        <v>69</v>
      </c>
      <c r="D995" s="120" t="s">
        <v>3546</v>
      </c>
      <c r="E995" s="120" t="s">
        <v>2991</v>
      </c>
      <c r="F995" s="120" t="s">
        <v>14</v>
      </c>
      <c r="G995" s="120">
        <v>1</v>
      </c>
      <c r="H995">
        <v>0</v>
      </c>
      <c r="I995" s="120" t="s">
        <v>11</v>
      </c>
      <c r="J995">
        <v>1</v>
      </c>
      <c r="K995">
        <v>0</v>
      </c>
      <c r="L995">
        <v>0</v>
      </c>
      <c r="M995">
        <v>0</v>
      </c>
      <c r="N995">
        <v>0</v>
      </c>
    </row>
    <row r="996" spans="1:14" hidden="1" x14ac:dyDescent="0.25">
      <c r="A996" s="120" t="s">
        <v>3463</v>
      </c>
      <c r="B996" s="120" t="s">
        <v>3805</v>
      </c>
      <c r="C996" s="120" t="s">
        <v>69</v>
      </c>
      <c r="D996" s="120" t="s">
        <v>1757</v>
      </c>
      <c r="E996" s="120" t="s">
        <v>122</v>
      </c>
      <c r="F996" s="120" t="s">
        <v>14</v>
      </c>
      <c r="G996" s="120">
        <v>22</v>
      </c>
      <c r="H996">
        <v>21</v>
      </c>
      <c r="I996" s="120" t="s">
        <v>11</v>
      </c>
      <c r="J996">
        <v>1</v>
      </c>
      <c r="K996">
        <v>0</v>
      </c>
      <c r="L996">
        <v>170</v>
      </c>
      <c r="M996">
        <v>3740</v>
      </c>
      <c r="N996">
        <v>3570</v>
      </c>
    </row>
    <row r="997" spans="1:14" hidden="1" x14ac:dyDescent="0.25">
      <c r="A997" s="120" t="s">
        <v>3463</v>
      </c>
      <c r="B997" s="120" t="s">
        <v>3805</v>
      </c>
      <c r="C997" s="120" t="s">
        <v>69</v>
      </c>
      <c r="D997" s="120" t="s">
        <v>1769</v>
      </c>
      <c r="E997" s="120" t="s">
        <v>531</v>
      </c>
      <c r="F997" s="120" t="s">
        <v>10</v>
      </c>
      <c r="G997" s="120">
        <v>23</v>
      </c>
      <c r="H997">
        <v>16</v>
      </c>
      <c r="I997" s="120" t="s">
        <v>11</v>
      </c>
      <c r="J997">
        <v>7</v>
      </c>
      <c r="K997">
        <v>0</v>
      </c>
      <c r="L997">
        <v>139</v>
      </c>
      <c r="M997">
        <v>3197</v>
      </c>
      <c r="N997">
        <v>2224</v>
      </c>
    </row>
    <row r="998" spans="1:14" hidden="1" x14ac:dyDescent="0.25">
      <c r="A998" s="120" t="s">
        <v>3463</v>
      </c>
      <c r="B998" s="120" t="s">
        <v>3805</v>
      </c>
      <c r="C998" s="120" t="s">
        <v>69</v>
      </c>
      <c r="D998" s="120" t="s">
        <v>1100</v>
      </c>
      <c r="E998" s="120" t="s">
        <v>521</v>
      </c>
      <c r="F998" s="120" t="s">
        <v>10</v>
      </c>
      <c r="G998" s="120">
        <v>22</v>
      </c>
      <c r="H998">
        <v>26</v>
      </c>
      <c r="I998" s="120" t="s">
        <v>11</v>
      </c>
      <c r="J998">
        <v>-4</v>
      </c>
      <c r="K998">
        <v>0</v>
      </c>
      <c r="L998">
        <v>68</v>
      </c>
      <c r="M998">
        <v>1496</v>
      </c>
      <c r="N998">
        <v>1768</v>
      </c>
    </row>
    <row r="999" spans="1:14" hidden="1" x14ac:dyDescent="0.25">
      <c r="A999" s="120" t="s">
        <v>3463</v>
      </c>
      <c r="B999" s="120" t="s">
        <v>3805</v>
      </c>
      <c r="C999" s="120" t="s">
        <v>69</v>
      </c>
      <c r="D999" s="120" t="s">
        <v>1760</v>
      </c>
      <c r="E999" s="120" t="s">
        <v>123</v>
      </c>
      <c r="F999" s="120" t="s">
        <v>14</v>
      </c>
      <c r="G999" s="120">
        <v>16</v>
      </c>
      <c r="H999">
        <v>14</v>
      </c>
      <c r="I999" s="120" t="s">
        <v>11</v>
      </c>
      <c r="J999">
        <v>2</v>
      </c>
      <c r="K999">
        <v>0</v>
      </c>
      <c r="L999">
        <v>165</v>
      </c>
      <c r="M999">
        <v>2640</v>
      </c>
      <c r="N999">
        <v>2310</v>
      </c>
    </row>
    <row r="1000" spans="1:14" hidden="1" x14ac:dyDescent="0.25">
      <c r="A1000" s="120" t="s">
        <v>3463</v>
      </c>
      <c r="B1000" s="120" t="s">
        <v>3805</v>
      </c>
      <c r="C1000" s="120" t="s">
        <v>69</v>
      </c>
      <c r="D1000" s="120" t="s">
        <v>738</v>
      </c>
      <c r="E1000" s="120" t="s">
        <v>102</v>
      </c>
      <c r="F1000" s="120" t="s">
        <v>10</v>
      </c>
      <c r="G1000" s="120">
        <v>26</v>
      </c>
      <c r="H1000">
        <v>24</v>
      </c>
      <c r="I1000" s="120" t="s">
        <v>11</v>
      </c>
      <c r="J1000">
        <v>2</v>
      </c>
      <c r="K1000">
        <v>0</v>
      </c>
      <c r="L1000">
        <v>10</v>
      </c>
      <c r="M1000">
        <v>260</v>
      </c>
      <c r="N1000">
        <v>240</v>
      </c>
    </row>
    <row r="1001" spans="1:14" hidden="1" x14ac:dyDescent="0.25">
      <c r="A1001" s="120" t="s">
        <v>3463</v>
      </c>
      <c r="B1001" s="120" t="s">
        <v>3805</v>
      </c>
      <c r="C1001" s="120" t="s">
        <v>301</v>
      </c>
      <c r="D1001" s="120" t="s">
        <v>3468</v>
      </c>
      <c r="E1001" s="120" t="s">
        <v>24</v>
      </c>
      <c r="F1001" s="120" t="s">
        <v>14</v>
      </c>
      <c r="G1001" s="120">
        <v>29</v>
      </c>
      <c r="H1001">
        <v>0</v>
      </c>
      <c r="I1001" s="120" t="s">
        <v>11</v>
      </c>
      <c r="J1001">
        <v>29</v>
      </c>
      <c r="K1001">
        <v>0</v>
      </c>
      <c r="L1001">
        <v>0</v>
      </c>
      <c r="M1001">
        <v>0</v>
      </c>
      <c r="N1001">
        <v>0</v>
      </c>
    </row>
    <row r="1002" spans="1:14" hidden="1" x14ac:dyDescent="0.25">
      <c r="A1002" s="120" t="s">
        <v>3463</v>
      </c>
      <c r="B1002" s="120" t="s">
        <v>3805</v>
      </c>
      <c r="C1002" s="120" t="s">
        <v>301</v>
      </c>
      <c r="D1002" s="120" t="s">
        <v>1189</v>
      </c>
      <c r="E1002" s="120" t="s">
        <v>44</v>
      </c>
      <c r="F1002" s="120" t="s">
        <v>18</v>
      </c>
      <c r="G1002" s="120">
        <v>13</v>
      </c>
      <c r="H1002">
        <v>14</v>
      </c>
      <c r="I1002" s="120" t="s">
        <v>11</v>
      </c>
      <c r="J1002">
        <v>-1</v>
      </c>
      <c r="K1002">
        <v>0</v>
      </c>
      <c r="L1002">
        <v>58</v>
      </c>
      <c r="M1002">
        <v>754</v>
      </c>
      <c r="N1002">
        <v>812</v>
      </c>
    </row>
    <row r="1003" spans="1:14" hidden="1" x14ac:dyDescent="0.25">
      <c r="A1003" s="120" t="s">
        <v>3463</v>
      </c>
      <c r="B1003" s="120" t="s">
        <v>3805</v>
      </c>
      <c r="C1003" s="120" t="s">
        <v>69</v>
      </c>
      <c r="D1003" s="120" t="s">
        <v>687</v>
      </c>
      <c r="E1003" s="120" t="s">
        <v>99</v>
      </c>
      <c r="F1003" s="120" t="s">
        <v>10</v>
      </c>
      <c r="G1003" s="120">
        <v>2</v>
      </c>
      <c r="H1003">
        <v>18</v>
      </c>
      <c r="I1003" s="120" t="s">
        <v>11</v>
      </c>
      <c r="J1003">
        <v>-16</v>
      </c>
      <c r="K1003">
        <v>0</v>
      </c>
      <c r="L1003">
        <v>9</v>
      </c>
      <c r="M1003">
        <v>18</v>
      </c>
      <c r="N1003">
        <v>162</v>
      </c>
    </row>
    <row r="1004" spans="1:14" hidden="1" x14ac:dyDescent="0.25">
      <c r="A1004" s="120" t="s">
        <v>3463</v>
      </c>
      <c r="B1004" s="120" t="s">
        <v>3805</v>
      </c>
      <c r="C1004" s="120" t="s">
        <v>69</v>
      </c>
      <c r="D1004" s="120" t="s">
        <v>1113</v>
      </c>
      <c r="E1004" s="120" t="s">
        <v>106</v>
      </c>
      <c r="F1004" s="120" t="s">
        <v>18</v>
      </c>
      <c r="G1004" s="120">
        <v>10</v>
      </c>
      <c r="H1004">
        <v>11</v>
      </c>
      <c r="I1004" s="120" t="s">
        <v>11</v>
      </c>
      <c r="J1004">
        <v>-1</v>
      </c>
      <c r="K1004">
        <v>0</v>
      </c>
      <c r="L1004">
        <v>99</v>
      </c>
      <c r="M1004">
        <v>990</v>
      </c>
      <c r="N1004">
        <v>1089</v>
      </c>
    </row>
    <row r="1005" spans="1:14" hidden="1" x14ac:dyDescent="0.25">
      <c r="A1005" s="120" t="s">
        <v>3463</v>
      </c>
      <c r="B1005" s="120" t="s">
        <v>3805</v>
      </c>
      <c r="C1005" s="120" t="s">
        <v>69</v>
      </c>
      <c r="D1005" s="120" t="s">
        <v>3523</v>
      </c>
      <c r="E1005" s="120" t="s">
        <v>168</v>
      </c>
      <c r="F1005" s="120" t="s">
        <v>18</v>
      </c>
      <c r="G1005" s="120">
        <v>10</v>
      </c>
      <c r="H1005">
        <v>0</v>
      </c>
      <c r="I1005" s="120" t="s">
        <v>11</v>
      </c>
      <c r="J1005">
        <v>10</v>
      </c>
      <c r="K1005">
        <v>0</v>
      </c>
      <c r="L1005">
        <v>0</v>
      </c>
      <c r="M1005">
        <v>0</v>
      </c>
      <c r="N1005">
        <v>0</v>
      </c>
    </row>
    <row r="1006" spans="1:14" hidden="1" x14ac:dyDescent="0.25">
      <c r="A1006" s="120" t="s">
        <v>3463</v>
      </c>
      <c r="B1006" s="120" t="s">
        <v>3805</v>
      </c>
      <c r="C1006" s="120" t="s">
        <v>69</v>
      </c>
      <c r="D1006" s="120" t="s">
        <v>1156</v>
      </c>
      <c r="E1006" s="120" t="s">
        <v>115</v>
      </c>
      <c r="F1006" s="120" t="s">
        <v>71</v>
      </c>
      <c r="G1006" s="120">
        <v>10</v>
      </c>
      <c r="H1006">
        <v>19</v>
      </c>
      <c r="I1006" s="120" t="s">
        <v>11</v>
      </c>
      <c r="J1006">
        <v>-9</v>
      </c>
      <c r="K1006">
        <v>0</v>
      </c>
      <c r="L1006">
        <v>2.46</v>
      </c>
      <c r="M1006">
        <v>24.6</v>
      </c>
      <c r="N1006">
        <v>46.74</v>
      </c>
    </row>
    <row r="1007" spans="1:14" hidden="1" x14ac:dyDescent="0.25">
      <c r="A1007" s="120" t="s">
        <v>3463</v>
      </c>
      <c r="B1007" s="120" t="s">
        <v>3805</v>
      </c>
      <c r="C1007" s="120" t="s">
        <v>69</v>
      </c>
      <c r="D1007" s="120" t="s">
        <v>1109</v>
      </c>
      <c r="E1007" s="120" t="s">
        <v>182</v>
      </c>
      <c r="F1007" s="120" t="s">
        <v>183</v>
      </c>
      <c r="G1007" s="120">
        <v>19</v>
      </c>
      <c r="H1007">
        <v>8</v>
      </c>
      <c r="I1007" s="120" t="s">
        <v>11</v>
      </c>
      <c r="J1007">
        <v>11</v>
      </c>
      <c r="K1007">
        <v>0</v>
      </c>
      <c r="L1007">
        <v>8</v>
      </c>
      <c r="M1007">
        <v>152</v>
      </c>
      <c r="N1007">
        <v>64</v>
      </c>
    </row>
    <row r="1008" spans="1:14" hidden="1" x14ac:dyDescent="0.25">
      <c r="A1008" s="120" t="s">
        <v>3463</v>
      </c>
      <c r="B1008" s="120" t="s">
        <v>3805</v>
      </c>
      <c r="C1008" s="120" t="s">
        <v>69</v>
      </c>
      <c r="D1008" s="120" t="s">
        <v>3572</v>
      </c>
      <c r="E1008" s="120" t="s">
        <v>259</v>
      </c>
      <c r="F1008" s="120" t="s">
        <v>14</v>
      </c>
      <c r="G1008" s="120">
        <v>8</v>
      </c>
      <c r="H1008">
        <v>0</v>
      </c>
      <c r="I1008" s="120" t="s">
        <v>11</v>
      </c>
      <c r="J1008">
        <v>8</v>
      </c>
      <c r="K1008">
        <v>0</v>
      </c>
      <c r="L1008">
        <v>0</v>
      </c>
      <c r="M1008">
        <v>0</v>
      </c>
      <c r="N1008">
        <v>0</v>
      </c>
    </row>
    <row r="1009" spans="1:14" hidden="1" x14ac:dyDescent="0.25">
      <c r="A1009" s="120" t="s">
        <v>3463</v>
      </c>
      <c r="B1009" s="120" t="s">
        <v>3805</v>
      </c>
      <c r="C1009" s="120" t="s">
        <v>69</v>
      </c>
      <c r="D1009" s="120" t="s">
        <v>3547</v>
      </c>
      <c r="E1009" s="120" t="s">
        <v>240</v>
      </c>
      <c r="F1009" s="120" t="s">
        <v>18</v>
      </c>
      <c r="G1009" s="120">
        <v>1</v>
      </c>
      <c r="H1009">
        <v>0</v>
      </c>
      <c r="I1009" s="120" t="s">
        <v>47</v>
      </c>
      <c r="J1009">
        <v>1</v>
      </c>
      <c r="K1009">
        <v>0</v>
      </c>
      <c r="L1009">
        <v>0</v>
      </c>
      <c r="M1009">
        <v>0</v>
      </c>
      <c r="N1009">
        <v>0</v>
      </c>
    </row>
    <row r="1010" spans="1:14" hidden="1" x14ac:dyDescent="0.25">
      <c r="A1010" s="120" t="s">
        <v>3463</v>
      </c>
      <c r="B1010" s="120" t="s">
        <v>3805</v>
      </c>
      <c r="C1010" s="120" t="s">
        <v>69</v>
      </c>
      <c r="D1010" s="120" t="s">
        <v>1191</v>
      </c>
      <c r="E1010" s="120" t="s">
        <v>117</v>
      </c>
      <c r="F1010" s="120" t="s">
        <v>14</v>
      </c>
      <c r="G1010" s="120">
        <v>4</v>
      </c>
      <c r="H1010">
        <v>0</v>
      </c>
      <c r="I1010" s="120" t="s">
        <v>47</v>
      </c>
      <c r="J1010">
        <v>4</v>
      </c>
      <c r="K1010">
        <v>0</v>
      </c>
      <c r="L1010">
        <v>3.5</v>
      </c>
      <c r="M1010">
        <v>14</v>
      </c>
      <c r="N1010">
        <v>0</v>
      </c>
    </row>
    <row r="1011" spans="1:14" hidden="1" x14ac:dyDescent="0.25">
      <c r="A1011" s="120" t="s">
        <v>3463</v>
      </c>
      <c r="B1011" s="120" t="s">
        <v>3805</v>
      </c>
      <c r="C1011" s="120" t="s">
        <v>69</v>
      </c>
      <c r="D1011" s="120" t="s">
        <v>3544</v>
      </c>
      <c r="E1011" s="120" t="s">
        <v>3006</v>
      </c>
      <c r="F1011" s="120" t="s">
        <v>14</v>
      </c>
      <c r="G1011" s="120">
        <v>1</v>
      </c>
      <c r="H1011">
        <v>0</v>
      </c>
      <c r="I1011" s="120" t="s">
        <v>47</v>
      </c>
      <c r="J1011">
        <v>1</v>
      </c>
      <c r="K1011">
        <v>0</v>
      </c>
      <c r="L1011">
        <v>0</v>
      </c>
      <c r="M1011">
        <v>0</v>
      </c>
      <c r="N1011">
        <v>0</v>
      </c>
    </row>
    <row r="1012" spans="1:14" hidden="1" x14ac:dyDescent="0.25">
      <c r="A1012" s="120" t="s">
        <v>3463</v>
      </c>
      <c r="B1012" s="120" t="s">
        <v>3805</v>
      </c>
      <c r="C1012" s="120" t="s">
        <v>69</v>
      </c>
      <c r="D1012" s="120" t="s">
        <v>3575</v>
      </c>
      <c r="E1012" s="120" t="s">
        <v>262</v>
      </c>
      <c r="F1012" s="120" t="s">
        <v>18</v>
      </c>
      <c r="G1012" s="120">
        <v>8</v>
      </c>
      <c r="H1012">
        <v>0</v>
      </c>
      <c r="I1012" s="120" t="s">
        <v>47</v>
      </c>
      <c r="J1012">
        <v>8</v>
      </c>
      <c r="K1012">
        <v>0</v>
      </c>
      <c r="L1012">
        <v>0</v>
      </c>
      <c r="M1012">
        <v>0</v>
      </c>
      <c r="N1012">
        <v>0</v>
      </c>
    </row>
    <row r="1013" spans="1:14" hidden="1" x14ac:dyDescent="0.25">
      <c r="A1013" s="120" t="s">
        <v>3463</v>
      </c>
      <c r="B1013" s="120" t="s">
        <v>3805</v>
      </c>
      <c r="C1013" s="120" t="s">
        <v>69</v>
      </c>
      <c r="D1013" s="120" t="s">
        <v>597</v>
      </c>
      <c r="E1013" s="120" t="s">
        <v>174</v>
      </c>
      <c r="F1013" s="120" t="s">
        <v>71</v>
      </c>
      <c r="G1013" s="120">
        <v>3</v>
      </c>
      <c r="H1013">
        <v>4</v>
      </c>
      <c r="I1013" s="120" t="s">
        <v>47</v>
      </c>
      <c r="J1013">
        <v>-1</v>
      </c>
      <c r="K1013">
        <v>0</v>
      </c>
      <c r="L1013">
        <v>54</v>
      </c>
      <c r="M1013">
        <v>162</v>
      </c>
      <c r="N1013">
        <v>216</v>
      </c>
    </row>
    <row r="1014" spans="1:14" hidden="1" x14ac:dyDescent="0.25">
      <c r="A1014" s="120" t="s">
        <v>3463</v>
      </c>
      <c r="B1014" s="120" t="s">
        <v>3805</v>
      </c>
      <c r="C1014" s="120" t="s">
        <v>69</v>
      </c>
      <c r="D1014" s="120" t="s">
        <v>3488</v>
      </c>
      <c r="E1014" s="120" t="s">
        <v>79</v>
      </c>
      <c r="F1014" s="120" t="s">
        <v>10</v>
      </c>
      <c r="G1014" s="120">
        <v>1</v>
      </c>
      <c r="H1014">
        <v>0</v>
      </c>
      <c r="I1014" s="120" t="s">
        <v>57</v>
      </c>
      <c r="J1014">
        <v>1</v>
      </c>
      <c r="K1014">
        <v>0</v>
      </c>
      <c r="L1014">
        <v>0</v>
      </c>
      <c r="M1014">
        <v>0</v>
      </c>
      <c r="N1014">
        <v>0</v>
      </c>
    </row>
    <row r="1015" spans="1:14" hidden="1" x14ac:dyDescent="0.25">
      <c r="A1015" s="120" t="s">
        <v>3463</v>
      </c>
      <c r="B1015" s="120" t="s">
        <v>3871</v>
      </c>
      <c r="C1015" s="120" t="s">
        <v>69</v>
      </c>
      <c r="D1015" s="120" t="s">
        <v>687</v>
      </c>
      <c r="E1015" s="120" t="s">
        <v>99</v>
      </c>
      <c r="F1015" s="120" t="s">
        <v>10</v>
      </c>
      <c r="G1015" s="120">
        <v>1</v>
      </c>
      <c r="H1015">
        <v>10</v>
      </c>
      <c r="I1015" s="120" t="s">
        <v>11</v>
      </c>
      <c r="J1015">
        <v>-9</v>
      </c>
      <c r="K1015">
        <v>0</v>
      </c>
      <c r="L1015">
        <v>9</v>
      </c>
      <c r="M1015">
        <v>9</v>
      </c>
      <c r="N1015">
        <v>90</v>
      </c>
    </row>
    <row r="1016" spans="1:14" hidden="1" x14ac:dyDescent="0.25">
      <c r="A1016" s="120" t="s">
        <v>3463</v>
      </c>
      <c r="B1016" s="120" t="s">
        <v>3871</v>
      </c>
      <c r="C1016" s="120" t="s">
        <v>69</v>
      </c>
      <c r="D1016" s="120" t="s">
        <v>1134</v>
      </c>
      <c r="E1016" s="120" t="s">
        <v>111</v>
      </c>
      <c r="F1016" s="120" t="s">
        <v>10</v>
      </c>
      <c r="G1016" s="120">
        <v>6</v>
      </c>
      <c r="H1016">
        <v>16</v>
      </c>
      <c r="I1016" s="120" t="s">
        <v>11</v>
      </c>
      <c r="J1016">
        <v>-10</v>
      </c>
      <c r="K1016">
        <v>0</v>
      </c>
      <c r="L1016">
        <v>34</v>
      </c>
      <c r="M1016">
        <v>204</v>
      </c>
      <c r="N1016">
        <v>544</v>
      </c>
    </row>
    <row r="1017" spans="1:14" hidden="1" x14ac:dyDescent="0.25">
      <c r="A1017" s="120" t="s">
        <v>3463</v>
      </c>
      <c r="B1017" s="120" t="s">
        <v>3871</v>
      </c>
      <c r="C1017" s="120" t="s">
        <v>69</v>
      </c>
      <c r="D1017" s="120" t="s">
        <v>1760</v>
      </c>
      <c r="E1017" s="120" t="s">
        <v>123</v>
      </c>
      <c r="F1017" s="120" t="s">
        <v>14</v>
      </c>
      <c r="G1017" s="120">
        <v>17</v>
      </c>
      <c r="H1017">
        <v>16</v>
      </c>
      <c r="I1017" s="120" t="s">
        <v>11</v>
      </c>
      <c r="J1017">
        <v>1</v>
      </c>
      <c r="K1017">
        <v>0</v>
      </c>
      <c r="L1017">
        <v>165</v>
      </c>
      <c r="M1017">
        <v>2805</v>
      </c>
      <c r="N1017">
        <v>2640</v>
      </c>
    </row>
    <row r="1018" spans="1:14" hidden="1" x14ac:dyDescent="0.25">
      <c r="A1018" s="120" t="s">
        <v>3463</v>
      </c>
      <c r="B1018" s="120" t="s">
        <v>3871</v>
      </c>
      <c r="C1018" s="120" t="s">
        <v>69</v>
      </c>
      <c r="D1018" s="120" t="s">
        <v>678</v>
      </c>
      <c r="E1018" s="120" t="s">
        <v>97</v>
      </c>
      <c r="F1018" s="120" t="s">
        <v>10</v>
      </c>
      <c r="G1018" s="120">
        <v>13</v>
      </c>
      <c r="H1018">
        <v>12</v>
      </c>
      <c r="I1018" s="120" t="s">
        <v>11</v>
      </c>
      <c r="J1018">
        <v>1</v>
      </c>
      <c r="K1018">
        <v>0</v>
      </c>
      <c r="L1018">
        <v>34</v>
      </c>
      <c r="M1018">
        <v>442</v>
      </c>
      <c r="N1018">
        <v>408</v>
      </c>
    </row>
    <row r="1019" spans="1:14" hidden="1" x14ac:dyDescent="0.25">
      <c r="A1019" s="120" t="s">
        <v>3463</v>
      </c>
      <c r="B1019" s="120" t="s">
        <v>3871</v>
      </c>
      <c r="C1019" s="120" t="s">
        <v>69</v>
      </c>
      <c r="D1019" s="120" t="s">
        <v>740</v>
      </c>
      <c r="E1019" s="120" t="s">
        <v>103</v>
      </c>
      <c r="F1019" s="120" t="s">
        <v>14</v>
      </c>
      <c r="G1019" s="120">
        <v>19</v>
      </c>
      <c r="H1019">
        <v>16</v>
      </c>
      <c r="I1019" s="120" t="s">
        <v>11</v>
      </c>
      <c r="J1019">
        <v>3</v>
      </c>
      <c r="K1019">
        <v>0</v>
      </c>
      <c r="L1019">
        <v>29</v>
      </c>
      <c r="M1019">
        <v>551</v>
      </c>
      <c r="N1019">
        <v>464</v>
      </c>
    </row>
    <row r="1020" spans="1:14" hidden="1" x14ac:dyDescent="0.25">
      <c r="A1020" s="120" t="s">
        <v>3463</v>
      </c>
      <c r="B1020" s="120" t="s">
        <v>3871</v>
      </c>
      <c r="C1020" s="120" t="s">
        <v>69</v>
      </c>
      <c r="D1020" s="120" t="s">
        <v>1192</v>
      </c>
      <c r="E1020" s="120" t="s">
        <v>124</v>
      </c>
      <c r="F1020" s="120" t="s">
        <v>14</v>
      </c>
      <c r="G1020" s="120">
        <v>4</v>
      </c>
      <c r="H1020">
        <v>5</v>
      </c>
      <c r="I1020" s="120" t="s">
        <v>11</v>
      </c>
      <c r="J1020">
        <v>-1</v>
      </c>
      <c r="K1020">
        <v>0</v>
      </c>
      <c r="L1020">
        <v>3.5</v>
      </c>
      <c r="M1020">
        <v>14</v>
      </c>
      <c r="N1020">
        <v>17.5</v>
      </c>
    </row>
    <row r="1021" spans="1:14" hidden="1" x14ac:dyDescent="0.25">
      <c r="A1021" s="120" t="s">
        <v>3463</v>
      </c>
      <c r="B1021" s="120" t="s">
        <v>3871</v>
      </c>
      <c r="C1021" s="120" t="s">
        <v>69</v>
      </c>
      <c r="D1021" s="120" t="s">
        <v>1757</v>
      </c>
      <c r="E1021" s="120" t="s">
        <v>122</v>
      </c>
      <c r="F1021" s="120" t="s">
        <v>14</v>
      </c>
      <c r="G1021" s="120">
        <v>14</v>
      </c>
      <c r="H1021">
        <v>13</v>
      </c>
      <c r="I1021" s="120" t="s">
        <v>11</v>
      </c>
      <c r="J1021">
        <v>1</v>
      </c>
      <c r="K1021">
        <v>0</v>
      </c>
      <c r="L1021">
        <v>170</v>
      </c>
      <c r="M1021">
        <v>2380</v>
      </c>
      <c r="N1021">
        <v>2210</v>
      </c>
    </row>
    <row r="1022" spans="1:14" hidden="1" x14ac:dyDescent="0.25">
      <c r="A1022" s="120" t="s">
        <v>3463</v>
      </c>
      <c r="B1022" s="120" t="s">
        <v>3871</v>
      </c>
      <c r="C1022" s="120" t="s">
        <v>69</v>
      </c>
      <c r="D1022" s="120" t="s">
        <v>725</v>
      </c>
      <c r="E1022" s="120" t="s">
        <v>519</v>
      </c>
      <c r="F1022" s="120" t="s">
        <v>10</v>
      </c>
      <c r="G1022" s="120">
        <v>16</v>
      </c>
      <c r="H1022">
        <v>17</v>
      </c>
      <c r="I1022" s="120" t="s">
        <v>11</v>
      </c>
      <c r="J1022">
        <v>-1</v>
      </c>
      <c r="K1022">
        <v>0</v>
      </c>
      <c r="L1022">
        <v>140</v>
      </c>
      <c r="M1022">
        <v>2240</v>
      </c>
      <c r="N1022">
        <v>2380</v>
      </c>
    </row>
    <row r="1023" spans="1:14" hidden="1" x14ac:dyDescent="0.25">
      <c r="A1023" s="120" t="s">
        <v>3463</v>
      </c>
      <c r="B1023" s="120" t="s">
        <v>3871</v>
      </c>
      <c r="C1023" s="120" t="s">
        <v>69</v>
      </c>
      <c r="D1023" s="120" t="s">
        <v>3527</v>
      </c>
      <c r="E1023" s="120" t="s">
        <v>185</v>
      </c>
      <c r="F1023" s="120" t="s">
        <v>10</v>
      </c>
      <c r="G1023" s="120">
        <v>34</v>
      </c>
      <c r="H1023">
        <v>0</v>
      </c>
      <c r="I1023" s="120" t="s">
        <v>11</v>
      </c>
      <c r="J1023">
        <v>34</v>
      </c>
      <c r="K1023">
        <v>0</v>
      </c>
      <c r="L1023">
        <v>0</v>
      </c>
      <c r="M1023">
        <v>0</v>
      </c>
      <c r="N1023">
        <v>0</v>
      </c>
    </row>
    <row r="1024" spans="1:14" hidden="1" x14ac:dyDescent="0.25">
      <c r="A1024" s="120" t="s">
        <v>3463</v>
      </c>
      <c r="B1024" s="120" t="s">
        <v>3871</v>
      </c>
      <c r="C1024" s="120" t="s">
        <v>69</v>
      </c>
      <c r="D1024" s="120" t="s">
        <v>3503</v>
      </c>
      <c r="E1024" s="120" t="s">
        <v>105</v>
      </c>
      <c r="F1024" s="120" t="s">
        <v>10</v>
      </c>
      <c r="G1024" s="120">
        <v>14</v>
      </c>
      <c r="H1024">
        <v>0</v>
      </c>
      <c r="I1024" s="120" t="s">
        <v>11</v>
      </c>
      <c r="J1024">
        <v>14</v>
      </c>
      <c r="K1024">
        <v>0</v>
      </c>
      <c r="L1024">
        <v>0</v>
      </c>
      <c r="M1024">
        <v>0</v>
      </c>
      <c r="N1024">
        <v>0</v>
      </c>
    </row>
    <row r="1025" spans="1:14" hidden="1" x14ac:dyDescent="0.25">
      <c r="A1025" s="120" t="s">
        <v>3463</v>
      </c>
      <c r="B1025" s="120" t="s">
        <v>3871</v>
      </c>
      <c r="C1025" s="120" t="s">
        <v>301</v>
      </c>
      <c r="D1025" s="120" t="s">
        <v>3468</v>
      </c>
      <c r="E1025" s="120" t="s">
        <v>24</v>
      </c>
      <c r="F1025" s="120" t="s">
        <v>14</v>
      </c>
      <c r="G1025" s="120">
        <v>15</v>
      </c>
      <c r="H1025">
        <v>0</v>
      </c>
      <c r="I1025" s="120" t="s">
        <v>11</v>
      </c>
      <c r="J1025">
        <v>15</v>
      </c>
      <c r="K1025">
        <v>0</v>
      </c>
      <c r="L1025">
        <v>0</v>
      </c>
      <c r="M1025">
        <v>0</v>
      </c>
      <c r="N1025">
        <v>0</v>
      </c>
    </row>
    <row r="1026" spans="1:14" hidden="1" x14ac:dyDescent="0.25">
      <c r="A1026" s="120" t="s">
        <v>3463</v>
      </c>
      <c r="B1026" s="120" t="s">
        <v>3871</v>
      </c>
      <c r="C1026" s="120" t="s">
        <v>301</v>
      </c>
      <c r="D1026" s="120" t="s">
        <v>1189</v>
      </c>
      <c r="E1026" s="120" t="s">
        <v>44</v>
      </c>
      <c r="F1026" s="120" t="s">
        <v>18</v>
      </c>
      <c r="G1026" s="120">
        <v>11</v>
      </c>
      <c r="H1026">
        <v>10</v>
      </c>
      <c r="I1026" s="120" t="s">
        <v>11</v>
      </c>
      <c r="J1026">
        <v>1</v>
      </c>
      <c r="K1026">
        <v>0</v>
      </c>
      <c r="L1026">
        <v>58</v>
      </c>
      <c r="M1026">
        <v>638</v>
      </c>
      <c r="N1026">
        <v>580</v>
      </c>
    </row>
    <row r="1027" spans="1:14" hidden="1" x14ac:dyDescent="0.25">
      <c r="A1027" s="120" t="s">
        <v>3463</v>
      </c>
      <c r="B1027" s="120" t="s">
        <v>3871</v>
      </c>
      <c r="C1027" s="120" t="s">
        <v>69</v>
      </c>
      <c r="D1027" s="120" t="s">
        <v>1156</v>
      </c>
      <c r="E1027" s="120" t="s">
        <v>115</v>
      </c>
      <c r="F1027" s="120" t="s">
        <v>71</v>
      </c>
      <c r="G1027" s="120">
        <v>1</v>
      </c>
      <c r="H1027">
        <v>3</v>
      </c>
      <c r="I1027" s="120" t="s">
        <v>11</v>
      </c>
      <c r="J1027">
        <v>-2</v>
      </c>
      <c r="K1027">
        <v>0</v>
      </c>
      <c r="L1027">
        <v>2.46</v>
      </c>
      <c r="M1027">
        <v>2.46</v>
      </c>
      <c r="N1027">
        <v>7.38</v>
      </c>
    </row>
    <row r="1028" spans="1:14" hidden="1" x14ac:dyDescent="0.25">
      <c r="A1028" s="120" t="s">
        <v>3463</v>
      </c>
      <c r="B1028" s="120" t="s">
        <v>3871</v>
      </c>
      <c r="C1028" s="120" t="s">
        <v>69</v>
      </c>
      <c r="D1028" s="120" t="s">
        <v>1194</v>
      </c>
      <c r="E1028" s="120" t="s">
        <v>186</v>
      </c>
      <c r="F1028" s="120" t="s">
        <v>71</v>
      </c>
      <c r="G1028" s="120">
        <v>0</v>
      </c>
      <c r="H1028">
        <v>2</v>
      </c>
      <c r="I1028" s="120" t="s">
        <v>11</v>
      </c>
      <c r="J1028">
        <v>-2</v>
      </c>
      <c r="K1028">
        <v>0</v>
      </c>
      <c r="L1028">
        <v>3.5</v>
      </c>
      <c r="M1028">
        <v>0</v>
      </c>
      <c r="N1028">
        <v>7</v>
      </c>
    </row>
    <row r="1029" spans="1:14" hidden="1" x14ac:dyDescent="0.25">
      <c r="A1029" s="120" t="s">
        <v>3463</v>
      </c>
      <c r="B1029" s="120" t="s">
        <v>3871</v>
      </c>
      <c r="C1029" s="120" t="s">
        <v>69</v>
      </c>
      <c r="D1029" s="120" t="s">
        <v>3502</v>
      </c>
      <c r="E1029" s="120" t="s">
        <v>96</v>
      </c>
      <c r="F1029" s="120" t="s">
        <v>10</v>
      </c>
      <c r="G1029" s="120">
        <v>13</v>
      </c>
      <c r="H1029">
        <v>0</v>
      </c>
      <c r="I1029" s="120" t="s">
        <v>11</v>
      </c>
      <c r="J1029">
        <v>13</v>
      </c>
      <c r="K1029">
        <v>0</v>
      </c>
      <c r="L1029">
        <v>0</v>
      </c>
      <c r="M1029">
        <v>0</v>
      </c>
      <c r="N1029">
        <v>0</v>
      </c>
    </row>
    <row r="1030" spans="1:14" hidden="1" x14ac:dyDescent="0.25">
      <c r="A1030" s="120" t="s">
        <v>3463</v>
      </c>
      <c r="B1030" s="120" t="s">
        <v>3871</v>
      </c>
      <c r="C1030" s="120" t="s">
        <v>69</v>
      </c>
      <c r="D1030" s="120" t="s">
        <v>738</v>
      </c>
      <c r="E1030" s="120" t="s">
        <v>102</v>
      </c>
      <c r="F1030" s="120" t="s">
        <v>10</v>
      </c>
      <c r="G1030" s="120">
        <v>12</v>
      </c>
      <c r="H1030">
        <v>11</v>
      </c>
      <c r="I1030" s="120" t="s">
        <v>11</v>
      </c>
      <c r="J1030">
        <v>1</v>
      </c>
      <c r="K1030">
        <v>0</v>
      </c>
      <c r="L1030">
        <v>10</v>
      </c>
      <c r="M1030">
        <v>120</v>
      </c>
      <c r="N1030">
        <v>110</v>
      </c>
    </row>
    <row r="1031" spans="1:14" hidden="1" x14ac:dyDescent="0.25">
      <c r="A1031" s="120" t="s">
        <v>3463</v>
      </c>
      <c r="B1031" s="120" t="s">
        <v>3871</v>
      </c>
      <c r="C1031" s="120" t="s">
        <v>69</v>
      </c>
      <c r="D1031" s="120" t="s">
        <v>593</v>
      </c>
      <c r="E1031" s="120" t="s">
        <v>76</v>
      </c>
      <c r="F1031" s="120" t="s">
        <v>71</v>
      </c>
      <c r="G1031" s="120">
        <v>4</v>
      </c>
      <c r="H1031">
        <v>4</v>
      </c>
      <c r="I1031" s="120" t="s">
        <v>11</v>
      </c>
      <c r="J1031">
        <v>0</v>
      </c>
      <c r="K1031">
        <v>1</v>
      </c>
      <c r="L1031" s="121">
        <v>54</v>
      </c>
      <c r="M1031" s="121">
        <v>216</v>
      </c>
      <c r="N1031" s="121">
        <v>216</v>
      </c>
    </row>
    <row r="1032" spans="1:14" hidden="1" x14ac:dyDescent="0.25">
      <c r="A1032" s="120" t="s">
        <v>3463</v>
      </c>
      <c r="B1032" s="120" t="s">
        <v>3871</v>
      </c>
      <c r="C1032" s="120" t="s">
        <v>69</v>
      </c>
      <c r="D1032" s="120" t="s">
        <v>1161</v>
      </c>
      <c r="E1032" s="120" t="s">
        <v>184</v>
      </c>
      <c r="F1032" s="120" t="s">
        <v>71</v>
      </c>
      <c r="G1032" s="120">
        <v>7</v>
      </c>
      <c r="H1032">
        <v>7</v>
      </c>
      <c r="I1032" s="120" t="s">
        <v>11</v>
      </c>
      <c r="J1032">
        <v>0</v>
      </c>
      <c r="K1032">
        <v>1</v>
      </c>
      <c r="L1032" s="121">
        <v>10.4</v>
      </c>
      <c r="M1032" s="121">
        <v>72.8</v>
      </c>
      <c r="N1032" s="121">
        <v>72.8</v>
      </c>
    </row>
    <row r="1033" spans="1:14" hidden="1" x14ac:dyDescent="0.25">
      <c r="A1033" s="120" t="s">
        <v>3463</v>
      </c>
      <c r="B1033" s="120" t="s">
        <v>3871</v>
      </c>
      <c r="C1033" s="120" t="s">
        <v>69</v>
      </c>
      <c r="D1033" s="120" t="s">
        <v>1191</v>
      </c>
      <c r="E1033" s="120" t="s">
        <v>117</v>
      </c>
      <c r="F1033" s="120" t="s">
        <v>14</v>
      </c>
      <c r="G1033" s="120">
        <v>5</v>
      </c>
      <c r="H1033">
        <v>6</v>
      </c>
      <c r="I1033" s="120" t="s">
        <v>11</v>
      </c>
      <c r="J1033">
        <v>-1</v>
      </c>
      <c r="K1033">
        <v>0</v>
      </c>
      <c r="L1033">
        <v>3.5</v>
      </c>
      <c r="M1033">
        <v>17.5</v>
      </c>
      <c r="N1033">
        <v>21</v>
      </c>
    </row>
    <row r="1034" spans="1:14" hidden="1" x14ac:dyDescent="0.25">
      <c r="A1034" s="120" t="s">
        <v>3463</v>
      </c>
      <c r="B1034" s="120" t="s">
        <v>3871</v>
      </c>
      <c r="C1034" s="120" t="s">
        <v>69</v>
      </c>
      <c r="D1034" s="120" t="s">
        <v>3548</v>
      </c>
      <c r="E1034" s="120" t="s">
        <v>3008</v>
      </c>
      <c r="F1034" s="120" t="s">
        <v>14</v>
      </c>
      <c r="G1034" s="120">
        <v>0</v>
      </c>
      <c r="H1034">
        <v>0</v>
      </c>
      <c r="I1034" s="120" t="s">
        <v>11</v>
      </c>
      <c r="J1034">
        <v>0</v>
      </c>
      <c r="K1034">
        <v>1</v>
      </c>
      <c r="L1034" s="121">
        <v>0</v>
      </c>
      <c r="M1034" s="121">
        <v>0</v>
      </c>
      <c r="N1034" s="121">
        <v>0</v>
      </c>
    </row>
    <row r="1035" spans="1:14" hidden="1" x14ac:dyDescent="0.25">
      <c r="A1035" s="120" t="s">
        <v>3463</v>
      </c>
      <c r="B1035" s="120" t="s">
        <v>3871</v>
      </c>
      <c r="C1035" s="120" t="s">
        <v>69</v>
      </c>
      <c r="D1035" s="120" t="s">
        <v>1113</v>
      </c>
      <c r="E1035" s="120" t="s">
        <v>106</v>
      </c>
      <c r="F1035" s="120" t="s">
        <v>18</v>
      </c>
      <c r="G1035" s="120">
        <v>16</v>
      </c>
      <c r="H1035">
        <v>5</v>
      </c>
      <c r="I1035" s="120" t="s">
        <v>47</v>
      </c>
      <c r="J1035">
        <v>11</v>
      </c>
      <c r="K1035">
        <v>0</v>
      </c>
      <c r="L1035">
        <v>99</v>
      </c>
      <c r="M1035">
        <v>1584</v>
      </c>
      <c r="N1035">
        <v>495</v>
      </c>
    </row>
    <row r="1036" spans="1:14" hidden="1" x14ac:dyDescent="0.25">
      <c r="A1036" s="120" t="s">
        <v>3463</v>
      </c>
      <c r="B1036" s="120" t="s">
        <v>3871</v>
      </c>
      <c r="C1036" s="120" t="s">
        <v>69</v>
      </c>
      <c r="D1036" s="120" t="s">
        <v>1155</v>
      </c>
      <c r="E1036" s="120" t="s">
        <v>114</v>
      </c>
      <c r="F1036" s="120" t="s">
        <v>71</v>
      </c>
      <c r="G1036" s="120">
        <v>8</v>
      </c>
      <c r="H1036">
        <v>7</v>
      </c>
      <c r="I1036" s="120" t="s">
        <v>47</v>
      </c>
      <c r="J1036">
        <v>1</v>
      </c>
      <c r="K1036">
        <v>0</v>
      </c>
      <c r="L1036">
        <v>14</v>
      </c>
      <c r="M1036">
        <v>112</v>
      </c>
      <c r="N1036">
        <v>98</v>
      </c>
    </row>
    <row r="1037" spans="1:14" hidden="1" x14ac:dyDescent="0.25">
      <c r="A1037" s="120" t="s">
        <v>3463</v>
      </c>
      <c r="B1037" s="120" t="s">
        <v>3871</v>
      </c>
      <c r="C1037" s="120" t="s">
        <v>69</v>
      </c>
      <c r="D1037" s="120" t="s">
        <v>1240</v>
      </c>
      <c r="E1037" s="120" t="s">
        <v>293</v>
      </c>
      <c r="F1037" s="120" t="s">
        <v>294</v>
      </c>
      <c r="G1037" s="120">
        <v>0</v>
      </c>
      <c r="H1037">
        <v>6</v>
      </c>
      <c r="I1037" s="120" t="s">
        <v>47</v>
      </c>
      <c r="J1037">
        <v>-6</v>
      </c>
      <c r="K1037">
        <v>0</v>
      </c>
      <c r="L1037">
        <v>0</v>
      </c>
      <c r="M1037">
        <v>0</v>
      </c>
      <c r="N1037">
        <v>0</v>
      </c>
    </row>
    <row r="1038" spans="1:14" hidden="1" x14ac:dyDescent="0.25">
      <c r="A1038" s="120" t="s">
        <v>3463</v>
      </c>
      <c r="B1038" s="120" t="s">
        <v>3871</v>
      </c>
      <c r="C1038" s="120" t="s">
        <v>69</v>
      </c>
      <c r="D1038" s="120" t="s">
        <v>3545</v>
      </c>
      <c r="E1038" s="120" t="s">
        <v>3007</v>
      </c>
      <c r="F1038" s="120" t="s">
        <v>14</v>
      </c>
      <c r="G1038" s="120">
        <v>1</v>
      </c>
      <c r="H1038">
        <v>0</v>
      </c>
      <c r="I1038" s="120" t="s">
        <v>47</v>
      </c>
      <c r="J1038">
        <v>1</v>
      </c>
      <c r="K1038">
        <v>0</v>
      </c>
      <c r="L1038">
        <v>0</v>
      </c>
      <c r="M1038">
        <v>0</v>
      </c>
      <c r="N1038">
        <v>0</v>
      </c>
    </row>
    <row r="1039" spans="1:14" hidden="1" x14ac:dyDescent="0.25">
      <c r="A1039" s="120" t="s">
        <v>3463</v>
      </c>
      <c r="B1039" s="120" t="s">
        <v>3871</v>
      </c>
      <c r="C1039" s="120" t="s">
        <v>69</v>
      </c>
      <c r="D1039" s="120" t="s">
        <v>1154</v>
      </c>
      <c r="E1039" s="120" t="s">
        <v>113</v>
      </c>
      <c r="F1039" s="120" t="s">
        <v>71</v>
      </c>
      <c r="G1039" s="120">
        <v>5</v>
      </c>
      <c r="H1039">
        <v>4</v>
      </c>
      <c r="I1039" s="120" t="s">
        <v>47</v>
      </c>
      <c r="J1039">
        <v>1</v>
      </c>
      <c r="K1039">
        <v>0</v>
      </c>
      <c r="L1039">
        <v>3.4</v>
      </c>
      <c r="M1039">
        <v>17</v>
      </c>
      <c r="N1039">
        <v>13.6</v>
      </c>
    </row>
    <row r="1040" spans="1:14" hidden="1" x14ac:dyDescent="0.25">
      <c r="A1040" s="120" t="s">
        <v>3463</v>
      </c>
      <c r="B1040" s="120" t="s">
        <v>3871</v>
      </c>
      <c r="C1040" s="120" t="s">
        <v>69</v>
      </c>
      <c r="D1040" s="120" t="s">
        <v>3572</v>
      </c>
      <c r="E1040" s="120" t="s">
        <v>259</v>
      </c>
      <c r="F1040" s="120" t="s">
        <v>14</v>
      </c>
      <c r="G1040" s="120">
        <v>2</v>
      </c>
      <c r="H1040">
        <v>0</v>
      </c>
      <c r="I1040" s="120" t="s">
        <v>47</v>
      </c>
      <c r="J1040">
        <v>2</v>
      </c>
      <c r="K1040">
        <v>0</v>
      </c>
      <c r="L1040">
        <v>0</v>
      </c>
      <c r="M1040">
        <v>0</v>
      </c>
      <c r="N1040">
        <v>0</v>
      </c>
    </row>
    <row r="1041" spans="1:14" hidden="1" x14ac:dyDescent="0.25">
      <c r="A1041" s="120" t="s">
        <v>3463</v>
      </c>
      <c r="B1041" s="120" t="s">
        <v>3871</v>
      </c>
      <c r="C1041" s="120" t="s">
        <v>69</v>
      </c>
      <c r="D1041" s="120" t="s">
        <v>3496</v>
      </c>
      <c r="E1041" s="120" t="s">
        <v>90</v>
      </c>
      <c r="F1041" s="120" t="s">
        <v>14</v>
      </c>
      <c r="G1041" s="120">
        <v>0</v>
      </c>
      <c r="H1041">
        <v>0</v>
      </c>
      <c r="I1041" s="120" t="s">
        <v>47</v>
      </c>
      <c r="J1041">
        <v>0</v>
      </c>
      <c r="K1041">
        <v>1</v>
      </c>
      <c r="L1041" s="121">
        <v>0</v>
      </c>
      <c r="M1041" s="121">
        <v>0</v>
      </c>
      <c r="N1041" s="121">
        <v>0</v>
      </c>
    </row>
    <row r="1042" spans="1:14" hidden="1" x14ac:dyDescent="0.25">
      <c r="A1042" s="120" t="s">
        <v>3463</v>
      </c>
      <c r="B1042" s="120" t="s">
        <v>3871</v>
      </c>
      <c r="C1042" s="120" t="s">
        <v>69</v>
      </c>
      <c r="D1042" s="120" t="s">
        <v>741</v>
      </c>
      <c r="E1042" s="120" t="s">
        <v>104</v>
      </c>
      <c r="F1042" s="120" t="s">
        <v>14</v>
      </c>
      <c r="G1042" s="120">
        <v>4</v>
      </c>
      <c r="H1042">
        <v>4</v>
      </c>
      <c r="I1042" s="120" t="s">
        <v>47</v>
      </c>
      <c r="J1042">
        <v>0</v>
      </c>
      <c r="K1042">
        <v>1</v>
      </c>
      <c r="L1042" s="121">
        <v>24.5</v>
      </c>
      <c r="M1042" s="121">
        <v>98</v>
      </c>
      <c r="N1042" s="121">
        <v>98</v>
      </c>
    </row>
    <row r="1043" spans="1:14" hidden="1" x14ac:dyDescent="0.25">
      <c r="A1043" s="120" t="s">
        <v>3463</v>
      </c>
      <c r="B1043" s="120" t="s">
        <v>3871</v>
      </c>
      <c r="C1043" s="120" t="s">
        <v>69</v>
      </c>
      <c r="D1043" s="120" t="s">
        <v>3505</v>
      </c>
      <c r="E1043" s="120" t="s">
        <v>108</v>
      </c>
      <c r="F1043" s="120" t="s">
        <v>18</v>
      </c>
      <c r="G1043" s="120">
        <v>1</v>
      </c>
      <c r="H1043">
        <v>0</v>
      </c>
      <c r="I1043" s="120" t="s">
        <v>57</v>
      </c>
      <c r="J1043">
        <v>1</v>
      </c>
      <c r="K1043">
        <v>0</v>
      </c>
      <c r="L1043">
        <v>0</v>
      </c>
      <c r="M1043">
        <v>0</v>
      </c>
      <c r="N1043">
        <v>0</v>
      </c>
    </row>
    <row r="1044" spans="1:14" hidden="1" x14ac:dyDescent="0.25">
      <c r="A1044" s="120" t="s">
        <v>3463</v>
      </c>
      <c r="B1044" s="120" t="s">
        <v>3510</v>
      </c>
      <c r="C1044" s="120" t="s">
        <v>69</v>
      </c>
      <c r="D1044" s="120" t="s">
        <v>1161</v>
      </c>
      <c r="E1044" s="120" t="s">
        <v>184</v>
      </c>
      <c r="F1044" s="120" t="s">
        <v>71</v>
      </c>
      <c r="G1044" s="120">
        <v>6</v>
      </c>
      <c r="H1044">
        <v>6</v>
      </c>
      <c r="I1044" s="120" t="s">
        <v>11</v>
      </c>
      <c r="J1044">
        <v>0</v>
      </c>
      <c r="K1044">
        <v>1</v>
      </c>
      <c r="L1044" s="121">
        <v>10.4</v>
      </c>
      <c r="M1044" s="121">
        <v>62.400000000000006</v>
      </c>
      <c r="N1044" s="121">
        <v>62.400000000000006</v>
      </c>
    </row>
    <row r="1045" spans="1:14" hidden="1" x14ac:dyDescent="0.25">
      <c r="A1045" s="120" t="s">
        <v>3463</v>
      </c>
      <c r="B1045" s="120" t="s">
        <v>3510</v>
      </c>
      <c r="C1045" s="120" t="s">
        <v>69</v>
      </c>
      <c r="D1045" s="120" t="s">
        <v>687</v>
      </c>
      <c r="E1045" s="120" t="s">
        <v>99</v>
      </c>
      <c r="F1045" s="120" t="s">
        <v>10</v>
      </c>
      <c r="G1045" s="120">
        <v>4</v>
      </c>
      <c r="H1045">
        <v>3</v>
      </c>
      <c r="I1045" s="120" t="s">
        <v>11</v>
      </c>
      <c r="J1045">
        <v>1</v>
      </c>
      <c r="K1045">
        <v>0</v>
      </c>
      <c r="L1045">
        <v>9</v>
      </c>
      <c r="M1045">
        <v>36</v>
      </c>
      <c r="N1045">
        <v>27</v>
      </c>
    </row>
    <row r="1046" spans="1:14" hidden="1" x14ac:dyDescent="0.25">
      <c r="A1046" s="120" t="s">
        <v>3463</v>
      </c>
      <c r="B1046" s="120" t="s">
        <v>3510</v>
      </c>
      <c r="C1046" s="120" t="s">
        <v>69</v>
      </c>
      <c r="D1046" s="120" t="s">
        <v>1134</v>
      </c>
      <c r="E1046" s="120" t="s">
        <v>111</v>
      </c>
      <c r="F1046" s="120" t="s">
        <v>10</v>
      </c>
      <c r="G1046" s="120">
        <v>3</v>
      </c>
      <c r="H1046">
        <v>2</v>
      </c>
      <c r="I1046" s="120" t="s">
        <v>11</v>
      </c>
      <c r="J1046">
        <v>1</v>
      </c>
      <c r="K1046">
        <v>0</v>
      </c>
      <c r="L1046">
        <v>34</v>
      </c>
      <c r="M1046">
        <v>102</v>
      </c>
      <c r="N1046">
        <v>68</v>
      </c>
    </row>
    <row r="1047" spans="1:14" hidden="1" x14ac:dyDescent="0.25">
      <c r="A1047" s="120" t="s">
        <v>3463</v>
      </c>
      <c r="B1047" s="120" t="s">
        <v>3510</v>
      </c>
      <c r="C1047" s="120" t="s">
        <v>69</v>
      </c>
      <c r="D1047" s="120" t="s">
        <v>1760</v>
      </c>
      <c r="E1047" s="120" t="s">
        <v>188</v>
      </c>
      <c r="F1047" s="120" t="s">
        <v>14</v>
      </c>
      <c r="G1047" s="120">
        <v>3</v>
      </c>
      <c r="H1047">
        <v>3</v>
      </c>
      <c r="I1047" s="120" t="s">
        <v>11</v>
      </c>
      <c r="J1047">
        <v>0</v>
      </c>
      <c r="K1047">
        <v>1</v>
      </c>
      <c r="L1047" s="121">
        <v>165</v>
      </c>
      <c r="M1047" s="121">
        <v>495</v>
      </c>
      <c r="N1047" s="121">
        <v>495</v>
      </c>
    </row>
    <row r="1048" spans="1:14" hidden="1" x14ac:dyDescent="0.25">
      <c r="A1048" s="120" t="s">
        <v>3463</v>
      </c>
      <c r="B1048" s="120" t="s">
        <v>3510</v>
      </c>
      <c r="C1048" s="120" t="s">
        <v>69</v>
      </c>
      <c r="D1048" s="120" t="s">
        <v>678</v>
      </c>
      <c r="E1048" s="120" t="s">
        <v>97</v>
      </c>
      <c r="F1048" s="120" t="s">
        <v>10</v>
      </c>
      <c r="G1048" s="120">
        <v>4</v>
      </c>
      <c r="H1048">
        <v>3</v>
      </c>
      <c r="I1048" s="120" t="s">
        <v>11</v>
      </c>
      <c r="J1048">
        <v>1</v>
      </c>
      <c r="K1048">
        <v>0</v>
      </c>
      <c r="L1048">
        <v>34</v>
      </c>
      <c r="M1048">
        <v>136</v>
      </c>
      <c r="N1048">
        <v>102</v>
      </c>
    </row>
    <row r="1049" spans="1:14" hidden="1" x14ac:dyDescent="0.25">
      <c r="A1049" s="120" t="s">
        <v>3463</v>
      </c>
      <c r="B1049" s="120" t="s">
        <v>3510</v>
      </c>
      <c r="C1049" s="120" t="s">
        <v>69</v>
      </c>
      <c r="D1049" s="120" t="s">
        <v>738</v>
      </c>
      <c r="E1049" s="120" t="s">
        <v>102</v>
      </c>
      <c r="F1049" s="120" t="s">
        <v>10</v>
      </c>
      <c r="G1049" s="120">
        <v>3</v>
      </c>
      <c r="H1049">
        <v>4</v>
      </c>
      <c r="I1049" s="120" t="s">
        <v>11</v>
      </c>
      <c r="J1049">
        <v>-1</v>
      </c>
      <c r="K1049">
        <v>0</v>
      </c>
      <c r="L1049">
        <v>10</v>
      </c>
      <c r="M1049">
        <v>30</v>
      </c>
      <c r="N1049">
        <v>40</v>
      </c>
    </row>
    <row r="1050" spans="1:14" hidden="1" x14ac:dyDescent="0.25">
      <c r="A1050" s="120" t="s">
        <v>3463</v>
      </c>
      <c r="B1050" s="120" t="s">
        <v>3510</v>
      </c>
      <c r="C1050" s="120" t="s">
        <v>69</v>
      </c>
      <c r="D1050" s="120" t="s">
        <v>1154</v>
      </c>
      <c r="E1050" s="120" t="s">
        <v>113</v>
      </c>
      <c r="F1050" s="120" t="s">
        <v>71</v>
      </c>
      <c r="G1050" s="120">
        <v>1</v>
      </c>
      <c r="H1050">
        <v>2</v>
      </c>
      <c r="I1050" s="120" t="s">
        <v>11</v>
      </c>
      <c r="J1050">
        <v>-1</v>
      </c>
      <c r="K1050">
        <v>0</v>
      </c>
      <c r="L1050">
        <v>3.4</v>
      </c>
      <c r="M1050">
        <v>3.4</v>
      </c>
      <c r="N1050">
        <v>6.8</v>
      </c>
    </row>
    <row r="1051" spans="1:14" hidden="1" x14ac:dyDescent="0.25">
      <c r="A1051" s="120" t="s">
        <v>3463</v>
      </c>
      <c r="B1051" s="120" t="s">
        <v>3510</v>
      </c>
      <c r="C1051" s="120" t="s">
        <v>69</v>
      </c>
      <c r="D1051" s="120" t="s">
        <v>590</v>
      </c>
      <c r="E1051" s="120" t="s">
        <v>73</v>
      </c>
      <c r="F1051" s="120" t="s">
        <v>71</v>
      </c>
      <c r="G1051" s="120">
        <v>1</v>
      </c>
      <c r="H1051">
        <v>1</v>
      </c>
      <c r="I1051" s="120" t="s">
        <v>11</v>
      </c>
      <c r="J1051">
        <v>0</v>
      </c>
      <c r="K1051">
        <v>1</v>
      </c>
      <c r="L1051" s="121">
        <v>54</v>
      </c>
      <c r="M1051" s="121">
        <v>54</v>
      </c>
      <c r="N1051" s="121">
        <v>54</v>
      </c>
    </row>
    <row r="1052" spans="1:14" hidden="1" x14ac:dyDescent="0.25">
      <c r="A1052" s="120" t="s">
        <v>3463</v>
      </c>
      <c r="B1052" s="120" t="s">
        <v>3510</v>
      </c>
      <c r="C1052" s="120" t="s">
        <v>69</v>
      </c>
      <c r="D1052" s="120" t="s">
        <v>594</v>
      </c>
      <c r="E1052" s="120" t="s">
        <v>171</v>
      </c>
      <c r="F1052" s="120" t="s">
        <v>71</v>
      </c>
      <c r="G1052" s="120">
        <v>1</v>
      </c>
      <c r="H1052">
        <v>1</v>
      </c>
      <c r="I1052" s="120" t="s">
        <v>11</v>
      </c>
      <c r="J1052">
        <v>0</v>
      </c>
      <c r="K1052">
        <v>1</v>
      </c>
      <c r="L1052" s="121">
        <v>54</v>
      </c>
      <c r="M1052" s="121">
        <v>54</v>
      </c>
      <c r="N1052" s="121">
        <v>54</v>
      </c>
    </row>
    <row r="1053" spans="1:14" hidden="1" x14ac:dyDescent="0.25">
      <c r="A1053" s="120" t="s">
        <v>3463</v>
      </c>
      <c r="B1053" s="120" t="s">
        <v>3510</v>
      </c>
      <c r="C1053" s="120" t="s">
        <v>69</v>
      </c>
      <c r="D1053" s="120" t="s">
        <v>725</v>
      </c>
      <c r="E1053" s="120" t="s">
        <v>178</v>
      </c>
      <c r="F1053" s="120" t="s">
        <v>10</v>
      </c>
      <c r="G1053" s="120">
        <v>4</v>
      </c>
      <c r="H1053">
        <v>4</v>
      </c>
      <c r="I1053" s="120" t="s">
        <v>11</v>
      </c>
      <c r="J1053">
        <v>0</v>
      </c>
      <c r="K1053">
        <v>1</v>
      </c>
      <c r="L1053" s="121">
        <v>140</v>
      </c>
      <c r="M1053" s="121">
        <v>560</v>
      </c>
      <c r="N1053" s="121">
        <v>560</v>
      </c>
    </row>
    <row r="1054" spans="1:14" hidden="1" x14ac:dyDescent="0.25">
      <c r="A1054" s="120" t="s">
        <v>3463</v>
      </c>
      <c r="B1054" s="120" t="s">
        <v>3510</v>
      </c>
      <c r="C1054" s="120" t="s">
        <v>69</v>
      </c>
      <c r="D1054" s="120" t="s">
        <v>1109</v>
      </c>
      <c r="E1054" s="120" t="s">
        <v>182</v>
      </c>
      <c r="F1054" s="120" t="s">
        <v>183</v>
      </c>
      <c r="G1054" s="120">
        <v>3</v>
      </c>
      <c r="H1054">
        <v>2</v>
      </c>
      <c r="I1054" s="120" t="s">
        <v>11</v>
      </c>
      <c r="J1054">
        <v>1</v>
      </c>
      <c r="K1054">
        <v>0</v>
      </c>
      <c r="L1054">
        <v>8</v>
      </c>
      <c r="M1054">
        <v>24</v>
      </c>
      <c r="N1054">
        <v>16</v>
      </c>
    </row>
    <row r="1055" spans="1:14" hidden="1" x14ac:dyDescent="0.25">
      <c r="A1055" s="120" t="s">
        <v>3463</v>
      </c>
      <c r="B1055" s="120" t="s">
        <v>3510</v>
      </c>
      <c r="C1055" s="120" t="s">
        <v>69</v>
      </c>
      <c r="D1055" s="120" t="s">
        <v>1192</v>
      </c>
      <c r="E1055" s="120" t="s">
        <v>124</v>
      </c>
      <c r="F1055" s="120" t="s">
        <v>14</v>
      </c>
      <c r="G1055" s="120">
        <v>2</v>
      </c>
      <c r="H1055">
        <v>2</v>
      </c>
      <c r="I1055" s="120" t="s">
        <v>11</v>
      </c>
      <c r="J1055">
        <v>0</v>
      </c>
      <c r="K1055">
        <v>1</v>
      </c>
      <c r="L1055" s="121">
        <v>3.5</v>
      </c>
      <c r="M1055" s="121">
        <v>7</v>
      </c>
      <c r="N1055" s="121">
        <v>7</v>
      </c>
    </row>
    <row r="1056" spans="1:14" hidden="1" x14ac:dyDescent="0.25">
      <c r="A1056" s="120" t="s">
        <v>3463</v>
      </c>
      <c r="B1056" s="120" t="s">
        <v>3510</v>
      </c>
      <c r="C1056" s="120" t="s">
        <v>69</v>
      </c>
      <c r="D1056" s="120" t="s">
        <v>1757</v>
      </c>
      <c r="E1056" s="120" t="s">
        <v>187</v>
      </c>
      <c r="F1056" s="120" t="s">
        <v>14</v>
      </c>
      <c r="G1056" s="120">
        <v>4</v>
      </c>
      <c r="H1056">
        <v>4</v>
      </c>
      <c r="I1056" s="120" t="s">
        <v>11</v>
      </c>
      <c r="J1056">
        <v>0</v>
      </c>
      <c r="K1056">
        <v>1</v>
      </c>
      <c r="L1056" s="121">
        <v>170</v>
      </c>
      <c r="M1056" s="121">
        <v>680</v>
      </c>
      <c r="N1056" s="121">
        <v>680</v>
      </c>
    </row>
    <row r="1057" spans="1:14" hidden="1" x14ac:dyDescent="0.25">
      <c r="A1057" s="120" t="s">
        <v>3463</v>
      </c>
      <c r="B1057" s="120" t="s">
        <v>3510</v>
      </c>
      <c r="C1057" s="120" t="s">
        <v>69</v>
      </c>
      <c r="D1057" s="120" t="s">
        <v>3502</v>
      </c>
      <c r="E1057" s="120" t="s">
        <v>96</v>
      </c>
      <c r="F1057" s="120" t="s">
        <v>10</v>
      </c>
      <c r="G1057" s="120">
        <v>2</v>
      </c>
      <c r="H1057">
        <v>0</v>
      </c>
      <c r="I1057" s="120" t="s">
        <v>11</v>
      </c>
      <c r="J1057">
        <v>2</v>
      </c>
      <c r="K1057">
        <v>0</v>
      </c>
      <c r="L1057">
        <v>0</v>
      </c>
      <c r="M1057">
        <v>0</v>
      </c>
      <c r="N1057">
        <v>0</v>
      </c>
    </row>
    <row r="1058" spans="1:14" hidden="1" x14ac:dyDescent="0.25">
      <c r="A1058" s="120" t="s">
        <v>3463</v>
      </c>
      <c r="B1058" s="120" t="s">
        <v>3510</v>
      </c>
      <c r="C1058" s="120" t="s">
        <v>69</v>
      </c>
      <c r="D1058" s="120" t="s">
        <v>1189</v>
      </c>
      <c r="E1058" s="120" t="s">
        <v>44</v>
      </c>
      <c r="F1058" s="120" t="s">
        <v>18</v>
      </c>
      <c r="G1058" s="120">
        <v>4</v>
      </c>
      <c r="H1058">
        <v>4</v>
      </c>
      <c r="I1058" s="120" t="s">
        <v>11</v>
      </c>
      <c r="J1058">
        <v>0</v>
      </c>
      <c r="K1058">
        <v>1</v>
      </c>
      <c r="L1058" s="121">
        <v>58</v>
      </c>
      <c r="M1058" s="121">
        <v>232</v>
      </c>
      <c r="N1058" s="121">
        <v>232</v>
      </c>
    </row>
    <row r="1059" spans="1:14" hidden="1" x14ac:dyDescent="0.25">
      <c r="A1059" s="120" t="s">
        <v>3463</v>
      </c>
      <c r="B1059" s="120" t="s">
        <v>3510</v>
      </c>
      <c r="C1059" s="120" t="s">
        <v>69</v>
      </c>
      <c r="D1059" s="120" t="s">
        <v>3522</v>
      </c>
      <c r="E1059" s="120" t="s">
        <v>167</v>
      </c>
      <c r="F1059" s="120" t="s">
        <v>10</v>
      </c>
      <c r="G1059" s="120">
        <v>4</v>
      </c>
      <c r="H1059">
        <v>0</v>
      </c>
      <c r="I1059" s="120" t="s">
        <v>11</v>
      </c>
      <c r="J1059">
        <v>4</v>
      </c>
      <c r="K1059">
        <v>0</v>
      </c>
      <c r="L1059">
        <v>0</v>
      </c>
      <c r="M1059">
        <v>0</v>
      </c>
      <c r="N1059">
        <v>0</v>
      </c>
    </row>
    <row r="1060" spans="1:14" hidden="1" x14ac:dyDescent="0.25">
      <c r="A1060" s="120" t="s">
        <v>3463</v>
      </c>
      <c r="B1060" s="120" t="s">
        <v>3510</v>
      </c>
      <c r="C1060" s="120" t="s">
        <v>69</v>
      </c>
      <c r="D1060" s="120" t="s">
        <v>1099</v>
      </c>
      <c r="E1060" s="120" t="s">
        <v>180</v>
      </c>
      <c r="F1060" s="120" t="s">
        <v>10</v>
      </c>
      <c r="G1060" s="120">
        <v>6</v>
      </c>
      <c r="H1060">
        <v>6</v>
      </c>
      <c r="I1060" s="120" t="s">
        <v>11</v>
      </c>
      <c r="J1060">
        <v>0</v>
      </c>
      <c r="K1060">
        <v>1</v>
      </c>
      <c r="L1060" s="121">
        <v>70</v>
      </c>
      <c r="M1060" s="121">
        <v>420</v>
      </c>
      <c r="N1060" s="121">
        <v>420</v>
      </c>
    </row>
    <row r="1061" spans="1:14" hidden="1" x14ac:dyDescent="0.25">
      <c r="A1061" s="120" t="s">
        <v>3463</v>
      </c>
      <c r="B1061" s="120" t="s">
        <v>3510</v>
      </c>
      <c r="C1061" s="120" t="s">
        <v>69</v>
      </c>
      <c r="D1061" s="120" t="s">
        <v>3527</v>
      </c>
      <c r="E1061" s="120" t="s">
        <v>185</v>
      </c>
      <c r="F1061" s="120" t="s">
        <v>10</v>
      </c>
      <c r="G1061" s="120">
        <v>11</v>
      </c>
      <c r="H1061">
        <v>0</v>
      </c>
      <c r="I1061" s="120" t="s">
        <v>11</v>
      </c>
      <c r="J1061">
        <v>11</v>
      </c>
      <c r="K1061">
        <v>0</v>
      </c>
      <c r="L1061">
        <v>0</v>
      </c>
      <c r="M1061">
        <v>0</v>
      </c>
      <c r="N1061">
        <v>0</v>
      </c>
    </row>
    <row r="1062" spans="1:14" hidden="1" x14ac:dyDescent="0.25">
      <c r="A1062" s="120" t="s">
        <v>3463</v>
      </c>
      <c r="B1062" s="120" t="s">
        <v>3510</v>
      </c>
      <c r="C1062" s="120" t="s">
        <v>69</v>
      </c>
      <c r="D1062" s="120" t="s">
        <v>1769</v>
      </c>
      <c r="E1062" s="120" t="s">
        <v>189</v>
      </c>
      <c r="F1062" s="120" t="s">
        <v>10</v>
      </c>
      <c r="G1062" s="120">
        <v>3</v>
      </c>
      <c r="H1062">
        <v>4</v>
      </c>
      <c r="I1062" s="120" t="s">
        <v>11</v>
      </c>
      <c r="J1062">
        <v>-1</v>
      </c>
      <c r="K1062">
        <v>0</v>
      </c>
      <c r="L1062">
        <v>139</v>
      </c>
      <c r="M1062">
        <v>417</v>
      </c>
      <c r="N1062">
        <v>556</v>
      </c>
    </row>
    <row r="1063" spans="1:14" hidden="1" x14ac:dyDescent="0.25">
      <c r="A1063" s="120" t="s">
        <v>3463</v>
      </c>
      <c r="B1063" s="120" t="s">
        <v>3510</v>
      </c>
      <c r="C1063" s="120" t="s">
        <v>69</v>
      </c>
      <c r="D1063" s="120" t="s">
        <v>3503</v>
      </c>
      <c r="E1063" s="120" t="s">
        <v>105</v>
      </c>
      <c r="F1063" s="120" t="s">
        <v>10</v>
      </c>
      <c r="G1063" s="120">
        <v>4</v>
      </c>
      <c r="H1063">
        <v>0</v>
      </c>
      <c r="I1063" s="120" t="s">
        <v>11</v>
      </c>
      <c r="J1063">
        <v>4</v>
      </c>
      <c r="K1063">
        <v>0</v>
      </c>
      <c r="L1063">
        <v>0</v>
      </c>
      <c r="M1063">
        <v>0</v>
      </c>
      <c r="N1063">
        <v>0</v>
      </c>
    </row>
    <row r="1064" spans="1:14" hidden="1" x14ac:dyDescent="0.25">
      <c r="A1064" s="120" t="s">
        <v>3463</v>
      </c>
      <c r="B1064" s="120" t="s">
        <v>3510</v>
      </c>
      <c r="C1064" s="120" t="s">
        <v>69</v>
      </c>
      <c r="D1064" s="120" t="s">
        <v>1100</v>
      </c>
      <c r="E1064" s="120" t="s">
        <v>181</v>
      </c>
      <c r="F1064" s="120" t="s">
        <v>10</v>
      </c>
      <c r="G1064" s="120">
        <v>6</v>
      </c>
      <c r="H1064">
        <v>2</v>
      </c>
      <c r="I1064" s="120" t="s">
        <v>47</v>
      </c>
      <c r="J1064">
        <v>4</v>
      </c>
      <c r="K1064">
        <v>0</v>
      </c>
      <c r="L1064">
        <v>68</v>
      </c>
      <c r="M1064">
        <v>408</v>
      </c>
      <c r="N1064">
        <v>136</v>
      </c>
    </row>
    <row r="1065" spans="1:14" hidden="1" x14ac:dyDescent="0.25">
      <c r="A1065" s="120" t="s">
        <v>3463</v>
      </c>
      <c r="B1065" s="120" t="s">
        <v>3510</v>
      </c>
      <c r="C1065" s="120" t="s">
        <v>69</v>
      </c>
      <c r="D1065" s="120" t="s">
        <v>566</v>
      </c>
      <c r="E1065" s="120" t="s">
        <v>170</v>
      </c>
      <c r="F1065" s="120" t="s">
        <v>14</v>
      </c>
      <c r="G1065" s="120">
        <v>4</v>
      </c>
      <c r="H1065">
        <v>3</v>
      </c>
      <c r="I1065" s="120" t="s">
        <v>47</v>
      </c>
      <c r="J1065">
        <v>1</v>
      </c>
      <c r="K1065">
        <v>0</v>
      </c>
      <c r="L1065">
        <v>25.7</v>
      </c>
      <c r="M1065">
        <v>102.8</v>
      </c>
      <c r="N1065">
        <v>77.099999999999994</v>
      </c>
    </row>
    <row r="1066" spans="1:14" hidden="1" x14ac:dyDescent="0.25">
      <c r="A1066" s="120" t="s">
        <v>3463</v>
      </c>
      <c r="B1066" s="120" t="s">
        <v>3510</v>
      </c>
      <c r="C1066" s="120" t="s">
        <v>69</v>
      </c>
      <c r="D1066" s="120" t="s">
        <v>1191</v>
      </c>
      <c r="E1066" s="120" t="s">
        <v>117</v>
      </c>
      <c r="F1066" s="120" t="s">
        <v>14</v>
      </c>
      <c r="G1066" s="120">
        <v>1</v>
      </c>
      <c r="H1066">
        <v>1</v>
      </c>
      <c r="I1066" s="120" t="s">
        <v>47</v>
      </c>
      <c r="J1066">
        <v>0</v>
      </c>
      <c r="K1066">
        <v>1</v>
      </c>
      <c r="L1066" s="121">
        <v>3.5</v>
      </c>
      <c r="M1066" s="121">
        <v>3.5</v>
      </c>
      <c r="N1066" s="121">
        <v>3.5</v>
      </c>
    </row>
    <row r="1067" spans="1:14" hidden="1" x14ac:dyDescent="0.25">
      <c r="A1067" s="120" t="s">
        <v>3463</v>
      </c>
      <c r="B1067" s="120" t="s">
        <v>3510</v>
      </c>
      <c r="C1067" s="120" t="s">
        <v>69</v>
      </c>
      <c r="D1067" s="120" t="s">
        <v>3504</v>
      </c>
      <c r="E1067" s="120" t="s">
        <v>107</v>
      </c>
      <c r="F1067" s="120" t="s">
        <v>18</v>
      </c>
      <c r="G1067" s="120">
        <v>1</v>
      </c>
      <c r="H1067">
        <v>0</v>
      </c>
      <c r="I1067" s="120" t="s">
        <v>47</v>
      </c>
      <c r="J1067">
        <v>1</v>
      </c>
      <c r="K1067">
        <v>0</v>
      </c>
      <c r="L1067">
        <v>0</v>
      </c>
      <c r="M1067">
        <v>0</v>
      </c>
      <c r="N1067">
        <v>0</v>
      </c>
    </row>
    <row r="1068" spans="1:14" hidden="1" x14ac:dyDescent="0.25">
      <c r="A1068" s="120" t="s">
        <v>3463</v>
      </c>
      <c r="B1068" s="120" t="s">
        <v>3510</v>
      </c>
      <c r="C1068" s="120" t="s">
        <v>69</v>
      </c>
      <c r="D1068" s="120" t="s">
        <v>1113</v>
      </c>
      <c r="E1068" s="120" t="s">
        <v>106</v>
      </c>
      <c r="F1068" s="120" t="s">
        <v>18</v>
      </c>
      <c r="G1068" s="120">
        <v>1</v>
      </c>
      <c r="H1068">
        <v>1</v>
      </c>
      <c r="I1068" s="120" t="s">
        <v>57</v>
      </c>
      <c r="J1068">
        <v>0</v>
      </c>
      <c r="K1068">
        <v>1</v>
      </c>
      <c r="L1068" s="121">
        <v>99</v>
      </c>
      <c r="M1068" s="121">
        <v>99</v>
      </c>
      <c r="N1068" s="121">
        <v>99</v>
      </c>
    </row>
    <row r="1069" spans="1:14" hidden="1" x14ac:dyDescent="0.25">
      <c r="A1069" s="120" t="s">
        <v>3463</v>
      </c>
      <c r="B1069" s="120" t="s">
        <v>3510</v>
      </c>
      <c r="C1069" s="120" t="s">
        <v>69</v>
      </c>
      <c r="D1069" s="120" t="s">
        <v>3523</v>
      </c>
      <c r="E1069" s="120" t="s">
        <v>168</v>
      </c>
      <c r="F1069" s="120" t="s">
        <v>18</v>
      </c>
      <c r="G1069" s="120">
        <v>1</v>
      </c>
      <c r="H1069">
        <v>0</v>
      </c>
      <c r="I1069" s="120" t="s">
        <v>57</v>
      </c>
      <c r="J1069">
        <v>1</v>
      </c>
      <c r="K1069">
        <v>0</v>
      </c>
      <c r="L1069">
        <v>0</v>
      </c>
      <c r="M1069">
        <v>0</v>
      </c>
      <c r="N1069">
        <v>0</v>
      </c>
    </row>
    <row r="1070" spans="1:14" hidden="1" x14ac:dyDescent="0.25">
      <c r="A1070" s="120" t="s">
        <v>3463</v>
      </c>
      <c r="B1070" s="120" t="s">
        <v>3464</v>
      </c>
      <c r="C1070" s="120" t="s">
        <v>301</v>
      </c>
      <c r="D1070" s="120" t="s">
        <v>1189</v>
      </c>
      <c r="E1070" s="120" t="s">
        <v>44</v>
      </c>
      <c r="F1070" s="120" t="s">
        <v>18</v>
      </c>
      <c r="G1070" s="120">
        <v>56</v>
      </c>
      <c r="H1070">
        <v>60</v>
      </c>
      <c r="I1070" s="120" t="s">
        <v>11</v>
      </c>
      <c r="J1070">
        <v>-4</v>
      </c>
      <c r="K1070">
        <v>0</v>
      </c>
      <c r="L1070">
        <v>58</v>
      </c>
      <c r="M1070">
        <v>3248</v>
      </c>
      <c r="N1070">
        <v>3480</v>
      </c>
    </row>
    <row r="1071" spans="1:14" hidden="1" x14ac:dyDescent="0.25">
      <c r="A1071" s="120" t="s">
        <v>3463</v>
      </c>
      <c r="B1071" s="120" t="s">
        <v>3464</v>
      </c>
      <c r="C1071" s="120" t="s">
        <v>69</v>
      </c>
      <c r="D1071" s="120" t="s">
        <v>1154</v>
      </c>
      <c r="E1071" s="120" t="s">
        <v>113</v>
      </c>
      <c r="F1071" s="120" t="s">
        <v>71</v>
      </c>
      <c r="G1071" s="120">
        <v>170</v>
      </c>
      <c r="H1071">
        <v>156</v>
      </c>
      <c r="I1071" s="120" t="s">
        <v>11</v>
      </c>
      <c r="J1071">
        <v>14</v>
      </c>
      <c r="K1071">
        <v>0</v>
      </c>
      <c r="L1071">
        <v>3.4</v>
      </c>
      <c r="M1071">
        <v>578</v>
      </c>
      <c r="N1071">
        <v>530.4</v>
      </c>
    </row>
    <row r="1072" spans="1:14" hidden="1" x14ac:dyDescent="0.25">
      <c r="A1072" s="120" t="s">
        <v>3463</v>
      </c>
      <c r="B1072" s="120" t="s">
        <v>3464</v>
      </c>
      <c r="C1072" s="120" t="s">
        <v>69</v>
      </c>
      <c r="D1072" s="120" t="s">
        <v>3502</v>
      </c>
      <c r="E1072" s="120" t="s">
        <v>96</v>
      </c>
      <c r="F1072" s="120" t="s">
        <v>10</v>
      </c>
      <c r="G1072" s="120">
        <v>101</v>
      </c>
      <c r="H1072">
        <v>0</v>
      </c>
      <c r="I1072" s="120" t="s">
        <v>11</v>
      </c>
      <c r="J1072">
        <v>101</v>
      </c>
      <c r="K1072">
        <v>0</v>
      </c>
      <c r="L1072">
        <v>0</v>
      </c>
      <c r="M1072">
        <v>0</v>
      </c>
      <c r="N1072">
        <v>0</v>
      </c>
    </row>
    <row r="1073" spans="1:14" hidden="1" x14ac:dyDescent="0.25">
      <c r="A1073" s="120" t="s">
        <v>3463</v>
      </c>
      <c r="B1073" s="120" t="s">
        <v>3464</v>
      </c>
      <c r="C1073" s="120" t="s">
        <v>69</v>
      </c>
      <c r="D1073" s="120" t="s">
        <v>3496</v>
      </c>
      <c r="E1073" s="120" t="s">
        <v>90</v>
      </c>
      <c r="F1073" s="120" t="s">
        <v>14</v>
      </c>
      <c r="G1073" s="120">
        <v>21</v>
      </c>
      <c r="H1073">
        <v>0</v>
      </c>
      <c r="I1073" s="120" t="s">
        <v>47</v>
      </c>
      <c r="J1073">
        <v>21</v>
      </c>
      <c r="K1073">
        <v>0</v>
      </c>
      <c r="L1073">
        <v>0</v>
      </c>
      <c r="M1073">
        <v>0</v>
      </c>
      <c r="N1073">
        <v>0</v>
      </c>
    </row>
    <row r="1074" spans="1:14" hidden="1" x14ac:dyDescent="0.25">
      <c r="A1074" s="120" t="s">
        <v>3463</v>
      </c>
      <c r="B1074" s="120" t="s">
        <v>3464</v>
      </c>
      <c r="C1074" s="120" t="s">
        <v>69</v>
      </c>
      <c r="D1074" s="120" t="s">
        <v>592</v>
      </c>
      <c r="E1074" s="120" t="s">
        <v>75</v>
      </c>
      <c r="F1074" s="120" t="s">
        <v>71</v>
      </c>
      <c r="G1074" s="120">
        <v>15</v>
      </c>
      <c r="H1074">
        <v>5</v>
      </c>
      <c r="I1074" s="120" t="s">
        <v>11</v>
      </c>
      <c r="J1074">
        <v>10</v>
      </c>
      <c r="K1074">
        <v>0</v>
      </c>
      <c r="L1074">
        <v>54</v>
      </c>
      <c r="M1074">
        <v>810</v>
      </c>
      <c r="N1074">
        <v>270</v>
      </c>
    </row>
    <row r="1075" spans="1:14" hidden="1" x14ac:dyDescent="0.25">
      <c r="A1075" s="120" t="s">
        <v>3463</v>
      </c>
      <c r="B1075" s="120" t="s">
        <v>3464</v>
      </c>
      <c r="C1075" s="120" t="s">
        <v>69</v>
      </c>
      <c r="D1075" s="120" t="s">
        <v>668</v>
      </c>
      <c r="E1075" s="120" t="s">
        <v>83</v>
      </c>
      <c r="F1075" s="120" t="s">
        <v>18</v>
      </c>
      <c r="G1075" s="120">
        <v>2</v>
      </c>
      <c r="H1075">
        <v>11</v>
      </c>
      <c r="I1075" s="120" t="s">
        <v>47</v>
      </c>
      <c r="J1075">
        <v>-9</v>
      </c>
      <c r="K1075">
        <v>0</v>
      </c>
      <c r="L1075">
        <v>68</v>
      </c>
      <c r="M1075">
        <v>136</v>
      </c>
      <c r="N1075">
        <v>748</v>
      </c>
    </row>
    <row r="1076" spans="1:14" hidden="1" x14ac:dyDescent="0.25">
      <c r="A1076" s="120" t="s">
        <v>3463</v>
      </c>
      <c r="B1076" s="120" t="s">
        <v>3464</v>
      </c>
      <c r="C1076" s="120" t="s">
        <v>69</v>
      </c>
      <c r="D1076" s="120" t="s">
        <v>1216</v>
      </c>
      <c r="E1076" s="120" t="s">
        <v>119</v>
      </c>
      <c r="F1076" s="120" t="s">
        <v>18</v>
      </c>
      <c r="G1076" s="120">
        <v>39</v>
      </c>
      <c r="H1076">
        <v>0</v>
      </c>
      <c r="I1076" s="120" t="s">
        <v>47</v>
      </c>
      <c r="J1076">
        <v>39</v>
      </c>
      <c r="K1076">
        <v>0</v>
      </c>
      <c r="L1076">
        <v>52</v>
      </c>
      <c r="M1076">
        <v>2028</v>
      </c>
      <c r="N1076">
        <v>0</v>
      </c>
    </row>
    <row r="1077" spans="1:14" hidden="1" x14ac:dyDescent="0.25">
      <c r="A1077" s="120" t="s">
        <v>3463</v>
      </c>
      <c r="B1077" s="120" t="s">
        <v>3464</v>
      </c>
      <c r="C1077" s="120" t="s">
        <v>69</v>
      </c>
      <c r="D1077" s="120" t="s">
        <v>3488</v>
      </c>
      <c r="E1077" s="120" t="s">
        <v>79</v>
      </c>
      <c r="F1077" s="120" t="s">
        <v>10</v>
      </c>
      <c r="G1077" s="120">
        <v>21</v>
      </c>
      <c r="H1077">
        <v>0</v>
      </c>
      <c r="I1077" s="120" t="s">
        <v>47</v>
      </c>
      <c r="J1077">
        <v>21</v>
      </c>
      <c r="K1077">
        <v>0</v>
      </c>
      <c r="L1077">
        <v>0</v>
      </c>
      <c r="M1077">
        <v>0</v>
      </c>
      <c r="N1077">
        <v>0</v>
      </c>
    </row>
    <row r="1078" spans="1:14" hidden="1" x14ac:dyDescent="0.25">
      <c r="A1078" s="120" t="s">
        <v>3463</v>
      </c>
      <c r="B1078" s="120" t="s">
        <v>3464</v>
      </c>
      <c r="C1078" s="120" t="s">
        <v>69</v>
      </c>
      <c r="D1078" s="120" t="s">
        <v>1210</v>
      </c>
      <c r="E1078" s="120" t="s">
        <v>120</v>
      </c>
      <c r="F1078" s="120" t="s">
        <v>18</v>
      </c>
      <c r="G1078" s="120">
        <v>53</v>
      </c>
      <c r="H1078">
        <v>8</v>
      </c>
      <c r="I1078" s="120" t="s">
        <v>47</v>
      </c>
      <c r="J1078">
        <v>45</v>
      </c>
      <c r="K1078">
        <v>0</v>
      </c>
      <c r="L1078">
        <v>48</v>
      </c>
      <c r="M1078">
        <v>2544</v>
      </c>
      <c r="N1078">
        <v>384</v>
      </c>
    </row>
    <row r="1079" spans="1:14" hidden="1" x14ac:dyDescent="0.25">
      <c r="A1079" s="120" t="s">
        <v>3463</v>
      </c>
      <c r="B1079" s="120" t="s">
        <v>3464</v>
      </c>
      <c r="C1079" s="120" t="s">
        <v>69</v>
      </c>
      <c r="D1079" s="120" t="s">
        <v>598</v>
      </c>
      <c r="E1079" s="120" t="s">
        <v>77</v>
      </c>
      <c r="F1079" s="120" t="s">
        <v>71</v>
      </c>
      <c r="G1079" s="120">
        <v>30</v>
      </c>
      <c r="H1079">
        <v>0</v>
      </c>
      <c r="I1079" s="120" t="s">
        <v>57</v>
      </c>
      <c r="J1079">
        <v>30</v>
      </c>
      <c r="K1079">
        <v>0</v>
      </c>
      <c r="L1079">
        <v>54</v>
      </c>
      <c r="M1079">
        <v>1620</v>
      </c>
      <c r="N1079">
        <v>0</v>
      </c>
    </row>
    <row r="1080" spans="1:14" hidden="1" x14ac:dyDescent="0.25">
      <c r="A1080" s="120" t="s">
        <v>3463</v>
      </c>
      <c r="B1080" s="120" t="s">
        <v>3464</v>
      </c>
      <c r="C1080" s="120" t="s">
        <v>69</v>
      </c>
      <c r="D1080" s="120" t="s">
        <v>590</v>
      </c>
      <c r="E1080" s="120" t="s">
        <v>73</v>
      </c>
      <c r="F1080" s="120" t="s">
        <v>71</v>
      </c>
      <c r="G1080" s="120">
        <v>49</v>
      </c>
      <c r="H1080">
        <v>4</v>
      </c>
      <c r="I1080" s="120" t="s">
        <v>57</v>
      </c>
      <c r="J1080">
        <v>45</v>
      </c>
      <c r="K1080">
        <v>0</v>
      </c>
      <c r="L1080">
        <v>54</v>
      </c>
      <c r="M1080">
        <v>2646</v>
      </c>
      <c r="N1080">
        <v>216</v>
      </c>
    </row>
    <row r="1081" spans="1:14" hidden="1" x14ac:dyDescent="0.25">
      <c r="A1081" s="120" t="s">
        <v>3463</v>
      </c>
      <c r="B1081" s="120" t="s">
        <v>3464</v>
      </c>
      <c r="C1081" s="120" t="s">
        <v>69</v>
      </c>
      <c r="D1081" s="120" t="s">
        <v>741</v>
      </c>
      <c r="E1081" s="120" t="s">
        <v>104</v>
      </c>
      <c r="F1081" s="120" t="s">
        <v>14</v>
      </c>
      <c r="G1081" s="120">
        <v>16</v>
      </c>
      <c r="H1081">
        <v>168</v>
      </c>
      <c r="I1081" s="120" t="s">
        <v>57</v>
      </c>
      <c r="J1081">
        <v>-152</v>
      </c>
      <c r="K1081">
        <v>0</v>
      </c>
      <c r="L1081">
        <v>24.5</v>
      </c>
      <c r="M1081">
        <v>392</v>
      </c>
      <c r="N1081">
        <v>4116</v>
      </c>
    </row>
    <row r="1082" spans="1:14" hidden="1" x14ac:dyDescent="0.25">
      <c r="A1082" s="120" t="s">
        <v>3463</v>
      </c>
      <c r="B1082" s="120" t="s">
        <v>3464</v>
      </c>
      <c r="C1082" s="120" t="s">
        <v>69</v>
      </c>
      <c r="D1082" s="120" t="s">
        <v>728</v>
      </c>
      <c r="E1082" s="120" t="s">
        <v>100</v>
      </c>
      <c r="F1082" s="120" t="s">
        <v>101</v>
      </c>
      <c r="G1082" s="120">
        <v>24</v>
      </c>
      <c r="H1082">
        <v>19</v>
      </c>
      <c r="I1082" s="120" t="s">
        <v>57</v>
      </c>
      <c r="J1082">
        <v>5</v>
      </c>
      <c r="K1082">
        <v>0</v>
      </c>
      <c r="L1082">
        <v>165</v>
      </c>
      <c r="M1082">
        <v>3960</v>
      </c>
      <c r="N1082">
        <v>3135</v>
      </c>
    </row>
    <row r="1083" spans="1:14" hidden="1" x14ac:dyDescent="0.25">
      <c r="A1083" s="120" t="s">
        <v>3463</v>
      </c>
      <c r="B1083" s="120" t="s">
        <v>3464</v>
      </c>
      <c r="C1083" s="120" t="s">
        <v>69</v>
      </c>
      <c r="D1083" s="120" t="s">
        <v>3505</v>
      </c>
      <c r="E1083" s="120" t="s">
        <v>108</v>
      </c>
      <c r="F1083" s="120" t="s">
        <v>18</v>
      </c>
      <c r="G1083" s="120">
        <v>1</v>
      </c>
      <c r="H1083">
        <v>0</v>
      </c>
      <c r="I1083" s="120" t="s">
        <v>57</v>
      </c>
      <c r="J1083">
        <v>1</v>
      </c>
      <c r="K1083">
        <v>0</v>
      </c>
      <c r="L1083">
        <v>0</v>
      </c>
      <c r="M1083">
        <v>0</v>
      </c>
      <c r="N1083">
        <v>0</v>
      </c>
    </row>
    <row r="1084" spans="1:14" hidden="1" x14ac:dyDescent="0.25">
      <c r="A1084" s="120" t="s">
        <v>3463</v>
      </c>
      <c r="B1084" s="120" t="s">
        <v>3464</v>
      </c>
      <c r="C1084" s="120" t="s">
        <v>69</v>
      </c>
      <c r="D1084" s="120" t="s">
        <v>3501</v>
      </c>
      <c r="E1084" s="120" t="s">
        <v>95</v>
      </c>
      <c r="F1084" s="120" t="s">
        <v>18</v>
      </c>
      <c r="G1084" s="120">
        <v>14</v>
      </c>
      <c r="H1084">
        <v>0</v>
      </c>
      <c r="I1084" s="120" t="s">
        <v>57</v>
      </c>
      <c r="J1084">
        <v>14</v>
      </c>
      <c r="K1084">
        <v>0</v>
      </c>
      <c r="L1084">
        <v>0</v>
      </c>
      <c r="M1084">
        <v>0</v>
      </c>
      <c r="N1084">
        <v>0</v>
      </c>
    </row>
    <row r="1085" spans="1:14" hidden="1" x14ac:dyDescent="0.25">
      <c r="A1085" s="120" t="s">
        <v>3463</v>
      </c>
      <c r="B1085" s="120" t="s">
        <v>3464</v>
      </c>
      <c r="C1085" s="120" t="s">
        <v>69</v>
      </c>
      <c r="D1085" s="120" t="s">
        <v>3498</v>
      </c>
      <c r="E1085" s="120" t="s">
        <v>92</v>
      </c>
      <c r="F1085" s="120" t="s">
        <v>18</v>
      </c>
      <c r="G1085" s="120">
        <v>9</v>
      </c>
      <c r="H1085">
        <v>0</v>
      </c>
      <c r="I1085" s="120" t="s">
        <v>57</v>
      </c>
      <c r="J1085">
        <v>9</v>
      </c>
      <c r="K1085">
        <v>0</v>
      </c>
      <c r="L1085">
        <v>0</v>
      </c>
      <c r="M1085">
        <v>0</v>
      </c>
      <c r="N1085">
        <v>0</v>
      </c>
    </row>
    <row r="1086" spans="1:14" hidden="1" x14ac:dyDescent="0.25">
      <c r="A1086" s="120" t="s">
        <v>3463</v>
      </c>
      <c r="B1086" s="120" t="s">
        <v>3464</v>
      </c>
      <c r="C1086" s="120" t="s">
        <v>69</v>
      </c>
      <c r="D1086" s="120" t="s">
        <v>672</v>
      </c>
      <c r="E1086" s="120" t="s">
        <v>81</v>
      </c>
      <c r="F1086" s="120" t="s">
        <v>18</v>
      </c>
      <c r="G1086" s="120">
        <v>75</v>
      </c>
      <c r="H1086">
        <v>0</v>
      </c>
      <c r="I1086" s="120" t="s">
        <v>57</v>
      </c>
      <c r="J1086">
        <v>75</v>
      </c>
      <c r="K1086">
        <v>0</v>
      </c>
      <c r="L1086">
        <v>68</v>
      </c>
      <c r="M1086">
        <v>5100</v>
      </c>
      <c r="N1086">
        <v>0</v>
      </c>
    </row>
    <row r="1087" spans="1:14" hidden="1" x14ac:dyDescent="0.25">
      <c r="A1087" s="120" t="s">
        <v>3463</v>
      </c>
      <c r="B1087" s="120" t="s">
        <v>3464</v>
      </c>
      <c r="C1087" s="120" t="s">
        <v>69</v>
      </c>
      <c r="D1087" s="120" t="s">
        <v>3492</v>
      </c>
      <c r="E1087" s="120" t="s">
        <v>86</v>
      </c>
      <c r="F1087" s="120" t="s">
        <v>18</v>
      </c>
      <c r="G1087" s="120">
        <v>9</v>
      </c>
      <c r="H1087">
        <v>0</v>
      </c>
      <c r="I1087" s="120" t="s">
        <v>57</v>
      </c>
      <c r="J1087">
        <v>9</v>
      </c>
      <c r="K1087">
        <v>0</v>
      </c>
      <c r="L1087">
        <v>0</v>
      </c>
      <c r="M1087">
        <v>0</v>
      </c>
      <c r="N1087">
        <v>0</v>
      </c>
    </row>
    <row r="1088" spans="1:14" hidden="1" x14ac:dyDescent="0.25">
      <c r="A1088" s="120" t="s">
        <v>3463</v>
      </c>
      <c r="B1088" s="120" t="s">
        <v>3464</v>
      </c>
      <c r="C1088" s="120" t="s">
        <v>69</v>
      </c>
      <c r="D1088" s="120" t="s">
        <v>662</v>
      </c>
      <c r="E1088" s="120" t="s">
        <v>82</v>
      </c>
      <c r="F1088" s="120" t="s">
        <v>10</v>
      </c>
      <c r="G1088" s="120">
        <v>47</v>
      </c>
      <c r="H1088">
        <v>48</v>
      </c>
      <c r="I1088" s="120" t="s">
        <v>57</v>
      </c>
      <c r="J1088">
        <v>-1</v>
      </c>
      <c r="K1088">
        <v>0</v>
      </c>
      <c r="L1088">
        <v>68</v>
      </c>
      <c r="M1088">
        <v>3196</v>
      </c>
      <c r="N1088">
        <v>3264</v>
      </c>
    </row>
    <row r="1089" spans="1:14" hidden="1" x14ac:dyDescent="0.25">
      <c r="A1089" s="120" t="s">
        <v>3463</v>
      </c>
      <c r="B1089" s="120" t="s">
        <v>3464</v>
      </c>
      <c r="C1089" s="120" t="s">
        <v>69</v>
      </c>
      <c r="D1089" s="120" t="s">
        <v>3500</v>
      </c>
      <c r="E1089" s="120" t="s">
        <v>94</v>
      </c>
      <c r="F1089" s="120" t="s">
        <v>18</v>
      </c>
      <c r="G1089" s="120">
        <v>20</v>
      </c>
      <c r="H1089">
        <v>0</v>
      </c>
      <c r="I1089" s="120" t="s">
        <v>57</v>
      </c>
      <c r="J1089">
        <v>20</v>
      </c>
      <c r="K1089">
        <v>0</v>
      </c>
      <c r="L1089">
        <v>0</v>
      </c>
      <c r="M1089">
        <v>0</v>
      </c>
      <c r="N1089">
        <v>0</v>
      </c>
    </row>
    <row r="1090" spans="1:14" hidden="1" x14ac:dyDescent="0.25">
      <c r="A1090" s="120" t="s">
        <v>3463</v>
      </c>
      <c r="B1090" s="120" t="s">
        <v>3464</v>
      </c>
      <c r="C1090" s="120" t="s">
        <v>69</v>
      </c>
      <c r="D1090" s="120" t="s">
        <v>3499</v>
      </c>
      <c r="E1090" s="120" t="s">
        <v>93</v>
      </c>
      <c r="F1090" s="120" t="s">
        <v>18</v>
      </c>
      <c r="G1090" s="120">
        <v>11</v>
      </c>
      <c r="H1090">
        <v>0</v>
      </c>
      <c r="I1090" s="120" t="s">
        <v>57</v>
      </c>
      <c r="J1090">
        <v>11</v>
      </c>
      <c r="K1090">
        <v>0</v>
      </c>
      <c r="L1090">
        <v>0</v>
      </c>
      <c r="M1090">
        <v>0</v>
      </c>
      <c r="N1090">
        <v>0</v>
      </c>
    </row>
    <row r="1091" spans="1:14" hidden="1" x14ac:dyDescent="0.25">
      <c r="A1091" s="120" t="s">
        <v>3463</v>
      </c>
      <c r="B1091" s="120" t="s">
        <v>3464</v>
      </c>
      <c r="C1091" s="120" t="s">
        <v>69</v>
      </c>
      <c r="D1091" s="120" t="s">
        <v>589</v>
      </c>
      <c r="E1091" s="120" t="s">
        <v>72</v>
      </c>
      <c r="F1091" s="120" t="s">
        <v>71</v>
      </c>
      <c r="G1091" s="120">
        <v>16</v>
      </c>
      <c r="H1091">
        <v>0</v>
      </c>
      <c r="I1091" s="120" t="s">
        <v>57</v>
      </c>
      <c r="J1091">
        <v>16</v>
      </c>
      <c r="K1091">
        <v>0</v>
      </c>
      <c r="L1091">
        <v>45</v>
      </c>
      <c r="M1091">
        <v>720</v>
      </c>
      <c r="N1091">
        <v>0</v>
      </c>
    </row>
    <row r="1092" spans="1:14" hidden="1" x14ac:dyDescent="0.25">
      <c r="A1092" s="120" t="s">
        <v>3463</v>
      </c>
      <c r="B1092" s="120" t="s">
        <v>3464</v>
      </c>
      <c r="C1092" s="120" t="s">
        <v>69</v>
      </c>
      <c r="D1092" s="120" t="s">
        <v>3493</v>
      </c>
      <c r="E1092" s="120" t="s">
        <v>87</v>
      </c>
      <c r="F1092" s="120" t="s">
        <v>18</v>
      </c>
      <c r="G1092" s="120">
        <v>14</v>
      </c>
      <c r="H1092">
        <v>0</v>
      </c>
      <c r="I1092" s="120" t="s">
        <v>57</v>
      </c>
      <c r="J1092">
        <v>14</v>
      </c>
      <c r="K1092">
        <v>0</v>
      </c>
      <c r="L1092">
        <v>0</v>
      </c>
      <c r="M1092">
        <v>0</v>
      </c>
      <c r="N1092">
        <v>0</v>
      </c>
    </row>
    <row r="1093" spans="1:14" hidden="1" x14ac:dyDescent="0.25">
      <c r="A1093" s="120" t="s">
        <v>3463</v>
      </c>
      <c r="B1093" s="120" t="s">
        <v>3464</v>
      </c>
      <c r="C1093" s="120" t="s">
        <v>69</v>
      </c>
      <c r="D1093" s="120" t="s">
        <v>3494</v>
      </c>
      <c r="E1093" s="120" t="s">
        <v>88</v>
      </c>
      <c r="F1093" s="120" t="s">
        <v>18</v>
      </c>
      <c r="G1093" s="120">
        <v>12</v>
      </c>
      <c r="H1093">
        <v>0</v>
      </c>
      <c r="I1093" s="120" t="s">
        <v>57</v>
      </c>
      <c r="J1093">
        <v>12</v>
      </c>
      <c r="K1093">
        <v>0</v>
      </c>
      <c r="L1093">
        <v>0</v>
      </c>
      <c r="M1093">
        <v>0</v>
      </c>
      <c r="N1093">
        <v>0</v>
      </c>
    </row>
    <row r="1094" spans="1:14" hidden="1" x14ac:dyDescent="0.25">
      <c r="A1094" s="120" t="s">
        <v>3463</v>
      </c>
      <c r="B1094" s="120" t="s">
        <v>3464</v>
      </c>
      <c r="C1094" s="120" t="s">
        <v>69</v>
      </c>
      <c r="D1094" s="120" t="s">
        <v>3490</v>
      </c>
      <c r="E1094" s="120" t="s">
        <v>84</v>
      </c>
      <c r="F1094" s="120" t="s">
        <v>18</v>
      </c>
      <c r="G1094" s="120">
        <v>3</v>
      </c>
      <c r="H1094">
        <v>0</v>
      </c>
      <c r="I1094" s="120" t="s">
        <v>57</v>
      </c>
      <c r="J1094">
        <v>3</v>
      </c>
      <c r="K1094">
        <v>0</v>
      </c>
      <c r="L1094">
        <v>0</v>
      </c>
      <c r="M1094">
        <v>0</v>
      </c>
      <c r="N1094">
        <v>0</v>
      </c>
    </row>
    <row r="1095" spans="1:14" hidden="1" x14ac:dyDescent="0.25">
      <c r="A1095" s="120" t="s">
        <v>3463</v>
      </c>
      <c r="B1095" s="120" t="s">
        <v>3818</v>
      </c>
      <c r="C1095" s="120" t="s">
        <v>301</v>
      </c>
      <c r="D1095" s="120" t="s">
        <v>1189</v>
      </c>
      <c r="E1095" s="120" t="s">
        <v>44</v>
      </c>
      <c r="F1095" s="120" t="s">
        <v>18</v>
      </c>
      <c r="G1095" s="120">
        <v>1</v>
      </c>
      <c r="H1095">
        <v>2</v>
      </c>
      <c r="I1095" s="120" t="s">
        <v>11</v>
      </c>
      <c r="J1095">
        <v>-1</v>
      </c>
      <c r="K1095">
        <v>0</v>
      </c>
      <c r="L1095">
        <v>58</v>
      </c>
      <c r="M1095">
        <v>58</v>
      </c>
      <c r="N1095">
        <v>116</v>
      </c>
    </row>
    <row r="1096" spans="1:14" hidden="1" x14ac:dyDescent="0.25">
      <c r="A1096" s="120" t="s">
        <v>3463</v>
      </c>
      <c r="B1096" s="120" t="s">
        <v>3818</v>
      </c>
      <c r="C1096" s="120" t="s">
        <v>69</v>
      </c>
      <c r="D1096" s="120" t="s">
        <v>687</v>
      </c>
      <c r="E1096" s="120" t="s">
        <v>99</v>
      </c>
      <c r="F1096" s="120" t="s">
        <v>10</v>
      </c>
      <c r="G1096" s="120">
        <v>0</v>
      </c>
      <c r="H1096">
        <v>3</v>
      </c>
      <c r="I1096" s="120" t="s">
        <v>11</v>
      </c>
      <c r="J1096">
        <v>-3</v>
      </c>
      <c r="K1096">
        <v>0</v>
      </c>
      <c r="L1096">
        <v>9</v>
      </c>
      <c r="M1096">
        <v>0</v>
      </c>
      <c r="N1096">
        <v>27</v>
      </c>
    </row>
    <row r="1097" spans="1:14" hidden="1" x14ac:dyDescent="0.25">
      <c r="A1097" s="120" t="s">
        <v>3463</v>
      </c>
      <c r="B1097" s="120" t="s">
        <v>3818</v>
      </c>
      <c r="C1097" s="120" t="s">
        <v>69</v>
      </c>
      <c r="D1097" s="120" t="s">
        <v>740</v>
      </c>
      <c r="E1097" s="120" t="s">
        <v>103</v>
      </c>
      <c r="F1097" s="120" t="s">
        <v>14</v>
      </c>
      <c r="G1097" s="120">
        <v>0</v>
      </c>
      <c r="H1097">
        <v>6</v>
      </c>
      <c r="I1097" s="120" t="s">
        <v>11</v>
      </c>
      <c r="J1097">
        <v>-6</v>
      </c>
      <c r="K1097">
        <v>0</v>
      </c>
      <c r="L1097">
        <v>29</v>
      </c>
      <c r="M1097">
        <v>0</v>
      </c>
      <c r="N1097">
        <v>174</v>
      </c>
    </row>
    <row r="1098" spans="1:14" hidden="1" x14ac:dyDescent="0.25">
      <c r="A1098" s="120" t="s">
        <v>3463</v>
      </c>
      <c r="B1098" s="120" t="s">
        <v>3818</v>
      </c>
      <c r="C1098" s="120" t="s">
        <v>69</v>
      </c>
      <c r="D1098" s="120" t="s">
        <v>1134</v>
      </c>
      <c r="E1098" s="120" t="s">
        <v>111</v>
      </c>
      <c r="F1098" s="120" t="s">
        <v>10</v>
      </c>
      <c r="G1098" s="120">
        <v>0</v>
      </c>
      <c r="H1098">
        <v>3</v>
      </c>
      <c r="I1098" s="120" t="s">
        <v>11</v>
      </c>
      <c r="J1098">
        <v>-3</v>
      </c>
      <c r="K1098">
        <v>0</v>
      </c>
      <c r="L1098">
        <v>34</v>
      </c>
      <c r="M1098">
        <v>0</v>
      </c>
      <c r="N1098">
        <v>102</v>
      </c>
    </row>
    <row r="1099" spans="1:14" hidden="1" x14ac:dyDescent="0.25">
      <c r="A1099" s="120" t="s">
        <v>3463</v>
      </c>
      <c r="B1099" s="120" t="s">
        <v>3818</v>
      </c>
      <c r="C1099" s="120" t="s">
        <v>69</v>
      </c>
      <c r="D1099" s="120" t="s">
        <v>1192</v>
      </c>
      <c r="E1099" s="120" t="s">
        <v>124</v>
      </c>
      <c r="F1099" s="120" t="s">
        <v>14</v>
      </c>
      <c r="G1099" s="120">
        <v>1</v>
      </c>
      <c r="H1099">
        <v>0</v>
      </c>
      <c r="I1099" s="120" t="s">
        <v>11</v>
      </c>
      <c r="J1099">
        <v>1</v>
      </c>
      <c r="K1099">
        <v>0</v>
      </c>
      <c r="L1099">
        <v>3.5</v>
      </c>
      <c r="M1099">
        <v>3.5</v>
      </c>
      <c r="N1099">
        <v>0</v>
      </c>
    </row>
    <row r="1100" spans="1:14" hidden="1" x14ac:dyDescent="0.25">
      <c r="A1100" s="120" t="s">
        <v>3463</v>
      </c>
      <c r="B1100" s="120" t="s">
        <v>3818</v>
      </c>
      <c r="C1100" s="120" t="s">
        <v>69</v>
      </c>
      <c r="D1100" s="120" t="s">
        <v>1757</v>
      </c>
      <c r="E1100" s="120" t="s">
        <v>122</v>
      </c>
      <c r="F1100" s="120" t="s">
        <v>14</v>
      </c>
      <c r="G1100" s="120">
        <v>0</v>
      </c>
      <c r="H1100">
        <v>2</v>
      </c>
      <c r="I1100" s="120" t="s">
        <v>11</v>
      </c>
      <c r="J1100">
        <v>-2</v>
      </c>
      <c r="K1100">
        <v>0</v>
      </c>
      <c r="L1100">
        <v>170</v>
      </c>
      <c r="M1100">
        <v>0</v>
      </c>
      <c r="N1100">
        <v>340</v>
      </c>
    </row>
    <row r="1101" spans="1:14" hidden="1" x14ac:dyDescent="0.25">
      <c r="A1101" s="120" t="s">
        <v>3463</v>
      </c>
      <c r="B1101" s="120" t="s">
        <v>3818</v>
      </c>
      <c r="C1101" s="120" t="s">
        <v>69</v>
      </c>
      <c r="D1101" s="120" t="s">
        <v>1760</v>
      </c>
      <c r="E1101" s="120" t="s">
        <v>123</v>
      </c>
      <c r="F1101" s="120" t="s">
        <v>14</v>
      </c>
      <c r="G1101" s="120">
        <v>0</v>
      </c>
      <c r="H1101">
        <v>2</v>
      </c>
      <c r="I1101" s="120" t="s">
        <v>11</v>
      </c>
      <c r="J1101">
        <v>-2</v>
      </c>
      <c r="K1101">
        <v>0</v>
      </c>
      <c r="L1101">
        <v>165</v>
      </c>
      <c r="M1101">
        <v>0</v>
      </c>
      <c r="N1101">
        <v>330</v>
      </c>
    </row>
    <row r="1102" spans="1:14" hidden="1" x14ac:dyDescent="0.25">
      <c r="A1102" s="120" t="s">
        <v>3463</v>
      </c>
      <c r="B1102" s="120" t="s">
        <v>3818</v>
      </c>
      <c r="C1102" s="120" t="s">
        <v>69</v>
      </c>
      <c r="D1102" s="120" t="s">
        <v>678</v>
      </c>
      <c r="E1102" s="120" t="s">
        <v>97</v>
      </c>
      <c r="F1102" s="120" t="s">
        <v>10</v>
      </c>
      <c r="G1102" s="120">
        <v>0</v>
      </c>
      <c r="H1102">
        <v>3</v>
      </c>
      <c r="I1102" s="120" t="s">
        <v>11</v>
      </c>
      <c r="J1102">
        <v>-3</v>
      </c>
      <c r="K1102">
        <v>0</v>
      </c>
      <c r="L1102">
        <v>34</v>
      </c>
      <c r="M1102">
        <v>0</v>
      </c>
      <c r="N1102">
        <v>102</v>
      </c>
    </row>
    <row r="1103" spans="1:14" hidden="1" x14ac:dyDescent="0.25">
      <c r="A1103" s="120" t="s">
        <v>3772</v>
      </c>
      <c r="B1103" s="120" t="s">
        <v>3773</v>
      </c>
      <c r="C1103" s="120" t="s">
        <v>301</v>
      </c>
      <c r="D1103" s="120" t="s">
        <v>556</v>
      </c>
      <c r="E1103" s="120" t="s">
        <v>557</v>
      </c>
      <c r="F1103" s="120"/>
      <c r="G1103" s="120">
        <v>1</v>
      </c>
      <c r="H1103">
        <v>1</v>
      </c>
      <c r="I1103" s="120" t="s">
        <v>57</v>
      </c>
      <c r="J1103">
        <v>0</v>
      </c>
      <c r="K1103">
        <v>1</v>
      </c>
      <c r="L1103" s="121">
        <v>18.98</v>
      </c>
      <c r="M1103" s="121">
        <v>18.98</v>
      </c>
      <c r="N1103" s="121">
        <v>18.98</v>
      </c>
    </row>
    <row r="1104" spans="1:14" hidden="1" x14ac:dyDescent="0.25">
      <c r="A1104" s="120" t="s">
        <v>3463</v>
      </c>
      <c r="B1104" s="120" t="s">
        <v>3818</v>
      </c>
      <c r="C1104" s="120" t="s">
        <v>69</v>
      </c>
      <c r="D1104" s="120" t="s">
        <v>3502</v>
      </c>
      <c r="E1104" s="120" t="s">
        <v>96</v>
      </c>
      <c r="F1104" s="120" t="s">
        <v>10</v>
      </c>
      <c r="G1104" s="120">
        <v>0</v>
      </c>
      <c r="H1104">
        <v>0</v>
      </c>
      <c r="I1104" s="120" t="s">
        <v>11</v>
      </c>
      <c r="J1104">
        <v>0</v>
      </c>
      <c r="K1104">
        <v>1</v>
      </c>
      <c r="L1104" s="121">
        <v>0</v>
      </c>
      <c r="M1104" s="121">
        <v>0</v>
      </c>
      <c r="N1104" s="121">
        <v>0</v>
      </c>
    </row>
    <row r="1105" spans="1:14" hidden="1" x14ac:dyDescent="0.25">
      <c r="A1105" s="120" t="s">
        <v>3463</v>
      </c>
      <c r="B1105" s="120" t="s">
        <v>3818</v>
      </c>
      <c r="C1105" s="120" t="s">
        <v>69</v>
      </c>
      <c r="D1105" s="120" t="s">
        <v>1240</v>
      </c>
      <c r="E1105" s="120" t="s">
        <v>293</v>
      </c>
      <c r="F1105" s="120" t="s">
        <v>294</v>
      </c>
      <c r="G1105" s="120">
        <v>0</v>
      </c>
      <c r="H1105">
        <v>5</v>
      </c>
      <c r="I1105" s="120" t="s">
        <v>11</v>
      </c>
      <c r="J1105">
        <v>-5</v>
      </c>
      <c r="K1105">
        <v>0</v>
      </c>
      <c r="L1105">
        <v>0</v>
      </c>
      <c r="M1105">
        <v>0</v>
      </c>
      <c r="N1105">
        <v>0</v>
      </c>
    </row>
    <row r="1106" spans="1:14" hidden="1" x14ac:dyDescent="0.25">
      <c r="A1106" s="120" t="s">
        <v>3463</v>
      </c>
      <c r="B1106" s="120" t="s">
        <v>3818</v>
      </c>
      <c r="C1106" s="120" t="s">
        <v>69</v>
      </c>
      <c r="D1106" s="120" t="s">
        <v>3522</v>
      </c>
      <c r="E1106" s="120" t="s">
        <v>167</v>
      </c>
      <c r="F1106" s="120" t="s">
        <v>10</v>
      </c>
      <c r="G1106" s="120">
        <v>1</v>
      </c>
      <c r="H1106">
        <v>0</v>
      </c>
      <c r="I1106" s="120" t="s">
        <v>11</v>
      </c>
      <c r="J1106">
        <v>1</v>
      </c>
      <c r="K1106">
        <v>0</v>
      </c>
      <c r="L1106">
        <v>0</v>
      </c>
      <c r="M1106">
        <v>0</v>
      </c>
      <c r="N1106">
        <v>0</v>
      </c>
    </row>
    <row r="1107" spans="1:14" hidden="1" x14ac:dyDescent="0.25">
      <c r="A1107" s="120" t="s">
        <v>3463</v>
      </c>
      <c r="B1107" s="120" t="s">
        <v>3818</v>
      </c>
      <c r="C1107" s="120" t="s">
        <v>69</v>
      </c>
      <c r="D1107" s="120" t="s">
        <v>3527</v>
      </c>
      <c r="E1107" s="120" t="s">
        <v>185</v>
      </c>
      <c r="F1107" s="120" t="s">
        <v>10</v>
      </c>
      <c r="G1107" s="120">
        <v>0</v>
      </c>
      <c r="H1107">
        <v>0</v>
      </c>
      <c r="I1107" s="120" t="s">
        <v>11</v>
      </c>
      <c r="J1107">
        <v>0</v>
      </c>
      <c r="K1107">
        <v>1</v>
      </c>
      <c r="L1107" s="121">
        <v>0</v>
      </c>
      <c r="M1107" s="121">
        <v>0</v>
      </c>
      <c r="N1107" s="121">
        <v>0</v>
      </c>
    </row>
    <row r="1108" spans="1:14" hidden="1" x14ac:dyDescent="0.25">
      <c r="A1108" s="120" t="s">
        <v>3463</v>
      </c>
      <c r="B1108" s="120" t="s">
        <v>3818</v>
      </c>
      <c r="C1108" s="120" t="s">
        <v>69</v>
      </c>
      <c r="D1108" s="120" t="s">
        <v>1769</v>
      </c>
      <c r="E1108" s="120" t="s">
        <v>531</v>
      </c>
      <c r="F1108" s="120" t="s">
        <v>10</v>
      </c>
      <c r="G1108" s="120">
        <v>1</v>
      </c>
      <c r="H1108">
        <v>2</v>
      </c>
      <c r="I1108" s="120" t="s">
        <v>47</v>
      </c>
      <c r="J1108">
        <v>-1</v>
      </c>
      <c r="K1108">
        <v>0</v>
      </c>
      <c r="L1108">
        <v>139</v>
      </c>
      <c r="M1108">
        <v>139</v>
      </c>
      <c r="N1108">
        <v>278</v>
      </c>
    </row>
    <row r="1109" spans="1:14" hidden="1" x14ac:dyDescent="0.25">
      <c r="A1109" s="120" t="s">
        <v>3463</v>
      </c>
      <c r="B1109" s="120" t="s">
        <v>3818</v>
      </c>
      <c r="C1109" s="120" t="s">
        <v>69</v>
      </c>
      <c r="D1109" s="120" t="s">
        <v>1100</v>
      </c>
      <c r="E1109" s="120" t="s">
        <v>521</v>
      </c>
      <c r="F1109" s="120" t="s">
        <v>10</v>
      </c>
      <c r="G1109" s="120">
        <v>1</v>
      </c>
      <c r="H1109">
        <v>2</v>
      </c>
      <c r="I1109" s="120" t="s">
        <v>47</v>
      </c>
      <c r="J1109">
        <v>-1</v>
      </c>
      <c r="K1109">
        <v>0</v>
      </c>
      <c r="L1109">
        <v>68</v>
      </c>
      <c r="M1109">
        <v>68</v>
      </c>
      <c r="N1109">
        <v>136</v>
      </c>
    </row>
    <row r="1110" spans="1:14" hidden="1" x14ac:dyDescent="0.25">
      <c r="A1110" s="120" t="s">
        <v>3463</v>
      </c>
      <c r="B1110" s="120" t="s">
        <v>3818</v>
      </c>
      <c r="C1110" s="120" t="s">
        <v>69</v>
      </c>
      <c r="D1110" s="120" t="s">
        <v>566</v>
      </c>
      <c r="E1110" s="120" t="s">
        <v>567</v>
      </c>
      <c r="F1110" s="120" t="s">
        <v>14</v>
      </c>
      <c r="G1110" s="120">
        <v>2</v>
      </c>
      <c r="H1110">
        <v>3</v>
      </c>
      <c r="I1110" s="120" t="s">
        <v>47</v>
      </c>
      <c r="J1110">
        <v>-1</v>
      </c>
      <c r="K1110">
        <v>0</v>
      </c>
      <c r="L1110">
        <v>25.7</v>
      </c>
      <c r="M1110">
        <v>51.4</v>
      </c>
      <c r="N1110">
        <v>77.099999999999994</v>
      </c>
    </row>
    <row r="1111" spans="1:14" hidden="1" x14ac:dyDescent="0.25">
      <c r="A1111" s="120" t="s">
        <v>3463</v>
      </c>
      <c r="B1111" s="120" t="s">
        <v>3818</v>
      </c>
      <c r="C1111" s="120" t="s">
        <v>69</v>
      </c>
      <c r="D1111" s="120" t="s">
        <v>726</v>
      </c>
      <c r="E1111" s="120" t="s">
        <v>178</v>
      </c>
      <c r="F1111" s="120" t="s">
        <v>18</v>
      </c>
      <c r="G1111" s="120">
        <v>20</v>
      </c>
      <c r="H1111">
        <v>1</v>
      </c>
      <c r="I1111" s="120" t="s">
        <v>47</v>
      </c>
      <c r="J1111">
        <v>19</v>
      </c>
      <c r="K1111">
        <v>0</v>
      </c>
      <c r="L1111">
        <v>85</v>
      </c>
      <c r="M1111">
        <v>1700</v>
      </c>
      <c r="N1111">
        <v>85</v>
      </c>
    </row>
    <row r="1112" spans="1:14" hidden="1" x14ac:dyDescent="0.25">
      <c r="A1112" s="120" t="s">
        <v>3772</v>
      </c>
      <c r="B1112" s="120" t="s">
        <v>3773</v>
      </c>
      <c r="C1112" s="120" t="s">
        <v>69</v>
      </c>
      <c r="D1112" s="120" t="s">
        <v>687</v>
      </c>
      <c r="E1112" s="120" t="s">
        <v>99</v>
      </c>
      <c r="F1112" s="120" t="s">
        <v>10</v>
      </c>
      <c r="G1112" s="120">
        <v>19</v>
      </c>
      <c r="H1112">
        <v>10</v>
      </c>
      <c r="I1112" s="120" t="s">
        <v>11</v>
      </c>
      <c r="J1112">
        <v>9</v>
      </c>
      <c r="K1112">
        <v>0</v>
      </c>
      <c r="L1112">
        <v>9</v>
      </c>
      <c r="M1112">
        <v>171</v>
      </c>
      <c r="N1112">
        <v>90</v>
      </c>
    </row>
    <row r="1113" spans="1:14" hidden="1" x14ac:dyDescent="0.25">
      <c r="A1113" s="120" t="s">
        <v>3772</v>
      </c>
      <c r="B1113" s="120" t="s">
        <v>3773</v>
      </c>
      <c r="C1113" s="120" t="s">
        <v>69</v>
      </c>
      <c r="D1113" s="120" t="s">
        <v>725</v>
      </c>
      <c r="E1113" s="120" t="s">
        <v>519</v>
      </c>
      <c r="F1113" s="120" t="s">
        <v>10</v>
      </c>
      <c r="G1113" s="120">
        <v>0</v>
      </c>
      <c r="H1113">
        <v>11</v>
      </c>
      <c r="I1113" s="120" t="s">
        <v>11</v>
      </c>
      <c r="J1113">
        <v>-11</v>
      </c>
      <c r="K1113">
        <v>0</v>
      </c>
      <c r="L1113">
        <v>140</v>
      </c>
      <c r="M1113">
        <v>0</v>
      </c>
      <c r="N1113">
        <v>1540</v>
      </c>
    </row>
    <row r="1114" spans="1:14" hidden="1" x14ac:dyDescent="0.25">
      <c r="A1114" s="120" t="s">
        <v>3772</v>
      </c>
      <c r="B1114" s="120" t="s">
        <v>3773</v>
      </c>
      <c r="C1114" s="120" t="s">
        <v>69</v>
      </c>
      <c r="D1114" s="120" t="s">
        <v>741</v>
      </c>
      <c r="E1114" s="120" t="s">
        <v>742</v>
      </c>
      <c r="F1114" s="120" t="s">
        <v>14</v>
      </c>
      <c r="G1114" s="120">
        <v>131</v>
      </c>
      <c r="H1114">
        <v>41</v>
      </c>
      <c r="I1114" s="120" t="s">
        <v>11</v>
      </c>
      <c r="J1114">
        <v>90</v>
      </c>
      <c r="K1114">
        <v>0</v>
      </c>
      <c r="L1114">
        <v>24.5</v>
      </c>
      <c r="M1114">
        <v>3209.5</v>
      </c>
      <c r="N1114">
        <v>1004.5</v>
      </c>
    </row>
    <row r="1115" spans="1:14" hidden="1" x14ac:dyDescent="0.25">
      <c r="A1115" s="120" t="s">
        <v>3772</v>
      </c>
      <c r="B1115" s="120" t="s">
        <v>3773</v>
      </c>
      <c r="C1115" s="120" t="s">
        <v>69</v>
      </c>
      <c r="D1115" s="120" t="s">
        <v>1214</v>
      </c>
      <c r="E1115" s="120" t="s">
        <v>1215</v>
      </c>
      <c r="F1115" s="120" t="s">
        <v>18</v>
      </c>
      <c r="G1115" s="120">
        <v>35</v>
      </c>
      <c r="H1115">
        <v>38</v>
      </c>
      <c r="I1115" s="120" t="s">
        <v>11</v>
      </c>
      <c r="J1115">
        <v>-3</v>
      </c>
      <c r="K1115">
        <v>0</v>
      </c>
      <c r="L1115">
        <v>48</v>
      </c>
      <c r="M1115">
        <v>1680</v>
      </c>
      <c r="N1115">
        <v>1824</v>
      </c>
    </row>
    <row r="1116" spans="1:14" hidden="1" x14ac:dyDescent="0.25">
      <c r="A1116" s="120" t="s">
        <v>3772</v>
      </c>
      <c r="B1116" s="120" t="s">
        <v>3773</v>
      </c>
      <c r="C1116" s="120" t="s">
        <v>69</v>
      </c>
      <c r="D1116" s="120" t="s">
        <v>3502</v>
      </c>
      <c r="E1116" s="120" t="s">
        <v>96</v>
      </c>
      <c r="F1116" s="120" t="s">
        <v>10</v>
      </c>
      <c r="G1116" s="120">
        <v>22</v>
      </c>
      <c r="H1116">
        <v>0</v>
      </c>
      <c r="I1116" s="120" t="s">
        <v>11</v>
      </c>
      <c r="J1116">
        <v>22</v>
      </c>
      <c r="K1116">
        <v>0</v>
      </c>
      <c r="L1116">
        <v>0</v>
      </c>
      <c r="M1116">
        <v>0</v>
      </c>
      <c r="N1116">
        <v>0</v>
      </c>
    </row>
    <row r="1117" spans="1:14" hidden="1" x14ac:dyDescent="0.25">
      <c r="A1117" s="120" t="s">
        <v>3772</v>
      </c>
      <c r="B1117" s="120" t="s">
        <v>3773</v>
      </c>
      <c r="C1117" s="120" t="s">
        <v>69</v>
      </c>
      <c r="D1117" s="120" t="s">
        <v>1134</v>
      </c>
      <c r="E1117" s="120" t="s">
        <v>111</v>
      </c>
      <c r="F1117" s="120" t="s">
        <v>10</v>
      </c>
      <c r="G1117" s="120">
        <v>0</v>
      </c>
      <c r="H1117">
        <v>27</v>
      </c>
      <c r="I1117" s="120" t="s">
        <v>11</v>
      </c>
      <c r="J1117">
        <v>-27</v>
      </c>
      <c r="K1117">
        <v>0</v>
      </c>
      <c r="L1117">
        <v>34</v>
      </c>
      <c r="M1117">
        <v>0</v>
      </c>
      <c r="N1117">
        <v>918</v>
      </c>
    </row>
    <row r="1118" spans="1:14" hidden="1" x14ac:dyDescent="0.25">
      <c r="A1118" s="120" t="s">
        <v>3772</v>
      </c>
      <c r="B1118" s="120" t="s">
        <v>3773</v>
      </c>
      <c r="C1118" s="120" t="s">
        <v>69</v>
      </c>
      <c r="D1118" s="120" t="s">
        <v>593</v>
      </c>
      <c r="E1118" s="120" t="s">
        <v>76</v>
      </c>
      <c r="F1118" s="120" t="s">
        <v>71</v>
      </c>
      <c r="G1118" s="120">
        <v>25</v>
      </c>
      <c r="H1118">
        <v>10</v>
      </c>
      <c r="I1118" s="120" t="s">
        <v>11</v>
      </c>
      <c r="J1118">
        <v>15</v>
      </c>
      <c r="K1118">
        <v>0</v>
      </c>
      <c r="L1118">
        <v>54</v>
      </c>
      <c r="M1118">
        <v>1350</v>
      </c>
      <c r="N1118">
        <v>540</v>
      </c>
    </row>
    <row r="1119" spans="1:14" hidden="1" x14ac:dyDescent="0.25">
      <c r="A1119" s="120" t="s">
        <v>3772</v>
      </c>
      <c r="B1119" s="120" t="s">
        <v>3773</v>
      </c>
      <c r="C1119" s="120" t="s">
        <v>69</v>
      </c>
      <c r="D1119" s="120" t="s">
        <v>594</v>
      </c>
      <c r="E1119" s="120" t="s">
        <v>171</v>
      </c>
      <c r="F1119" s="120" t="s">
        <v>71</v>
      </c>
      <c r="G1119" s="120">
        <v>17</v>
      </c>
      <c r="H1119">
        <v>12</v>
      </c>
      <c r="I1119" s="120" t="s">
        <v>11</v>
      </c>
      <c r="J1119">
        <v>5</v>
      </c>
      <c r="K1119">
        <v>0</v>
      </c>
      <c r="L1119">
        <v>54</v>
      </c>
      <c r="M1119">
        <v>918</v>
      </c>
      <c r="N1119">
        <v>648</v>
      </c>
    </row>
    <row r="1120" spans="1:14" hidden="1" x14ac:dyDescent="0.25">
      <c r="A1120" s="120" t="s">
        <v>3772</v>
      </c>
      <c r="B1120" s="120" t="s">
        <v>3773</v>
      </c>
      <c r="C1120" s="120" t="s">
        <v>69</v>
      </c>
      <c r="D1120" s="120" t="s">
        <v>1109</v>
      </c>
      <c r="E1120" s="120" t="s">
        <v>182</v>
      </c>
      <c r="F1120" s="120" t="s">
        <v>183</v>
      </c>
      <c r="G1120" s="120">
        <v>135</v>
      </c>
      <c r="H1120">
        <v>52</v>
      </c>
      <c r="I1120" s="120" t="s">
        <v>11</v>
      </c>
      <c r="J1120">
        <v>83</v>
      </c>
      <c r="K1120">
        <v>0</v>
      </c>
      <c r="L1120">
        <v>8</v>
      </c>
      <c r="M1120">
        <v>1080</v>
      </c>
      <c r="N1120">
        <v>416</v>
      </c>
    </row>
    <row r="1121" spans="1:14" hidden="1" x14ac:dyDescent="0.25">
      <c r="A1121" s="120" t="s">
        <v>3772</v>
      </c>
      <c r="B1121" s="120" t="s">
        <v>3773</v>
      </c>
      <c r="C1121" s="120" t="s">
        <v>69</v>
      </c>
      <c r="D1121" s="120" t="s">
        <v>1757</v>
      </c>
      <c r="E1121" s="120" t="s">
        <v>1758</v>
      </c>
      <c r="F1121" s="120" t="s">
        <v>14</v>
      </c>
      <c r="G1121" s="120">
        <v>143</v>
      </c>
      <c r="H1121">
        <v>55</v>
      </c>
      <c r="I1121" s="120" t="s">
        <v>11</v>
      </c>
      <c r="J1121">
        <v>88</v>
      </c>
      <c r="K1121">
        <v>0</v>
      </c>
      <c r="L1121">
        <v>170</v>
      </c>
      <c r="M1121">
        <v>24310</v>
      </c>
      <c r="N1121">
        <v>9350</v>
      </c>
    </row>
    <row r="1122" spans="1:14" hidden="1" x14ac:dyDescent="0.25">
      <c r="A1122" s="120" t="s">
        <v>3772</v>
      </c>
      <c r="B1122" s="120" t="s">
        <v>3773</v>
      </c>
      <c r="C1122" s="120" t="s">
        <v>69</v>
      </c>
      <c r="D1122" s="120" t="s">
        <v>1760</v>
      </c>
      <c r="E1122" s="120" t="s">
        <v>530</v>
      </c>
      <c r="F1122" s="120" t="s">
        <v>14</v>
      </c>
      <c r="G1122" s="120">
        <v>111</v>
      </c>
      <c r="H1122">
        <v>30</v>
      </c>
      <c r="I1122" s="120" t="s">
        <v>11</v>
      </c>
      <c r="J1122">
        <v>81</v>
      </c>
      <c r="K1122">
        <v>0</v>
      </c>
      <c r="L1122">
        <v>165</v>
      </c>
      <c r="M1122">
        <v>18315</v>
      </c>
      <c r="N1122">
        <v>4950</v>
      </c>
    </row>
    <row r="1123" spans="1:14" hidden="1" x14ac:dyDescent="0.25">
      <c r="A1123" s="120" t="s">
        <v>3772</v>
      </c>
      <c r="B1123" s="120" t="s">
        <v>3773</v>
      </c>
      <c r="C1123" s="120" t="s">
        <v>69</v>
      </c>
      <c r="D1123" s="120" t="s">
        <v>3522</v>
      </c>
      <c r="E1123" s="120" t="s">
        <v>167</v>
      </c>
      <c r="F1123" s="120" t="s">
        <v>10</v>
      </c>
      <c r="G1123" s="120">
        <v>85</v>
      </c>
      <c r="H1123">
        <v>0</v>
      </c>
      <c r="I1123" s="120" t="s">
        <v>11</v>
      </c>
      <c r="J1123">
        <v>85</v>
      </c>
      <c r="K1123">
        <v>0</v>
      </c>
      <c r="L1123">
        <v>0</v>
      </c>
      <c r="M1123">
        <v>0</v>
      </c>
      <c r="N1123">
        <v>0</v>
      </c>
    </row>
    <row r="1124" spans="1:14" hidden="1" x14ac:dyDescent="0.25">
      <c r="A1124" s="120" t="s">
        <v>3772</v>
      </c>
      <c r="B1124" s="120" t="s">
        <v>3773</v>
      </c>
      <c r="C1124" s="120" t="s">
        <v>69</v>
      </c>
      <c r="D1124" s="120" t="s">
        <v>1099</v>
      </c>
      <c r="E1124" s="120" t="s">
        <v>180</v>
      </c>
      <c r="F1124" s="120" t="s">
        <v>10</v>
      </c>
      <c r="G1124" s="120">
        <v>73</v>
      </c>
      <c r="H1124">
        <v>12</v>
      </c>
      <c r="I1124" s="120" t="s">
        <v>11</v>
      </c>
      <c r="J1124">
        <v>61</v>
      </c>
      <c r="K1124">
        <v>0</v>
      </c>
      <c r="L1124">
        <v>70</v>
      </c>
      <c r="M1124">
        <v>5110</v>
      </c>
      <c r="N1124">
        <v>840</v>
      </c>
    </row>
    <row r="1125" spans="1:14" hidden="1" x14ac:dyDescent="0.25">
      <c r="A1125" s="120" t="s">
        <v>3772</v>
      </c>
      <c r="B1125" s="120" t="s">
        <v>3773</v>
      </c>
      <c r="C1125" s="120" t="s">
        <v>69</v>
      </c>
      <c r="D1125" s="120" t="s">
        <v>3527</v>
      </c>
      <c r="E1125" s="120" t="s">
        <v>185</v>
      </c>
      <c r="F1125" s="120" t="s">
        <v>10</v>
      </c>
      <c r="G1125" s="120">
        <v>171</v>
      </c>
      <c r="H1125">
        <v>0</v>
      </c>
      <c r="I1125" s="120" t="s">
        <v>11</v>
      </c>
      <c r="J1125">
        <v>171</v>
      </c>
      <c r="K1125">
        <v>0</v>
      </c>
      <c r="L1125">
        <v>0</v>
      </c>
      <c r="M1125">
        <v>0</v>
      </c>
      <c r="N1125">
        <v>0</v>
      </c>
    </row>
    <row r="1126" spans="1:14" hidden="1" x14ac:dyDescent="0.25">
      <c r="A1126" s="120" t="s">
        <v>3772</v>
      </c>
      <c r="B1126" s="120" t="s">
        <v>3773</v>
      </c>
      <c r="C1126" s="120" t="s">
        <v>69</v>
      </c>
      <c r="D1126" s="120" t="s">
        <v>3523</v>
      </c>
      <c r="E1126" s="120" t="s">
        <v>168</v>
      </c>
      <c r="F1126" s="120" t="s">
        <v>18</v>
      </c>
      <c r="G1126" s="120">
        <v>80</v>
      </c>
      <c r="H1126">
        <v>0</v>
      </c>
      <c r="I1126" s="120" t="s">
        <v>11</v>
      </c>
      <c r="J1126">
        <v>80</v>
      </c>
      <c r="K1126">
        <v>0</v>
      </c>
      <c r="L1126">
        <v>0</v>
      </c>
      <c r="M1126">
        <v>0</v>
      </c>
      <c r="N1126">
        <v>0</v>
      </c>
    </row>
    <row r="1127" spans="1:14" hidden="1" x14ac:dyDescent="0.25">
      <c r="A1127" s="120" t="s">
        <v>3772</v>
      </c>
      <c r="B1127" s="120" t="s">
        <v>3773</v>
      </c>
      <c r="C1127" s="120" t="s">
        <v>69</v>
      </c>
      <c r="D1127" s="120" t="s">
        <v>3468</v>
      </c>
      <c r="E1127" s="120" t="s">
        <v>517</v>
      </c>
      <c r="F1127" s="120" t="s">
        <v>14</v>
      </c>
      <c r="G1127" s="120">
        <v>8</v>
      </c>
      <c r="H1127">
        <v>0</v>
      </c>
      <c r="I1127" s="120" t="s">
        <v>11</v>
      </c>
      <c r="J1127">
        <v>8</v>
      </c>
      <c r="K1127">
        <v>0</v>
      </c>
      <c r="L1127">
        <v>0</v>
      </c>
      <c r="M1127">
        <v>0</v>
      </c>
      <c r="N1127">
        <v>0</v>
      </c>
    </row>
    <row r="1128" spans="1:14" hidden="1" x14ac:dyDescent="0.25">
      <c r="A1128" s="120" t="s">
        <v>3772</v>
      </c>
      <c r="B1128" s="120" t="s">
        <v>3773</v>
      </c>
      <c r="C1128" s="120" t="s">
        <v>69</v>
      </c>
      <c r="D1128" s="120" t="s">
        <v>1113</v>
      </c>
      <c r="E1128" s="120" t="s">
        <v>106</v>
      </c>
      <c r="F1128" s="120" t="s">
        <v>18</v>
      </c>
      <c r="G1128" s="120">
        <v>87</v>
      </c>
      <c r="H1128">
        <v>18</v>
      </c>
      <c r="I1128" s="120" t="s">
        <v>11</v>
      </c>
      <c r="J1128">
        <v>69</v>
      </c>
      <c r="K1128">
        <v>0</v>
      </c>
      <c r="L1128">
        <v>99</v>
      </c>
      <c r="M1128">
        <v>8613</v>
      </c>
      <c r="N1128">
        <v>1782</v>
      </c>
    </row>
    <row r="1129" spans="1:14" hidden="1" x14ac:dyDescent="0.25">
      <c r="A1129" s="120" t="s">
        <v>3772</v>
      </c>
      <c r="B1129" s="120" t="s">
        <v>3773</v>
      </c>
      <c r="C1129" s="120" t="s">
        <v>69</v>
      </c>
      <c r="D1129" s="120" t="s">
        <v>1769</v>
      </c>
      <c r="E1129" s="120" t="s">
        <v>531</v>
      </c>
      <c r="F1129" s="120" t="s">
        <v>10</v>
      </c>
      <c r="G1129" s="120">
        <v>92</v>
      </c>
      <c r="H1129">
        <v>33</v>
      </c>
      <c r="I1129" s="120" t="s">
        <v>11</v>
      </c>
      <c r="J1129">
        <v>59</v>
      </c>
      <c r="K1129">
        <v>0</v>
      </c>
      <c r="L1129">
        <v>139</v>
      </c>
      <c r="M1129">
        <v>12788</v>
      </c>
      <c r="N1129">
        <v>4587</v>
      </c>
    </row>
    <row r="1130" spans="1:14" hidden="1" x14ac:dyDescent="0.25">
      <c r="A1130" s="120" t="s">
        <v>3772</v>
      </c>
      <c r="B1130" s="120" t="s">
        <v>3773</v>
      </c>
      <c r="C1130" s="120" t="s">
        <v>69</v>
      </c>
      <c r="D1130" s="120" t="s">
        <v>1100</v>
      </c>
      <c r="E1130" s="120" t="s">
        <v>521</v>
      </c>
      <c r="F1130" s="120" t="s">
        <v>10</v>
      </c>
      <c r="G1130" s="120">
        <v>43</v>
      </c>
      <c r="H1130">
        <v>5</v>
      </c>
      <c r="I1130" s="120" t="s">
        <v>11</v>
      </c>
      <c r="J1130">
        <v>38</v>
      </c>
      <c r="K1130">
        <v>0</v>
      </c>
      <c r="L1130">
        <v>68</v>
      </c>
      <c r="M1130">
        <v>2924</v>
      </c>
      <c r="N1130">
        <v>340</v>
      </c>
    </row>
    <row r="1131" spans="1:14" hidden="1" x14ac:dyDescent="0.25">
      <c r="A1131" s="120" t="s">
        <v>3772</v>
      </c>
      <c r="B1131" s="120" t="s">
        <v>3773</v>
      </c>
      <c r="C1131" s="120" t="s">
        <v>69</v>
      </c>
      <c r="D1131" s="120" t="s">
        <v>1156</v>
      </c>
      <c r="E1131" s="120" t="s">
        <v>115</v>
      </c>
      <c r="F1131" s="120" t="s">
        <v>71</v>
      </c>
      <c r="G1131" s="120">
        <v>37</v>
      </c>
      <c r="H1131">
        <v>3</v>
      </c>
      <c r="I1131" s="120" t="s">
        <v>11</v>
      </c>
      <c r="J1131">
        <v>34</v>
      </c>
      <c r="K1131">
        <v>0</v>
      </c>
      <c r="L1131">
        <v>2.46</v>
      </c>
      <c r="M1131">
        <v>91.02</v>
      </c>
      <c r="N1131">
        <v>7.38</v>
      </c>
    </row>
    <row r="1132" spans="1:14" hidden="1" x14ac:dyDescent="0.25">
      <c r="A1132" s="120" t="s">
        <v>3772</v>
      </c>
      <c r="B1132" s="120" t="s">
        <v>3773</v>
      </c>
      <c r="C1132" s="120" t="s">
        <v>69</v>
      </c>
      <c r="D1132" s="120" t="s">
        <v>1155</v>
      </c>
      <c r="E1132" s="120" t="s">
        <v>114</v>
      </c>
      <c r="F1132" s="120" t="s">
        <v>71</v>
      </c>
      <c r="G1132" s="120">
        <v>70</v>
      </c>
      <c r="H1132">
        <v>5</v>
      </c>
      <c r="I1132" s="120" t="s">
        <v>11</v>
      </c>
      <c r="J1132">
        <v>65</v>
      </c>
      <c r="K1132">
        <v>0</v>
      </c>
      <c r="L1132">
        <v>14</v>
      </c>
      <c r="M1132">
        <v>980</v>
      </c>
      <c r="N1132">
        <v>70</v>
      </c>
    </row>
    <row r="1133" spans="1:14" hidden="1" x14ac:dyDescent="0.25">
      <c r="A1133" s="120" t="s">
        <v>3772</v>
      </c>
      <c r="B1133" s="120" t="s">
        <v>3773</v>
      </c>
      <c r="C1133" s="120" t="s">
        <v>69</v>
      </c>
      <c r="D1133" s="120" t="s">
        <v>1212</v>
      </c>
      <c r="E1133" s="120" t="s">
        <v>1213</v>
      </c>
      <c r="F1133" s="120" t="s">
        <v>18</v>
      </c>
      <c r="G1133" s="120">
        <v>60</v>
      </c>
      <c r="H1133">
        <v>60</v>
      </c>
      <c r="I1133" s="120" t="s">
        <v>11</v>
      </c>
      <c r="J1133">
        <v>0</v>
      </c>
      <c r="K1133">
        <v>1</v>
      </c>
      <c r="L1133" s="121">
        <v>52</v>
      </c>
      <c r="M1133" s="121">
        <v>3120</v>
      </c>
      <c r="N1133" s="121">
        <v>3120</v>
      </c>
    </row>
    <row r="1134" spans="1:14" hidden="1" x14ac:dyDescent="0.25">
      <c r="A1134" s="120" t="s">
        <v>3772</v>
      </c>
      <c r="B1134" s="120" t="s">
        <v>3773</v>
      </c>
      <c r="C1134" s="120" t="s">
        <v>69</v>
      </c>
      <c r="D1134" s="120" t="s">
        <v>1191</v>
      </c>
      <c r="E1134" s="120" t="s">
        <v>117</v>
      </c>
      <c r="F1134" s="120" t="s">
        <v>14</v>
      </c>
      <c r="G1134" s="120">
        <v>44</v>
      </c>
      <c r="H1134">
        <v>3</v>
      </c>
      <c r="I1134" s="120" t="s">
        <v>11</v>
      </c>
      <c r="J1134">
        <v>41</v>
      </c>
      <c r="K1134">
        <v>0</v>
      </c>
      <c r="L1134">
        <v>3.5</v>
      </c>
      <c r="M1134">
        <v>154</v>
      </c>
      <c r="N1134">
        <v>10.5</v>
      </c>
    </row>
    <row r="1135" spans="1:14" hidden="1" x14ac:dyDescent="0.25">
      <c r="A1135" s="120" t="s">
        <v>3772</v>
      </c>
      <c r="B1135" s="120" t="s">
        <v>3773</v>
      </c>
      <c r="C1135" s="120" t="s">
        <v>69</v>
      </c>
      <c r="D1135" s="120" t="s">
        <v>1154</v>
      </c>
      <c r="E1135" s="120" t="s">
        <v>113</v>
      </c>
      <c r="F1135" s="120" t="s">
        <v>71</v>
      </c>
      <c r="G1135" s="120">
        <v>33</v>
      </c>
      <c r="H1135">
        <v>5</v>
      </c>
      <c r="I1135" s="120" t="s">
        <v>11</v>
      </c>
      <c r="J1135">
        <v>28</v>
      </c>
      <c r="K1135">
        <v>0</v>
      </c>
      <c r="L1135">
        <v>3.4</v>
      </c>
      <c r="M1135">
        <v>112.2</v>
      </c>
      <c r="N1135">
        <v>17</v>
      </c>
    </row>
    <row r="1136" spans="1:14" hidden="1" x14ac:dyDescent="0.25">
      <c r="A1136" s="120" t="s">
        <v>3772</v>
      </c>
      <c r="B1136" s="120" t="s">
        <v>3773</v>
      </c>
      <c r="C1136" s="120" t="s">
        <v>69</v>
      </c>
      <c r="D1136" s="120" t="s">
        <v>668</v>
      </c>
      <c r="E1136" s="120" t="s">
        <v>669</v>
      </c>
      <c r="F1136" s="120" t="s">
        <v>18</v>
      </c>
      <c r="G1136" s="120">
        <v>30</v>
      </c>
      <c r="H1136">
        <v>59</v>
      </c>
      <c r="I1136" s="120" t="s">
        <v>11</v>
      </c>
      <c r="J1136">
        <v>-29</v>
      </c>
      <c r="K1136">
        <v>0</v>
      </c>
      <c r="L1136">
        <v>68</v>
      </c>
      <c r="M1136">
        <v>2040</v>
      </c>
      <c r="N1136">
        <v>4012</v>
      </c>
    </row>
    <row r="1137" spans="1:14" hidden="1" x14ac:dyDescent="0.25">
      <c r="A1137" s="120" t="s">
        <v>3772</v>
      </c>
      <c r="B1137" s="120" t="s">
        <v>3773</v>
      </c>
      <c r="C1137" s="120" t="s">
        <v>69</v>
      </c>
      <c r="D1137" s="120" t="s">
        <v>1192</v>
      </c>
      <c r="E1137" s="120" t="s">
        <v>124</v>
      </c>
      <c r="F1137" s="120" t="s">
        <v>14</v>
      </c>
      <c r="G1137" s="120">
        <v>34</v>
      </c>
      <c r="H1137">
        <v>9</v>
      </c>
      <c r="I1137" s="120" t="s">
        <v>11</v>
      </c>
      <c r="J1137">
        <v>25</v>
      </c>
      <c r="K1137">
        <v>0</v>
      </c>
      <c r="L1137">
        <v>3.5</v>
      </c>
      <c r="M1137">
        <v>119</v>
      </c>
      <c r="N1137">
        <v>31.5</v>
      </c>
    </row>
    <row r="1138" spans="1:14" hidden="1" x14ac:dyDescent="0.25">
      <c r="A1138" s="120" t="s">
        <v>3772</v>
      </c>
      <c r="B1138" s="120" t="s">
        <v>3773</v>
      </c>
      <c r="C1138" s="120" t="s">
        <v>69</v>
      </c>
      <c r="D1138" s="120" t="s">
        <v>678</v>
      </c>
      <c r="E1138" s="120" t="s">
        <v>97</v>
      </c>
      <c r="F1138" s="120" t="s">
        <v>10</v>
      </c>
      <c r="G1138" s="120">
        <v>53</v>
      </c>
      <c r="H1138">
        <v>28</v>
      </c>
      <c r="I1138" s="120" t="s">
        <v>11</v>
      </c>
      <c r="J1138">
        <v>25</v>
      </c>
      <c r="K1138">
        <v>0</v>
      </c>
      <c r="L1138">
        <v>34</v>
      </c>
      <c r="M1138">
        <v>1802</v>
      </c>
      <c r="N1138">
        <v>952</v>
      </c>
    </row>
    <row r="1139" spans="1:14" hidden="1" x14ac:dyDescent="0.25">
      <c r="A1139" s="120" t="s">
        <v>3772</v>
      </c>
      <c r="B1139" s="120" t="s">
        <v>3773</v>
      </c>
      <c r="C1139" s="120" t="s">
        <v>69</v>
      </c>
      <c r="D1139" s="120" t="s">
        <v>666</v>
      </c>
      <c r="E1139" s="120" t="s">
        <v>667</v>
      </c>
      <c r="F1139" s="120" t="s">
        <v>18</v>
      </c>
      <c r="G1139" s="120">
        <v>34</v>
      </c>
      <c r="H1139">
        <v>34</v>
      </c>
      <c r="I1139" s="120" t="s">
        <v>11</v>
      </c>
      <c r="J1139">
        <v>0</v>
      </c>
      <c r="K1139">
        <v>1</v>
      </c>
      <c r="L1139" s="121">
        <v>68</v>
      </c>
      <c r="M1139" s="121">
        <v>2312</v>
      </c>
      <c r="N1139" s="121">
        <v>2312</v>
      </c>
    </row>
    <row r="1140" spans="1:14" hidden="1" x14ac:dyDescent="0.25">
      <c r="A1140" s="120" t="s">
        <v>3772</v>
      </c>
      <c r="B1140" s="120" t="s">
        <v>3773</v>
      </c>
      <c r="C1140" s="120" t="s">
        <v>69</v>
      </c>
      <c r="D1140" s="120" t="s">
        <v>670</v>
      </c>
      <c r="E1140" s="120" t="s">
        <v>671</v>
      </c>
      <c r="F1140" s="120" t="s">
        <v>18</v>
      </c>
      <c r="G1140" s="120">
        <v>24</v>
      </c>
      <c r="H1140">
        <v>44</v>
      </c>
      <c r="I1140" s="120" t="s">
        <v>11</v>
      </c>
      <c r="J1140">
        <v>-20</v>
      </c>
      <c r="K1140">
        <v>0</v>
      </c>
      <c r="L1140">
        <v>68</v>
      </c>
      <c r="M1140">
        <v>1632</v>
      </c>
      <c r="N1140">
        <v>2992</v>
      </c>
    </row>
    <row r="1141" spans="1:14" hidden="1" x14ac:dyDescent="0.25">
      <c r="A1141" s="120" t="s">
        <v>3772</v>
      </c>
      <c r="B1141" s="120" t="s">
        <v>3773</v>
      </c>
      <c r="C1141" s="120" t="s">
        <v>69</v>
      </c>
      <c r="D1141" s="120" t="s">
        <v>738</v>
      </c>
      <c r="E1141" s="120" t="s">
        <v>102</v>
      </c>
      <c r="F1141" s="120" t="s">
        <v>10</v>
      </c>
      <c r="G1141" s="120">
        <v>74</v>
      </c>
      <c r="H1141">
        <v>9</v>
      </c>
      <c r="I1141" s="120" t="s">
        <v>11</v>
      </c>
      <c r="J1141">
        <v>65</v>
      </c>
      <c r="K1141">
        <v>0</v>
      </c>
      <c r="L1141">
        <v>10</v>
      </c>
      <c r="M1141">
        <v>740</v>
      </c>
      <c r="N1141">
        <v>90</v>
      </c>
    </row>
    <row r="1142" spans="1:14" hidden="1" x14ac:dyDescent="0.25">
      <c r="A1142" s="120" t="s">
        <v>3772</v>
      </c>
      <c r="B1142" s="120" t="s">
        <v>3773</v>
      </c>
      <c r="C1142" s="120" t="s">
        <v>69</v>
      </c>
      <c r="D1142" s="120" t="s">
        <v>566</v>
      </c>
      <c r="E1142" s="120" t="s">
        <v>567</v>
      </c>
      <c r="F1142" s="120" t="s">
        <v>14</v>
      </c>
      <c r="G1142" s="120">
        <v>55</v>
      </c>
      <c r="H1142">
        <v>46</v>
      </c>
      <c r="I1142" s="120" t="s">
        <v>11</v>
      </c>
      <c r="J1142">
        <v>9</v>
      </c>
      <c r="K1142">
        <v>0</v>
      </c>
      <c r="L1142">
        <v>25.7</v>
      </c>
      <c r="M1142">
        <v>1413.5</v>
      </c>
      <c r="N1142">
        <v>1182.2</v>
      </c>
    </row>
    <row r="1143" spans="1:14" hidden="1" x14ac:dyDescent="0.25">
      <c r="A1143" s="120" t="s">
        <v>3772</v>
      </c>
      <c r="B1143" s="120" t="s">
        <v>3773</v>
      </c>
      <c r="C1143" s="120" t="s">
        <v>69</v>
      </c>
      <c r="D1143" s="120" t="s">
        <v>1216</v>
      </c>
      <c r="E1143" s="120" t="s">
        <v>1217</v>
      </c>
      <c r="F1143" s="120" t="s">
        <v>18</v>
      </c>
      <c r="G1143" s="120">
        <v>16</v>
      </c>
      <c r="H1143">
        <v>18</v>
      </c>
      <c r="I1143" s="120" t="s">
        <v>11</v>
      </c>
      <c r="J1143">
        <v>-2</v>
      </c>
      <c r="K1143">
        <v>0</v>
      </c>
      <c r="L1143">
        <v>52</v>
      </c>
      <c r="M1143">
        <v>832</v>
      </c>
      <c r="N1143">
        <v>936</v>
      </c>
    </row>
    <row r="1144" spans="1:14" hidden="1" x14ac:dyDescent="0.25">
      <c r="A1144" s="120" t="s">
        <v>3772</v>
      </c>
      <c r="B1144" s="120" t="s">
        <v>3773</v>
      </c>
      <c r="C1144" s="120" t="s">
        <v>69</v>
      </c>
      <c r="D1144" s="120" t="s">
        <v>1210</v>
      </c>
      <c r="E1144" s="120" t="s">
        <v>1211</v>
      </c>
      <c r="F1144" s="120" t="s">
        <v>18</v>
      </c>
      <c r="G1144" s="120">
        <v>49</v>
      </c>
      <c r="H1144">
        <v>49</v>
      </c>
      <c r="I1144" s="120" t="s">
        <v>11</v>
      </c>
      <c r="J1144">
        <v>0</v>
      </c>
      <c r="K1144">
        <v>1</v>
      </c>
      <c r="L1144" s="121">
        <v>48</v>
      </c>
      <c r="M1144" s="121">
        <v>2352</v>
      </c>
      <c r="N1144" s="121">
        <v>2352</v>
      </c>
    </row>
    <row r="1145" spans="1:14" hidden="1" x14ac:dyDescent="0.25">
      <c r="A1145" s="120" t="s">
        <v>3772</v>
      </c>
      <c r="B1145" s="120" t="s">
        <v>3773</v>
      </c>
      <c r="C1145" s="120" t="s">
        <v>69</v>
      </c>
      <c r="D1145" s="120" t="s">
        <v>658</v>
      </c>
      <c r="E1145" s="120" t="s">
        <v>659</v>
      </c>
      <c r="F1145" s="120" t="s">
        <v>18</v>
      </c>
      <c r="G1145" s="120">
        <v>44</v>
      </c>
      <c r="H1145">
        <v>44</v>
      </c>
      <c r="I1145" s="120" t="s">
        <v>11</v>
      </c>
      <c r="J1145">
        <v>0</v>
      </c>
      <c r="K1145">
        <v>1</v>
      </c>
      <c r="L1145" s="121">
        <v>68</v>
      </c>
      <c r="M1145" s="121">
        <v>2992</v>
      </c>
      <c r="N1145" s="121">
        <v>2992</v>
      </c>
    </row>
    <row r="1146" spans="1:14" hidden="1" x14ac:dyDescent="0.25">
      <c r="A1146" s="120" t="s">
        <v>3772</v>
      </c>
      <c r="B1146" s="120" t="s">
        <v>3773</v>
      </c>
      <c r="C1146" s="120" t="s">
        <v>69</v>
      </c>
      <c r="D1146" s="120" t="s">
        <v>1089</v>
      </c>
      <c r="E1146" s="120" t="s">
        <v>1090</v>
      </c>
      <c r="F1146" s="120" t="s">
        <v>3771</v>
      </c>
      <c r="G1146" s="120">
        <v>48</v>
      </c>
      <c r="H1146">
        <v>3</v>
      </c>
      <c r="I1146" s="120" t="s">
        <v>11</v>
      </c>
      <c r="J1146">
        <v>45</v>
      </c>
      <c r="K1146">
        <v>0</v>
      </c>
      <c r="L1146">
        <v>7</v>
      </c>
      <c r="M1146">
        <v>336</v>
      </c>
      <c r="N1146">
        <v>21</v>
      </c>
    </row>
    <row r="1147" spans="1:14" hidden="1" x14ac:dyDescent="0.25">
      <c r="A1147" s="120" t="s">
        <v>3772</v>
      </c>
      <c r="B1147" s="120" t="s">
        <v>3773</v>
      </c>
      <c r="C1147" s="120" t="s">
        <v>69</v>
      </c>
      <c r="D1147" s="120" t="s">
        <v>592</v>
      </c>
      <c r="E1147" s="120" t="s">
        <v>75</v>
      </c>
      <c r="F1147" s="120" t="s">
        <v>71</v>
      </c>
      <c r="G1147" s="120">
        <v>16</v>
      </c>
      <c r="H1147">
        <v>16</v>
      </c>
      <c r="I1147" s="120" t="s">
        <v>47</v>
      </c>
      <c r="J1147">
        <v>0</v>
      </c>
      <c r="K1147">
        <v>1</v>
      </c>
      <c r="L1147" s="121">
        <v>54</v>
      </c>
      <c r="M1147" s="121">
        <v>864</v>
      </c>
      <c r="N1147" s="121">
        <v>864</v>
      </c>
    </row>
    <row r="1148" spans="1:14" hidden="1" x14ac:dyDescent="0.25">
      <c r="A1148" s="120" t="s">
        <v>3772</v>
      </c>
      <c r="B1148" s="120" t="s">
        <v>3773</v>
      </c>
      <c r="C1148" s="120" t="s">
        <v>69</v>
      </c>
      <c r="D1148" s="120" t="s">
        <v>591</v>
      </c>
      <c r="E1148" s="120" t="s">
        <v>74</v>
      </c>
      <c r="F1148" s="120" t="s">
        <v>71</v>
      </c>
      <c r="G1148" s="120">
        <v>9</v>
      </c>
      <c r="H1148">
        <v>9</v>
      </c>
      <c r="I1148" s="120" t="s">
        <v>47</v>
      </c>
      <c r="J1148">
        <v>0</v>
      </c>
      <c r="K1148">
        <v>1</v>
      </c>
      <c r="L1148" s="121">
        <v>54</v>
      </c>
      <c r="M1148" s="121">
        <v>486</v>
      </c>
      <c r="N1148" s="121">
        <v>486</v>
      </c>
    </row>
    <row r="1149" spans="1:14" hidden="1" x14ac:dyDescent="0.25">
      <c r="A1149" s="120" t="s">
        <v>3772</v>
      </c>
      <c r="B1149" s="120" t="s">
        <v>3773</v>
      </c>
      <c r="C1149" s="120" t="s">
        <v>69</v>
      </c>
      <c r="D1149" s="120" t="s">
        <v>3791</v>
      </c>
      <c r="E1149" s="120" t="s">
        <v>3044</v>
      </c>
      <c r="F1149" s="120" t="s">
        <v>14</v>
      </c>
      <c r="G1149" s="120">
        <v>0</v>
      </c>
      <c r="H1149">
        <v>0</v>
      </c>
      <c r="I1149" s="120" t="s">
        <v>47</v>
      </c>
      <c r="J1149">
        <v>0</v>
      </c>
      <c r="K1149">
        <v>1</v>
      </c>
      <c r="L1149" s="121">
        <v>0</v>
      </c>
      <c r="M1149" s="121">
        <v>0</v>
      </c>
      <c r="N1149" s="121">
        <v>0</v>
      </c>
    </row>
    <row r="1150" spans="1:14" hidden="1" x14ac:dyDescent="0.25">
      <c r="A1150" s="120" t="s">
        <v>3772</v>
      </c>
      <c r="B1150" s="120" t="s">
        <v>3773</v>
      </c>
      <c r="C1150" s="120" t="s">
        <v>69</v>
      </c>
      <c r="D1150" s="120" t="s">
        <v>656</v>
      </c>
      <c r="E1150" s="120" t="s">
        <v>657</v>
      </c>
      <c r="F1150" s="120" t="s">
        <v>18</v>
      </c>
      <c r="G1150" s="120">
        <v>59</v>
      </c>
      <c r="H1150">
        <v>66</v>
      </c>
      <c r="I1150" s="120" t="s">
        <v>47</v>
      </c>
      <c r="J1150">
        <v>-7</v>
      </c>
      <c r="K1150">
        <v>0</v>
      </c>
      <c r="L1150">
        <v>68</v>
      </c>
      <c r="M1150">
        <v>4012</v>
      </c>
      <c r="N1150">
        <v>4488</v>
      </c>
    </row>
    <row r="1151" spans="1:14" hidden="1" x14ac:dyDescent="0.25">
      <c r="A1151" s="120" t="s">
        <v>3772</v>
      </c>
      <c r="B1151" s="120" t="s">
        <v>3773</v>
      </c>
      <c r="C1151" s="120" t="s">
        <v>69</v>
      </c>
      <c r="D1151" s="120" t="s">
        <v>3584</v>
      </c>
      <c r="E1151" s="120" t="s">
        <v>284</v>
      </c>
      <c r="F1151" s="120" t="s">
        <v>18</v>
      </c>
      <c r="G1151" s="120">
        <v>15</v>
      </c>
      <c r="H1151">
        <v>0</v>
      </c>
      <c r="I1151" s="120" t="s">
        <v>47</v>
      </c>
      <c r="J1151">
        <v>15</v>
      </c>
      <c r="K1151">
        <v>0</v>
      </c>
      <c r="L1151">
        <v>0</v>
      </c>
      <c r="M1151">
        <v>0</v>
      </c>
      <c r="N1151">
        <v>0</v>
      </c>
    </row>
    <row r="1152" spans="1:14" hidden="1" x14ac:dyDescent="0.25">
      <c r="A1152" s="120" t="s">
        <v>3772</v>
      </c>
      <c r="B1152" s="120" t="s">
        <v>3773</v>
      </c>
      <c r="C1152" s="120" t="s">
        <v>69</v>
      </c>
      <c r="D1152" s="120" t="s">
        <v>3585</v>
      </c>
      <c r="E1152" s="120" t="s">
        <v>285</v>
      </c>
      <c r="F1152" s="120" t="s">
        <v>18</v>
      </c>
      <c r="G1152" s="120">
        <v>22</v>
      </c>
      <c r="H1152">
        <v>0</v>
      </c>
      <c r="I1152" s="120" t="s">
        <v>47</v>
      </c>
      <c r="J1152">
        <v>22</v>
      </c>
      <c r="K1152">
        <v>0</v>
      </c>
      <c r="L1152">
        <v>0</v>
      </c>
      <c r="M1152">
        <v>0</v>
      </c>
      <c r="N1152">
        <v>0</v>
      </c>
    </row>
    <row r="1153" spans="1:14" hidden="1" x14ac:dyDescent="0.25">
      <c r="A1153" s="120" t="s">
        <v>3772</v>
      </c>
      <c r="B1153" s="120" t="s">
        <v>3773</v>
      </c>
      <c r="C1153" s="120" t="s">
        <v>69</v>
      </c>
      <c r="D1153" s="120" t="s">
        <v>654</v>
      </c>
      <c r="E1153" s="120" t="s">
        <v>655</v>
      </c>
      <c r="F1153" s="120" t="s">
        <v>18</v>
      </c>
      <c r="G1153" s="120">
        <v>7</v>
      </c>
      <c r="H1153">
        <v>19</v>
      </c>
      <c r="I1153" s="120" t="s">
        <v>47</v>
      </c>
      <c r="J1153">
        <v>-12</v>
      </c>
      <c r="K1153">
        <v>0</v>
      </c>
      <c r="L1153">
        <v>68</v>
      </c>
      <c r="M1153">
        <v>476</v>
      </c>
      <c r="N1153">
        <v>1292</v>
      </c>
    </row>
    <row r="1154" spans="1:14" hidden="1" x14ac:dyDescent="0.25">
      <c r="A1154" s="120" t="s">
        <v>3772</v>
      </c>
      <c r="B1154" s="120" t="s">
        <v>3773</v>
      </c>
      <c r="C1154" s="120" t="s">
        <v>69</v>
      </c>
      <c r="D1154" s="120" t="s">
        <v>660</v>
      </c>
      <c r="E1154" s="120" t="s">
        <v>661</v>
      </c>
      <c r="F1154" s="120" t="s">
        <v>18</v>
      </c>
      <c r="G1154" s="120">
        <v>34</v>
      </c>
      <c r="H1154">
        <v>34</v>
      </c>
      <c r="I1154" s="120" t="s">
        <v>47</v>
      </c>
      <c r="J1154">
        <v>0</v>
      </c>
      <c r="K1154">
        <v>1</v>
      </c>
      <c r="L1154" s="121">
        <v>68</v>
      </c>
      <c r="M1154" s="121">
        <v>2312</v>
      </c>
      <c r="N1154" s="121">
        <v>2312</v>
      </c>
    </row>
    <row r="1155" spans="1:14" hidden="1" x14ac:dyDescent="0.25">
      <c r="A1155" s="120" t="s">
        <v>3772</v>
      </c>
      <c r="B1155" s="120" t="s">
        <v>3773</v>
      </c>
      <c r="C1155" s="120" t="s">
        <v>69</v>
      </c>
      <c r="D1155" s="120" t="s">
        <v>596</v>
      </c>
      <c r="E1155" s="120" t="s">
        <v>173</v>
      </c>
      <c r="F1155" s="120" t="s">
        <v>71</v>
      </c>
      <c r="G1155" s="120">
        <v>16</v>
      </c>
      <c r="H1155">
        <v>12</v>
      </c>
      <c r="I1155" s="120" t="s">
        <v>47</v>
      </c>
      <c r="J1155">
        <v>4</v>
      </c>
      <c r="K1155">
        <v>0</v>
      </c>
      <c r="L1155">
        <v>56</v>
      </c>
      <c r="M1155">
        <v>896</v>
      </c>
      <c r="N1155">
        <v>672</v>
      </c>
    </row>
    <row r="1156" spans="1:14" hidden="1" x14ac:dyDescent="0.25">
      <c r="A1156" s="120" t="s">
        <v>3772</v>
      </c>
      <c r="B1156" s="120" t="s">
        <v>3773</v>
      </c>
      <c r="C1156" s="120" t="s">
        <v>69</v>
      </c>
      <c r="D1156" s="120" t="s">
        <v>3503</v>
      </c>
      <c r="E1156" s="120" t="s">
        <v>105</v>
      </c>
      <c r="F1156" s="120" t="s">
        <v>10</v>
      </c>
      <c r="G1156" s="120">
        <v>0</v>
      </c>
      <c r="H1156">
        <v>0</v>
      </c>
      <c r="I1156" s="120" t="s">
        <v>47</v>
      </c>
      <c r="J1156">
        <v>0</v>
      </c>
      <c r="K1156">
        <v>1</v>
      </c>
      <c r="L1156" s="121">
        <v>0</v>
      </c>
      <c r="M1156" s="121">
        <v>0</v>
      </c>
      <c r="N1156" s="121">
        <v>0</v>
      </c>
    </row>
    <row r="1157" spans="1:14" hidden="1" x14ac:dyDescent="0.25">
      <c r="A1157" s="120" t="s">
        <v>3772</v>
      </c>
      <c r="B1157" s="120" t="s">
        <v>3773</v>
      </c>
      <c r="C1157" s="120" t="s">
        <v>69</v>
      </c>
      <c r="D1157" s="120" t="s">
        <v>3581</v>
      </c>
      <c r="E1157" s="120" t="s">
        <v>275</v>
      </c>
      <c r="F1157" s="120" t="s">
        <v>273</v>
      </c>
      <c r="G1157" s="120">
        <v>75</v>
      </c>
      <c r="H1157">
        <v>0</v>
      </c>
      <c r="I1157" s="120" t="s">
        <v>47</v>
      </c>
      <c r="J1157">
        <v>75</v>
      </c>
      <c r="K1157">
        <v>0</v>
      </c>
      <c r="L1157">
        <v>0</v>
      </c>
      <c r="M1157">
        <v>0</v>
      </c>
      <c r="N1157">
        <v>0</v>
      </c>
    </row>
    <row r="1158" spans="1:14" hidden="1" x14ac:dyDescent="0.25">
      <c r="A1158" s="120" t="s">
        <v>3772</v>
      </c>
      <c r="B1158" s="120" t="s">
        <v>3773</v>
      </c>
      <c r="C1158" s="120" t="s">
        <v>69</v>
      </c>
      <c r="D1158" s="120" t="s">
        <v>595</v>
      </c>
      <c r="E1158" s="120" t="s">
        <v>172</v>
      </c>
      <c r="F1158" s="120" t="s">
        <v>71</v>
      </c>
      <c r="G1158" s="120">
        <v>17</v>
      </c>
      <c r="H1158">
        <v>9</v>
      </c>
      <c r="I1158" s="120" t="s">
        <v>47</v>
      </c>
      <c r="J1158">
        <v>8</v>
      </c>
      <c r="K1158">
        <v>0</v>
      </c>
      <c r="L1158">
        <v>54</v>
      </c>
      <c r="M1158">
        <v>918</v>
      </c>
      <c r="N1158">
        <v>486</v>
      </c>
    </row>
    <row r="1159" spans="1:14" hidden="1" x14ac:dyDescent="0.25">
      <c r="A1159" s="120" t="s">
        <v>3772</v>
      </c>
      <c r="B1159" s="120" t="s">
        <v>3773</v>
      </c>
      <c r="C1159" s="120" t="s">
        <v>69</v>
      </c>
      <c r="D1159" s="120" t="s">
        <v>672</v>
      </c>
      <c r="E1159" s="120" t="s">
        <v>673</v>
      </c>
      <c r="F1159" s="120" t="s">
        <v>18</v>
      </c>
      <c r="G1159" s="120">
        <v>36</v>
      </c>
      <c r="H1159">
        <v>36</v>
      </c>
      <c r="I1159" s="120" t="s">
        <v>47</v>
      </c>
      <c r="J1159">
        <v>0</v>
      </c>
      <c r="K1159">
        <v>1</v>
      </c>
      <c r="L1159" s="121">
        <v>68</v>
      </c>
      <c r="M1159" s="121">
        <v>2448</v>
      </c>
      <c r="N1159" s="121">
        <v>2448</v>
      </c>
    </row>
    <row r="1160" spans="1:14" hidden="1" x14ac:dyDescent="0.25">
      <c r="A1160" s="120" t="s">
        <v>3772</v>
      </c>
      <c r="B1160" s="120" t="s">
        <v>3773</v>
      </c>
      <c r="C1160" s="120" t="s">
        <v>69</v>
      </c>
      <c r="D1160" s="120" t="s">
        <v>3774</v>
      </c>
      <c r="E1160" s="120" t="s">
        <v>3761</v>
      </c>
      <c r="F1160" s="120" t="s">
        <v>14</v>
      </c>
      <c r="G1160" s="120">
        <v>46</v>
      </c>
      <c r="H1160">
        <v>0</v>
      </c>
      <c r="I1160" s="120" t="s">
        <v>47</v>
      </c>
      <c r="J1160">
        <v>46</v>
      </c>
      <c r="K1160">
        <v>0</v>
      </c>
      <c r="L1160">
        <v>0</v>
      </c>
      <c r="M1160">
        <v>0</v>
      </c>
      <c r="N1160">
        <v>0</v>
      </c>
    </row>
    <row r="1161" spans="1:14" hidden="1" x14ac:dyDescent="0.25">
      <c r="A1161" s="120" t="s">
        <v>3772</v>
      </c>
      <c r="B1161" s="120" t="s">
        <v>3773</v>
      </c>
      <c r="C1161" s="120" t="s">
        <v>69</v>
      </c>
      <c r="D1161" s="120" t="s">
        <v>1202</v>
      </c>
      <c r="E1161" s="120" t="s">
        <v>1203</v>
      </c>
      <c r="F1161" s="120" t="s">
        <v>10</v>
      </c>
      <c r="G1161" s="120">
        <v>21</v>
      </c>
      <c r="H1161">
        <v>23</v>
      </c>
      <c r="I1161" s="120" t="s">
        <v>47</v>
      </c>
      <c r="J1161">
        <v>-2</v>
      </c>
      <c r="K1161">
        <v>0</v>
      </c>
      <c r="L1161">
        <v>48</v>
      </c>
      <c r="M1161">
        <v>1008</v>
      </c>
      <c r="N1161">
        <v>1104</v>
      </c>
    </row>
    <row r="1162" spans="1:14" hidden="1" x14ac:dyDescent="0.25">
      <c r="A1162" s="120" t="s">
        <v>3772</v>
      </c>
      <c r="B1162" s="120" t="s">
        <v>3773</v>
      </c>
      <c r="C1162" s="120" t="s">
        <v>69</v>
      </c>
      <c r="D1162" s="120" t="s">
        <v>3800</v>
      </c>
      <c r="E1162" s="120" t="s">
        <v>3271</v>
      </c>
      <c r="F1162" s="120" t="s">
        <v>71</v>
      </c>
      <c r="G1162" s="120">
        <v>20</v>
      </c>
      <c r="H1162">
        <v>0</v>
      </c>
      <c r="I1162" s="120" t="s">
        <v>47</v>
      </c>
      <c r="J1162">
        <v>20</v>
      </c>
      <c r="K1162">
        <v>0</v>
      </c>
      <c r="L1162">
        <v>0</v>
      </c>
      <c r="M1162">
        <v>0</v>
      </c>
      <c r="N1162">
        <v>0</v>
      </c>
    </row>
    <row r="1163" spans="1:14" hidden="1" x14ac:dyDescent="0.25">
      <c r="A1163" s="120" t="s">
        <v>3772</v>
      </c>
      <c r="B1163" s="120" t="s">
        <v>3773</v>
      </c>
      <c r="C1163" s="120" t="s">
        <v>69</v>
      </c>
      <c r="D1163" s="120" t="s">
        <v>589</v>
      </c>
      <c r="E1163" s="120" t="s">
        <v>72</v>
      </c>
      <c r="F1163" s="120" t="s">
        <v>71</v>
      </c>
      <c r="G1163" s="120">
        <v>19</v>
      </c>
      <c r="H1163">
        <v>3</v>
      </c>
      <c r="I1163" s="120" t="s">
        <v>47</v>
      </c>
      <c r="J1163">
        <v>16</v>
      </c>
      <c r="K1163">
        <v>0</v>
      </c>
      <c r="L1163">
        <v>45</v>
      </c>
      <c r="M1163">
        <v>855</v>
      </c>
      <c r="N1163">
        <v>135</v>
      </c>
    </row>
    <row r="1164" spans="1:14" hidden="1" x14ac:dyDescent="0.25">
      <c r="A1164" s="120" t="s">
        <v>3772</v>
      </c>
      <c r="B1164" s="120" t="s">
        <v>3773</v>
      </c>
      <c r="C1164" s="120" t="s">
        <v>69</v>
      </c>
      <c r="D1164" s="120" t="s">
        <v>1218</v>
      </c>
      <c r="E1164" s="120" t="s">
        <v>1219</v>
      </c>
      <c r="F1164" s="120" t="s">
        <v>18</v>
      </c>
      <c r="G1164" s="120">
        <v>19</v>
      </c>
      <c r="H1164">
        <v>23</v>
      </c>
      <c r="I1164" s="120" t="s">
        <v>47</v>
      </c>
      <c r="J1164">
        <v>-4</v>
      </c>
      <c r="K1164">
        <v>0</v>
      </c>
      <c r="L1164">
        <v>42</v>
      </c>
      <c r="M1164">
        <v>798</v>
      </c>
      <c r="N1164">
        <v>966</v>
      </c>
    </row>
    <row r="1165" spans="1:14" hidden="1" x14ac:dyDescent="0.25">
      <c r="A1165" s="120" t="s">
        <v>3772</v>
      </c>
      <c r="B1165" s="120" t="s">
        <v>3773</v>
      </c>
      <c r="C1165" s="120" t="s">
        <v>69</v>
      </c>
      <c r="D1165" s="120" t="s">
        <v>1161</v>
      </c>
      <c r="E1165" s="120" t="s">
        <v>184</v>
      </c>
      <c r="F1165" s="120" t="s">
        <v>71</v>
      </c>
      <c r="G1165" s="120">
        <v>0</v>
      </c>
      <c r="H1165">
        <v>1</v>
      </c>
      <c r="I1165" s="120" t="s">
        <v>47</v>
      </c>
      <c r="J1165">
        <v>-1</v>
      </c>
      <c r="K1165">
        <v>0</v>
      </c>
      <c r="L1165">
        <v>10.4</v>
      </c>
      <c r="M1165">
        <v>0</v>
      </c>
      <c r="N1165">
        <v>10.4</v>
      </c>
    </row>
    <row r="1166" spans="1:14" hidden="1" x14ac:dyDescent="0.25">
      <c r="A1166" s="120" t="s">
        <v>3772</v>
      </c>
      <c r="B1166" s="120" t="s">
        <v>3773</v>
      </c>
      <c r="C1166" s="120" t="s">
        <v>69</v>
      </c>
      <c r="D1166" s="120" t="s">
        <v>1180</v>
      </c>
      <c r="E1166" s="120" t="s">
        <v>1181</v>
      </c>
      <c r="F1166" s="120" t="s">
        <v>18</v>
      </c>
      <c r="G1166" s="120">
        <v>23</v>
      </c>
      <c r="H1166">
        <v>24</v>
      </c>
      <c r="I1166" s="120" t="s">
        <v>47</v>
      </c>
      <c r="J1166">
        <v>-1</v>
      </c>
      <c r="K1166">
        <v>0</v>
      </c>
      <c r="L1166">
        <v>0.95</v>
      </c>
      <c r="M1166">
        <v>21.849999999999998</v>
      </c>
      <c r="N1166">
        <v>22.799999999999997</v>
      </c>
    </row>
    <row r="1167" spans="1:14" hidden="1" x14ac:dyDescent="0.25">
      <c r="A1167" s="120" t="s">
        <v>3772</v>
      </c>
      <c r="B1167" s="120" t="s">
        <v>3773</v>
      </c>
      <c r="C1167" s="120" t="s">
        <v>69</v>
      </c>
      <c r="D1167" s="120" t="s">
        <v>1160</v>
      </c>
      <c r="E1167" s="120" t="s">
        <v>288</v>
      </c>
      <c r="F1167" s="120" t="s">
        <v>71</v>
      </c>
      <c r="G1167" s="120">
        <v>43</v>
      </c>
      <c r="H1167">
        <v>41</v>
      </c>
      <c r="I1167" s="120" t="s">
        <v>57</v>
      </c>
      <c r="J1167">
        <v>2</v>
      </c>
      <c r="K1167">
        <v>0</v>
      </c>
      <c r="L1167">
        <v>16.899999999999999</v>
      </c>
      <c r="M1167">
        <v>726.69999999999993</v>
      </c>
      <c r="N1167">
        <v>692.9</v>
      </c>
    </row>
    <row r="1168" spans="1:14" hidden="1" x14ac:dyDescent="0.25">
      <c r="A1168" s="120" t="s">
        <v>3772</v>
      </c>
      <c r="B1168" s="120" t="s">
        <v>3773</v>
      </c>
      <c r="C1168" s="120" t="s">
        <v>69</v>
      </c>
      <c r="D1168" s="120" t="s">
        <v>747</v>
      </c>
      <c r="E1168" s="120" t="s">
        <v>748</v>
      </c>
      <c r="F1168" s="120" t="s">
        <v>14</v>
      </c>
      <c r="G1168" s="120">
        <v>51</v>
      </c>
      <c r="H1168">
        <v>0</v>
      </c>
      <c r="I1168" s="120" t="s">
        <v>57</v>
      </c>
      <c r="J1168">
        <v>51</v>
      </c>
      <c r="K1168">
        <v>0</v>
      </c>
      <c r="L1168">
        <v>0</v>
      </c>
      <c r="M1168">
        <v>0</v>
      </c>
      <c r="N1168">
        <v>0</v>
      </c>
    </row>
    <row r="1169" spans="1:14" hidden="1" x14ac:dyDescent="0.25">
      <c r="A1169" s="120" t="s">
        <v>3772</v>
      </c>
      <c r="B1169" s="120" t="s">
        <v>3773</v>
      </c>
      <c r="C1169" s="120" t="s">
        <v>69</v>
      </c>
      <c r="D1169" s="120" t="s">
        <v>3576</v>
      </c>
      <c r="E1169" s="120" t="s">
        <v>3035</v>
      </c>
      <c r="F1169" s="120" t="s">
        <v>18</v>
      </c>
      <c r="G1169" s="120">
        <v>14</v>
      </c>
      <c r="H1169">
        <v>0</v>
      </c>
      <c r="I1169" s="120" t="s">
        <v>57</v>
      </c>
      <c r="J1169">
        <v>14</v>
      </c>
      <c r="K1169">
        <v>0</v>
      </c>
      <c r="L1169">
        <v>0</v>
      </c>
      <c r="M1169">
        <v>0</v>
      </c>
      <c r="N1169">
        <v>0</v>
      </c>
    </row>
    <row r="1170" spans="1:14" hidden="1" x14ac:dyDescent="0.25">
      <c r="A1170" s="120" t="s">
        <v>3772</v>
      </c>
      <c r="B1170" s="120" t="s">
        <v>3773</v>
      </c>
      <c r="C1170" s="120" t="s">
        <v>69</v>
      </c>
      <c r="D1170" s="120" t="s">
        <v>3506</v>
      </c>
      <c r="E1170" s="120" t="s">
        <v>109</v>
      </c>
      <c r="F1170" s="120" t="s">
        <v>18</v>
      </c>
      <c r="G1170" s="120">
        <v>30</v>
      </c>
      <c r="H1170">
        <v>0</v>
      </c>
      <c r="I1170" s="120" t="s">
        <v>57</v>
      </c>
      <c r="J1170">
        <v>30</v>
      </c>
      <c r="K1170">
        <v>0</v>
      </c>
      <c r="L1170">
        <v>0</v>
      </c>
      <c r="M1170">
        <v>0</v>
      </c>
      <c r="N1170">
        <v>0</v>
      </c>
    </row>
    <row r="1171" spans="1:14" hidden="1" x14ac:dyDescent="0.25">
      <c r="A1171" s="120" t="s">
        <v>3772</v>
      </c>
      <c r="B1171" s="120" t="s">
        <v>3773</v>
      </c>
      <c r="C1171" s="120" t="s">
        <v>69</v>
      </c>
      <c r="D1171" s="120" t="s">
        <v>728</v>
      </c>
      <c r="E1171" s="120" t="s">
        <v>518</v>
      </c>
      <c r="F1171" s="120" t="s">
        <v>101</v>
      </c>
      <c r="G1171" s="120">
        <v>6</v>
      </c>
      <c r="H1171">
        <v>1</v>
      </c>
      <c r="I1171" s="120" t="s">
        <v>57</v>
      </c>
      <c r="J1171">
        <v>5</v>
      </c>
      <c r="K1171">
        <v>0</v>
      </c>
      <c r="L1171">
        <v>165</v>
      </c>
      <c r="M1171">
        <v>990</v>
      </c>
      <c r="N1171">
        <v>165</v>
      </c>
    </row>
    <row r="1172" spans="1:14" hidden="1" x14ac:dyDescent="0.25">
      <c r="A1172" s="120" t="s">
        <v>3772</v>
      </c>
      <c r="B1172" s="120" t="s">
        <v>3773</v>
      </c>
      <c r="C1172" s="120" t="s">
        <v>69</v>
      </c>
      <c r="D1172" s="120" t="s">
        <v>590</v>
      </c>
      <c r="E1172" s="120" t="s">
        <v>73</v>
      </c>
      <c r="F1172" s="120" t="s">
        <v>71</v>
      </c>
      <c r="G1172" s="120">
        <v>16</v>
      </c>
      <c r="H1172">
        <v>9</v>
      </c>
      <c r="I1172" s="120" t="s">
        <v>57</v>
      </c>
      <c r="J1172">
        <v>7</v>
      </c>
      <c r="K1172">
        <v>0</v>
      </c>
      <c r="L1172">
        <v>54</v>
      </c>
      <c r="M1172">
        <v>864</v>
      </c>
      <c r="N1172">
        <v>486</v>
      </c>
    </row>
    <row r="1173" spans="1:14" hidden="1" x14ac:dyDescent="0.25">
      <c r="A1173" s="120" t="s">
        <v>3772</v>
      </c>
      <c r="B1173" s="120" t="s">
        <v>3773</v>
      </c>
      <c r="C1173" s="120" t="s">
        <v>69</v>
      </c>
      <c r="D1173" s="120" t="s">
        <v>3787</v>
      </c>
      <c r="E1173" s="120" t="s">
        <v>3767</v>
      </c>
      <c r="F1173" s="120" t="s">
        <v>18</v>
      </c>
      <c r="G1173" s="120">
        <v>8</v>
      </c>
      <c r="H1173">
        <v>0</v>
      </c>
      <c r="I1173" s="120" t="s">
        <v>57</v>
      </c>
      <c r="J1173">
        <v>8</v>
      </c>
      <c r="K1173">
        <v>0</v>
      </c>
      <c r="L1173">
        <v>0</v>
      </c>
      <c r="M1173">
        <v>0</v>
      </c>
      <c r="N1173">
        <v>0</v>
      </c>
    </row>
    <row r="1174" spans="1:14" hidden="1" x14ac:dyDescent="0.25">
      <c r="A1174" s="120" t="s">
        <v>3772</v>
      </c>
      <c r="B1174" s="120" t="s">
        <v>3773</v>
      </c>
      <c r="C1174" s="120" t="s">
        <v>69</v>
      </c>
      <c r="D1174" s="120" t="s">
        <v>3799</v>
      </c>
      <c r="E1174" s="120" t="s">
        <v>3270</v>
      </c>
      <c r="F1174" s="120" t="s">
        <v>71</v>
      </c>
      <c r="G1174" s="120">
        <v>38</v>
      </c>
      <c r="H1174">
        <v>0</v>
      </c>
      <c r="I1174" s="120" t="s">
        <v>57</v>
      </c>
      <c r="J1174">
        <v>38</v>
      </c>
      <c r="K1174">
        <v>0</v>
      </c>
      <c r="L1174">
        <v>0</v>
      </c>
      <c r="M1174">
        <v>0</v>
      </c>
      <c r="N1174">
        <v>0</v>
      </c>
    </row>
    <row r="1175" spans="1:14" hidden="1" x14ac:dyDescent="0.25">
      <c r="A1175" s="120" t="s">
        <v>3772</v>
      </c>
      <c r="B1175" s="120" t="s">
        <v>3773</v>
      </c>
      <c r="C1175" s="120" t="s">
        <v>69</v>
      </c>
      <c r="D1175" s="120" t="s">
        <v>3792</v>
      </c>
      <c r="E1175" s="120" t="s">
        <v>3183</v>
      </c>
      <c r="F1175" s="120" t="s">
        <v>18</v>
      </c>
      <c r="G1175" s="120">
        <v>0</v>
      </c>
      <c r="H1175">
        <v>0</v>
      </c>
      <c r="I1175" s="120" t="s">
        <v>57</v>
      </c>
      <c r="J1175">
        <v>0</v>
      </c>
      <c r="K1175">
        <v>1</v>
      </c>
      <c r="L1175" s="121">
        <v>0</v>
      </c>
      <c r="M1175" s="121">
        <v>0</v>
      </c>
      <c r="N1175" s="121">
        <v>0</v>
      </c>
    </row>
    <row r="1176" spans="1:14" hidden="1" x14ac:dyDescent="0.25">
      <c r="A1176" s="120" t="s">
        <v>3772</v>
      </c>
      <c r="B1176" s="120" t="s">
        <v>3773</v>
      </c>
      <c r="C1176" s="120" t="s">
        <v>69</v>
      </c>
      <c r="D1176" s="120" t="s">
        <v>3507</v>
      </c>
      <c r="E1176" s="120" t="s">
        <v>110</v>
      </c>
      <c r="F1176" s="120" t="s">
        <v>18</v>
      </c>
      <c r="G1176" s="120">
        <v>12</v>
      </c>
      <c r="H1176">
        <v>0</v>
      </c>
      <c r="I1176" s="120" t="s">
        <v>57</v>
      </c>
      <c r="J1176">
        <v>12</v>
      </c>
      <c r="K1176">
        <v>0</v>
      </c>
      <c r="L1176">
        <v>0</v>
      </c>
      <c r="M1176">
        <v>0</v>
      </c>
      <c r="N1176">
        <v>0</v>
      </c>
    </row>
    <row r="1177" spans="1:14" hidden="1" x14ac:dyDescent="0.25">
      <c r="A1177" s="120" t="s">
        <v>3772</v>
      </c>
      <c r="B1177" s="120" t="s">
        <v>3773</v>
      </c>
      <c r="C1177" s="120" t="s">
        <v>69</v>
      </c>
      <c r="D1177" s="120" t="s">
        <v>726</v>
      </c>
      <c r="E1177" s="120" t="s">
        <v>727</v>
      </c>
      <c r="F1177" s="120" t="s">
        <v>18</v>
      </c>
      <c r="G1177" s="120">
        <v>53</v>
      </c>
      <c r="H1177">
        <v>28</v>
      </c>
      <c r="I1177" s="120" t="s">
        <v>57</v>
      </c>
      <c r="J1177">
        <v>25</v>
      </c>
      <c r="K1177">
        <v>0</v>
      </c>
      <c r="L1177">
        <v>85</v>
      </c>
      <c r="M1177">
        <v>4505</v>
      </c>
      <c r="N1177">
        <v>2380</v>
      </c>
    </row>
    <row r="1178" spans="1:14" hidden="1" x14ac:dyDescent="0.25">
      <c r="A1178" s="120" t="s">
        <v>3772</v>
      </c>
      <c r="B1178" s="120" t="s">
        <v>3773</v>
      </c>
      <c r="C1178" s="120" t="s">
        <v>69</v>
      </c>
      <c r="D1178" s="120" t="s">
        <v>740</v>
      </c>
      <c r="E1178" s="120" t="s">
        <v>103</v>
      </c>
      <c r="F1178" s="120" t="s">
        <v>14</v>
      </c>
      <c r="G1178" s="120">
        <v>150</v>
      </c>
      <c r="H1178">
        <v>0</v>
      </c>
      <c r="I1178" s="120" t="s">
        <v>57</v>
      </c>
      <c r="J1178">
        <v>150</v>
      </c>
      <c r="K1178">
        <v>0</v>
      </c>
      <c r="L1178">
        <v>29</v>
      </c>
      <c r="M1178">
        <v>4350</v>
      </c>
      <c r="N1178">
        <v>0</v>
      </c>
    </row>
    <row r="1179" spans="1:14" hidden="1" x14ac:dyDescent="0.25">
      <c r="A1179" s="120" t="s">
        <v>3772</v>
      </c>
      <c r="B1179" s="120" t="s">
        <v>3773</v>
      </c>
      <c r="C1179" s="120" t="s">
        <v>69</v>
      </c>
      <c r="D1179" s="120" t="s">
        <v>1110</v>
      </c>
      <c r="E1179" s="120" t="s">
        <v>1111</v>
      </c>
      <c r="F1179" s="120" t="s">
        <v>183</v>
      </c>
      <c r="G1179" s="120">
        <v>0</v>
      </c>
      <c r="H1179">
        <v>0</v>
      </c>
      <c r="I1179" s="120" t="s">
        <v>57</v>
      </c>
      <c r="J1179">
        <v>0</v>
      </c>
      <c r="K1179">
        <v>1</v>
      </c>
      <c r="L1179" s="121">
        <v>8</v>
      </c>
      <c r="M1179" s="121">
        <v>0</v>
      </c>
      <c r="N1179" s="121">
        <v>0</v>
      </c>
    </row>
    <row r="1180" spans="1:14" hidden="1" x14ac:dyDescent="0.25">
      <c r="A1180" s="120" t="s">
        <v>3772</v>
      </c>
      <c r="B1180" s="120" t="s">
        <v>3773</v>
      </c>
      <c r="C1180" s="120" t="s">
        <v>69</v>
      </c>
      <c r="D1180" s="120" t="s">
        <v>686</v>
      </c>
      <c r="E1180" s="120" t="s">
        <v>270</v>
      </c>
      <c r="F1180" s="120" t="s">
        <v>10</v>
      </c>
      <c r="G1180" s="120">
        <v>43</v>
      </c>
      <c r="H1180">
        <v>0</v>
      </c>
      <c r="I1180" s="120" t="s">
        <v>57</v>
      </c>
      <c r="J1180">
        <v>43</v>
      </c>
      <c r="K1180">
        <v>0</v>
      </c>
      <c r="L1180">
        <v>18</v>
      </c>
      <c r="M1180">
        <v>774</v>
      </c>
      <c r="N1180">
        <v>0</v>
      </c>
    </row>
    <row r="1181" spans="1:14" hidden="1" x14ac:dyDescent="0.25">
      <c r="A1181" s="120" t="s">
        <v>3772</v>
      </c>
      <c r="B1181" s="120" t="s">
        <v>3773</v>
      </c>
      <c r="C1181" s="120" t="s">
        <v>69</v>
      </c>
      <c r="D1181" s="120" t="s">
        <v>574</v>
      </c>
      <c r="E1181" s="120" t="s">
        <v>575</v>
      </c>
      <c r="F1181" s="120" t="s">
        <v>233</v>
      </c>
      <c r="G1181" s="120">
        <v>0</v>
      </c>
      <c r="H1181">
        <v>0</v>
      </c>
      <c r="I1181" s="120" t="s">
        <v>57</v>
      </c>
      <c r="J1181">
        <v>0</v>
      </c>
      <c r="K1181">
        <v>1</v>
      </c>
      <c r="L1181" s="121">
        <v>54</v>
      </c>
      <c r="M1181" s="121">
        <v>0</v>
      </c>
      <c r="N1181" s="121">
        <v>0</v>
      </c>
    </row>
    <row r="1182" spans="1:14" hidden="1" x14ac:dyDescent="0.25">
      <c r="A1182" s="120" t="s">
        <v>3772</v>
      </c>
      <c r="B1182" s="120" t="s">
        <v>3773</v>
      </c>
      <c r="C1182" s="120" t="s">
        <v>69</v>
      </c>
      <c r="D1182" s="120" t="s">
        <v>578</v>
      </c>
      <c r="E1182" s="120" t="s">
        <v>579</v>
      </c>
      <c r="F1182" s="120" t="s">
        <v>233</v>
      </c>
      <c r="G1182" s="120">
        <v>0</v>
      </c>
      <c r="H1182">
        <v>0</v>
      </c>
      <c r="I1182" s="120" t="s">
        <v>57</v>
      </c>
      <c r="J1182">
        <v>0</v>
      </c>
      <c r="K1182">
        <v>1</v>
      </c>
      <c r="L1182" s="121">
        <v>54</v>
      </c>
      <c r="M1182" s="121">
        <v>0</v>
      </c>
      <c r="N1182" s="121">
        <v>0</v>
      </c>
    </row>
    <row r="1183" spans="1:14" hidden="1" x14ac:dyDescent="0.25">
      <c r="A1183" s="120" t="s">
        <v>3772</v>
      </c>
      <c r="B1183" s="120" t="s">
        <v>3773</v>
      </c>
      <c r="C1183" s="120" t="s">
        <v>69</v>
      </c>
      <c r="D1183" s="120" t="s">
        <v>584</v>
      </c>
      <c r="E1183" s="120" t="s">
        <v>585</v>
      </c>
      <c r="F1183" s="120" t="s">
        <v>233</v>
      </c>
      <c r="G1183" s="120">
        <v>0</v>
      </c>
      <c r="H1183">
        <v>0</v>
      </c>
      <c r="I1183" s="120" t="s">
        <v>57</v>
      </c>
      <c r="J1183">
        <v>0</v>
      </c>
      <c r="K1183">
        <v>1</v>
      </c>
      <c r="L1183" s="121">
        <v>54</v>
      </c>
      <c r="M1183" s="121">
        <v>0</v>
      </c>
      <c r="N1183" s="121">
        <v>0</v>
      </c>
    </row>
    <row r="1184" spans="1:14" hidden="1" x14ac:dyDescent="0.25">
      <c r="A1184" s="120" t="s">
        <v>3772</v>
      </c>
      <c r="B1184" s="120" t="s">
        <v>3773</v>
      </c>
      <c r="C1184" s="120" t="s">
        <v>69</v>
      </c>
      <c r="D1184" s="120" t="s">
        <v>3788</v>
      </c>
      <c r="E1184" s="120" t="s">
        <v>3040</v>
      </c>
      <c r="F1184" s="120" t="s">
        <v>18</v>
      </c>
      <c r="G1184" s="120">
        <v>0</v>
      </c>
      <c r="H1184">
        <v>0</v>
      </c>
      <c r="I1184" s="120" t="s">
        <v>57</v>
      </c>
      <c r="J1184">
        <v>0</v>
      </c>
      <c r="K1184">
        <v>1</v>
      </c>
      <c r="L1184" s="121">
        <v>0</v>
      </c>
      <c r="M1184" s="121">
        <v>0</v>
      </c>
      <c r="N1184" s="121">
        <v>0</v>
      </c>
    </row>
    <row r="1185" spans="1:14" hidden="1" x14ac:dyDescent="0.25">
      <c r="A1185" s="120" t="s">
        <v>3772</v>
      </c>
      <c r="B1185" s="120" t="s">
        <v>3773</v>
      </c>
      <c r="C1185" s="120" t="s">
        <v>69</v>
      </c>
      <c r="D1185" s="120" t="s">
        <v>1220</v>
      </c>
      <c r="E1185" s="120" t="s">
        <v>1221</v>
      </c>
      <c r="F1185" s="120" t="s">
        <v>18</v>
      </c>
      <c r="G1185" s="120">
        <v>14</v>
      </c>
      <c r="H1185">
        <v>15</v>
      </c>
      <c r="I1185" s="120" t="s">
        <v>57</v>
      </c>
      <c r="J1185">
        <v>-1</v>
      </c>
      <c r="K1185">
        <v>0</v>
      </c>
      <c r="L1185">
        <v>48</v>
      </c>
      <c r="M1185">
        <v>672</v>
      </c>
      <c r="N1185">
        <v>720</v>
      </c>
    </row>
    <row r="1186" spans="1:14" hidden="1" x14ac:dyDescent="0.25">
      <c r="A1186" s="120" t="s">
        <v>3772</v>
      </c>
      <c r="B1186" s="120" t="s">
        <v>3773</v>
      </c>
      <c r="C1186" s="120" t="s">
        <v>69</v>
      </c>
      <c r="D1186" s="120" t="s">
        <v>3577</v>
      </c>
      <c r="E1186" s="120" t="s">
        <v>3036</v>
      </c>
      <c r="F1186" s="120" t="s">
        <v>18</v>
      </c>
      <c r="G1186" s="120">
        <v>10</v>
      </c>
      <c r="H1186">
        <v>0</v>
      </c>
      <c r="I1186" s="120" t="s">
        <v>57</v>
      </c>
      <c r="J1186">
        <v>10</v>
      </c>
      <c r="K1186">
        <v>0</v>
      </c>
      <c r="L1186">
        <v>0</v>
      </c>
      <c r="M1186">
        <v>0</v>
      </c>
      <c r="N1186">
        <v>0</v>
      </c>
    </row>
    <row r="1187" spans="1:14" hidden="1" x14ac:dyDescent="0.25">
      <c r="A1187" s="120" t="s">
        <v>3772</v>
      </c>
      <c r="B1187" s="120" t="s">
        <v>3773</v>
      </c>
      <c r="C1187" s="120" t="s">
        <v>69</v>
      </c>
      <c r="D1187" s="120" t="s">
        <v>652</v>
      </c>
      <c r="E1187" s="120" t="s">
        <v>653</v>
      </c>
      <c r="F1187" s="120" t="s">
        <v>59</v>
      </c>
      <c r="G1187" s="120">
        <v>0</v>
      </c>
      <c r="H1187">
        <v>2</v>
      </c>
      <c r="I1187" s="120" t="s">
        <v>57</v>
      </c>
      <c r="J1187">
        <v>-2</v>
      </c>
      <c r="K1187">
        <v>0</v>
      </c>
      <c r="L1187">
        <v>74.900000000000006</v>
      </c>
      <c r="M1187">
        <v>0</v>
      </c>
      <c r="N1187">
        <v>149.80000000000001</v>
      </c>
    </row>
    <row r="1188" spans="1:14" hidden="1" x14ac:dyDescent="0.25">
      <c r="A1188" s="120" t="s">
        <v>3772</v>
      </c>
      <c r="B1188" s="120" t="s">
        <v>3773</v>
      </c>
      <c r="C1188" s="120" t="s">
        <v>69</v>
      </c>
      <c r="D1188" s="120" t="s">
        <v>1204</v>
      </c>
      <c r="E1188" s="120" t="s">
        <v>3762</v>
      </c>
      <c r="F1188" s="120" t="s">
        <v>10</v>
      </c>
      <c r="G1188" s="120">
        <v>1</v>
      </c>
      <c r="H1188">
        <v>1</v>
      </c>
      <c r="I1188" s="120" t="s">
        <v>57</v>
      </c>
      <c r="J1188">
        <v>0</v>
      </c>
      <c r="K1188">
        <v>1</v>
      </c>
      <c r="L1188" s="121">
        <v>37.9</v>
      </c>
      <c r="M1188" s="121">
        <v>37.9</v>
      </c>
      <c r="N1188" s="121">
        <v>37.9</v>
      </c>
    </row>
    <row r="1189" spans="1:14" hidden="1" x14ac:dyDescent="0.25">
      <c r="A1189" s="120" t="s">
        <v>3772</v>
      </c>
      <c r="B1189" s="120" t="s">
        <v>3773</v>
      </c>
      <c r="C1189" s="120" t="s">
        <v>69</v>
      </c>
      <c r="D1189" s="120" t="s">
        <v>646</v>
      </c>
      <c r="E1189" s="120" t="s">
        <v>647</v>
      </c>
      <c r="F1189" s="120" t="s">
        <v>18</v>
      </c>
      <c r="G1189" s="120">
        <v>58</v>
      </c>
      <c r="H1189">
        <v>0</v>
      </c>
      <c r="I1189" s="120" t="s">
        <v>57</v>
      </c>
      <c r="J1189">
        <v>58</v>
      </c>
      <c r="K1189">
        <v>0</v>
      </c>
      <c r="L1189">
        <v>68</v>
      </c>
      <c r="M1189">
        <v>3944</v>
      </c>
      <c r="N1189">
        <v>0</v>
      </c>
    </row>
    <row r="1190" spans="1:14" hidden="1" x14ac:dyDescent="0.25">
      <c r="A1190" s="120" t="s">
        <v>3772</v>
      </c>
      <c r="B1190" s="120" t="s">
        <v>3773</v>
      </c>
      <c r="C1190" s="120" t="s">
        <v>69</v>
      </c>
      <c r="D1190" s="120" t="s">
        <v>3784</v>
      </c>
      <c r="E1190" s="120" t="s">
        <v>3032</v>
      </c>
      <c r="F1190" s="120" t="s">
        <v>18</v>
      </c>
      <c r="G1190" s="120">
        <v>103</v>
      </c>
      <c r="H1190">
        <v>0</v>
      </c>
      <c r="I1190" s="120" t="s">
        <v>57</v>
      </c>
      <c r="J1190">
        <v>103</v>
      </c>
      <c r="K1190">
        <v>0</v>
      </c>
      <c r="L1190">
        <v>0</v>
      </c>
      <c r="M1190">
        <v>0</v>
      </c>
      <c r="N1190">
        <v>0</v>
      </c>
    </row>
    <row r="1191" spans="1:14" hidden="1" x14ac:dyDescent="0.25">
      <c r="A1191" s="120" t="s">
        <v>3772</v>
      </c>
      <c r="B1191" s="120" t="s">
        <v>3773</v>
      </c>
      <c r="C1191" s="120" t="s">
        <v>69</v>
      </c>
      <c r="D1191" s="120" t="s">
        <v>662</v>
      </c>
      <c r="E1191" s="120" t="s">
        <v>663</v>
      </c>
      <c r="F1191" s="120" t="s">
        <v>10</v>
      </c>
      <c r="G1191" s="120">
        <v>41</v>
      </c>
      <c r="H1191">
        <v>43</v>
      </c>
      <c r="I1191" s="120" t="s">
        <v>57</v>
      </c>
      <c r="J1191">
        <v>-2</v>
      </c>
      <c r="K1191">
        <v>0</v>
      </c>
      <c r="L1191">
        <v>68</v>
      </c>
      <c r="M1191">
        <v>2788</v>
      </c>
      <c r="N1191">
        <v>2924</v>
      </c>
    </row>
    <row r="1192" spans="1:14" hidden="1" x14ac:dyDescent="0.25">
      <c r="A1192" s="120" t="s">
        <v>3591</v>
      </c>
      <c r="B1192" s="120" t="s">
        <v>3592</v>
      </c>
      <c r="C1192" s="120" t="s">
        <v>69</v>
      </c>
      <c r="D1192" s="120" t="s">
        <v>1156</v>
      </c>
      <c r="E1192" s="120" t="s">
        <v>115</v>
      </c>
      <c r="F1192" s="120" t="s">
        <v>18</v>
      </c>
      <c r="G1192" s="120">
        <v>60</v>
      </c>
      <c r="H1192">
        <v>66</v>
      </c>
      <c r="I1192" s="120" t="s">
        <v>11</v>
      </c>
      <c r="J1192">
        <v>-6</v>
      </c>
      <c r="K1192">
        <v>0</v>
      </c>
      <c r="L1192" s="121">
        <v>2.46</v>
      </c>
      <c r="M1192" s="121">
        <v>147.6</v>
      </c>
      <c r="N1192" s="121">
        <v>162.35999999999999</v>
      </c>
    </row>
    <row r="1193" spans="1:14" hidden="1" x14ac:dyDescent="0.25">
      <c r="A1193" s="120" t="s">
        <v>3591</v>
      </c>
      <c r="B1193" s="120" t="s">
        <v>3592</v>
      </c>
      <c r="C1193" s="120" t="s">
        <v>69</v>
      </c>
      <c r="D1193" s="120" t="s">
        <v>1154</v>
      </c>
      <c r="E1193" s="120" t="s">
        <v>113</v>
      </c>
      <c r="F1193" s="120" t="s">
        <v>71</v>
      </c>
      <c r="G1193" s="120">
        <v>94</v>
      </c>
      <c r="H1193">
        <v>87</v>
      </c>
      <c r="I1193" s="120" t="s">
        <v>11</v>
      </c>
      <c r="J1193">
        <v>7</v>
      </c>
      <c r="K1193">
        <v>0</v>
      </c>
      <c r="L1193" s="121">
        <v>3.4</v>
      </c>
      <c r="M1193" s="121">
        <v>319.59999999999997</v>
      </c>
      <c r="N1193" s="121">
        <v>295.8</v>
      </c>
    </row>
    <row r="1194" spans="1:14" hidden="1" x14ac:dyDescent="0.25">
      <c r="A1194" s="120" t="s">
        <v>3591</v>
      </c>
      <c r="B1194" s="120" t="s">
        <v>3592</v>
      </c>
      <c r="C1194" s="120" t="s">
        <v>69</v>
      </c>
      <c r="D1194" s="120" t="s">
        <v>1194</v>
      </c>
      <c r="E1194" s="120" t="s">
        <v>186</v>
      </c>
      <c r="F1194" s="120" t="s">
        <v>71</v>
      </c>
      <c r="G1194" s="120">
        <v>31</v>
      </c>
      <c r="H1194">
        <v>27</v>
      </c>
      <c r="I1194" s="120" t="s">
        <v>11</v>
      </c>
      <c r="J1194">
        <v>4</v>
      </c>
      <c r="K1194">
        <v>0</v>
      </c>
      <c r="L1194" s="121">
        <v>3.5</v>
      </c>
      <c r="M1194" s="121">
        <v>108.5</v>
      </c>
      <c r="N1194" s="121">
        <v>94.5</v>
      </c>
    </row>
    <row r="1195" spans="1:14" hidden="1" x14ac:dyDescent="0.25">
      <c r="A1195" s="120" t="s">
        <v>3591</v>
      </c>
      <c r="B1195" s="120" t="s">
        <v>3592</v>
      </c>
      <c r="C1195" s="120" t="s">
        <v>69</v>
      </c>
      <c r="D1195" s="120" t="s">
        <v>687</v>
      </c>
      <c r="E1195" s="120" t="s">
        <v>99</v>
      </c>
      <c r="F1195" s="120" t="s">
        <v>10</v>
      </c>
      <c r="G1195" s="120">
        <v>133</v>
      </c>
      <c r="H1195">
        <v>26</v>
      </c>
      <c r="I1195" s="120" t="s">
        <v>11</v>
      </c>
      <c r="J1195">
        <v>107</v>
      </c>
      <c r="K1195">
        <v>0</v>
      </c>
      <c r="L1195" s="121">
        <v>9</v>
      </c>
      <c r="M1195" s="121">
        <v>1197</v>
      </c>
      <c r="N1195" s="121">
        <v>234</v>
      </c>
    </row>
    <row r="1196" spans="1:14" hidden="1" x14ac:dyDescent="0.25">
      <c r="A1196" s="120" t="s">
        <v>3591</v>
      </c>
      <c r="B1196" s="120" t="s">
        <v>3592</v>
      </c>
      <c r="C1196" s="120" t="s">
        <v>69</v>
      </c>
      <c r="D1196" s="120" t="s">
        <v>1189</v>
      </c>
      <c r="E1196" s="120" t="s">
        <v>44</v>
      </c>
      <c r="F1196" s="120" t="s">
        <v>18</v>
      </c>
      <c r="G1196" s="120">
        <v>18</v>
      </c>
      <c r="H1196">
        <v>13</v>
      </c>
      <c r="I1196" s="120" t="s">
        <v>11</v>
      </c>
      <c r="J1196">
        <v>5</v>
      </c>
      <c r="K1196">
        <v>0</v>
      </c>
      <c r="L1196" s="121">
        <v>58</v>
      </c>
      <c r="M1196" s="121">
        <v>1044</v>
      </c>
      <c r="N1196" s="121">
        <v>754</v>
      </c>
    </row>
    <row r="1197" spans="1:14" hidden="1" x14ac:dyDescent="0.25">
      <c r="A1197" s="120" t="s">
        <v>3591</v>
      </c>
      <c r="B1197" s="120" t="s">
        <v>3592</v>
      </c>
      <c r="C1197" s="120" t="s">
        <v>69</v>
      </c>
      <c r="D1197" s="120" t="s">
        <v>1760</v>
      </c>
      <c r="E1197" s="120" t="s">
        <v>530</v>
      </c>
      <c r="F1197" s="120" t="s">
        <v>10</v>
      </c>
      <c r="G1197" s="120">
        <v>38</v>
      </c>
      <c r="H1197">
        <v>46</v>
      </c>
      <c r="I1197" s="120" t="s">
        <v>11</v>
      </c>
      <c r="J1197">
        <v>-8</v>
      </c>
      <c r="K1197">
        <v>0</v>
      </c>
      <c r="L1197" s="121">
        <v>165</v>
      </c>
      <c r="M1197" s="121">
        <v>6270</v>
      </c>
      <c r="N1197" s="121">
        <v>7590</v>
      </c>
    </row>
    <row r="1198" spans="1:14" hidden="1" x14ac:dyDescent="0.25">
      <c r="A1198" s="120" t="s">
        <v>3591</v>
      </c>
      <c r="B1198" s="120" t="s">
        <v>3592</v>
      </c>
      <c r="C1198" s="120" t="s">
        <v>69</v>
      </c>
      <c r="D1198" s="120" t="s">
        <v>3502</v>
      </c>
      <c r="E1198" s="120" t="s">
        <v>96</v>
      </c>
      <c r="F1198" s="120" t="s">
        <v>10</v>
      </c>
      <c r="G1198" s="120">
        <v>42</v>
      </c>
      <c r="H1198">
        <v>0</v>
      </c>
      <c r="I1198" s="120" t="s">
        <v>11</v>
      </c>
      <c r="J1198">
        <v>42</v>
      </c>
      <c r="K1198">
        <v>0</v>
      </c>
      <c r="L1198" s="121">
        <v>0</v>
      </c>
      <c r="M1198" s="121">
        <v>0</v>
      </c>
      <c r="N1198" s="121">
        <v>0</v>
      </c>
    </row>
    <row r="1199" spans="1:14" hidden="1" x14ac:dyDescent="0.25">
      <c r="A1199" s="120" t="s">
        <v>3591</v>
      </c>
      <c r="B1199" s="120" t="s">
        <v>3592</v>
      </c>
      <c r="C1199" s="120" t="s">
        <v>69</v>
      </c>
      <c r="D1199" s="120" t="s">
        <v>725</v>
      </c>
      <c r="E1199" s="120" t="s">
        <v>519</v>
      </c>
      <c r="F1199" s="120" t="s">
        <v>10</v>
      </c>
      <c r="G1199" s="120">
        <v>14</v>
      </c>
      <c r="H1199">
        <v>17</v>
      </c>
      <c r="I1199" s="120" t="s">
        <v>11</v>
      </c>
      <c r="J1199">
        <v>-3</v>
      </c>
      <c r="K1199">
        <v>0</v>
      </c>
      <c r="L1199" s="121">
        <v>140</v>
      </c>
      <c r="M1199" s="121">
        <v>1960</v>
      </c>
      <c r="N1199" s="121">
        <v>2380</v>
      </c>
    </row>
    <row r="1200" spans="1:14" hidden="1" x14ac:dyDescent="0.25">
      <c r="A1200" s="120" t="s">
        <v>3591</v>
      </c>
      <c r="B1200" s="120" t="s">
        <v>3592</v>
      </c>
      <c r="C1200" s="120" t="s">
        <v>69</v>
      </c>
      <c r="D1200" s="120" t="s">
        <v>678</v>
      </c>
      <c r="E1200" s="120" t="s">
        <v>97</v>
      </c>
      <c r="F1200" s="120" t="s">
        <v>18</v>
      </c>
      <c r="G1200" s="120">
        <v>49</v>
      </c>
      <c r="H1200">
        <v>75</v>
      </c>
      <c r="I1200" s="120" t="s">
        <v>11</v>
      </c>
      <c r="J1200">
        <v>-26</v>
      </c>
      <c r="K1200">
        <v>0</v>
      </c>
      <c r="L1200" s="121">
        <v>34</v>
      </c>
      <c r="M1200" s="121">
        <v>1666</v>
      </c>
      <c r="N1200" s="121">
        <v>2550</v>
      </c>
    </row>
    <row r="1201" spans="1:14" hidden="1" x14ac:dyDescent="0.25">
      <c r="A1201" s="120" t="s">
        <v>3591</v>
      </c>
      <c r="B1201" s="120" t="s">
        <v>3592</v>
      </c>
      <c r="C1201" s="120" t="s">
        <v>69</v>
      </c>
      <c r="D1201" s="120" t="s">
        <v>1161</v>
      </c>
      <c r="E1201" s="120" t="s">
        <v>184</v>
      </c>
      <c r="F1201" s="120" t="s">
        <v>18</v>
      </c>
      <c r="G1201" s="120">
        <v>0</v>
      </c>
      <c r="H1201">
        <v>3</v>
      </c>
      <c r="I1201" s="120" t="s">
        <v>11</v>
      </c>
      <c r="J1201">
        <v>-3</v>
      </c>
      <c r="K1201">
        <v>0</v>
      </c>
      <c r="L1201">
        <v>10.4</v>
      </c>
      <c r="M1201">
        <v>0</v>
      </c>
      <c r="N1201">
        <v>31.200000000000003</v>
      </c>
    </row>
    <row r="1202" spans="1:14" hidden="1" x14ac:dyDescent="0.25">
      <c r="A1202" s="120" t="s">
        <v>3591</v>
      </c>
      <c r="B1202" s="120" t="s">
        <v>3592</v>
      </c>
      <c r="C1202" s="120" t="s">
        <v>69</v>
      </c>
      <c r="D1202" s="120" t="s">
        <v>3546</v>
      </c>
      <c r="E1202" s="120" t="s">
        <v>239</v>
      </c>
      <c r="F1202" s="120" t="s">
        <v>18</v>
      </c>
      <c r="G1202" s="120">
        <v>1</v>
      </c>
      <c r="H1202">
        <v>0</v>
      </c>
      <c r="I1202" s="120" t="s">
        <v>11</v>
      </c>
      <c r="J1202">
        <v>1</v>
      </c>
      <c r="K1202">
        <v>0</v>
      </c>
      <c r="L1202" s="121">
        <v>0</v>
      </c>
      <c r="M1202" s="121">
        <v>0</v>
      </c>
      <c r="N1202" s="121">
        <v>0</v>
      </c>
    </row>
    <row r="1203" spans="1:14" hidden="1" x14ac:dyDescent="0.25">
      <c r="A1203" s="120" t="s">
        <v>3591</v>
      </c>
      <c r="B1203" s="120" t="s">
        <v>3592</v>
      </c>
      <c r="C1203" s="120" t="s">
        <v>69</v>
      </c>
      <c r="D1203" s="120" t="s">
        <v>1239</v>
      </c>
      <c r="E1203" s="120" t="s">
        <v>121</v>
      </c>
      <c r="F1203" s="120" t="s">
        <v>10</v>
      </c>
      <c r="G1203" s="120">
        <v>71</v>
      </c>
      <c r="H1203">
        <v>37</v>
      </c>
      <c r="I1203" s="120" t="s">
        <v>11</v>
      </c>
      <c r="J1203">
        <v>34</v>
      </c>
      <c r="K1203">
        <v>0</v>
      </c>
      <c r="L1203" s="121">
        <v>10.5</v>
      </c>
      <c r="M1203" s="121">
        <v>745.5</v>
      </c>
      <c r="N1203" s="121">
        <v>388.5</v>
      </c>
    </row>
    <row r="1204" spans="1:14" hidden="1" x14ac:dyDescent="0.25">
      <c r="A1204" s="120" t="s">
        <v>3591</v>
      </c>
      <c r="B1204" s="120" t="s">
        <v>3592</v>
      </c>
      <c r="C1204" s="120" t="s">
        <v>69</v>
      </c>
      <c r="D1204" s="120" t="s">
        <v>3691</v>
      </c>
      <c r="E1204" s="120" t="s">
        <v>522</v>
      </c>
      <c r="F1204" s="120" t="s">
        <v>183</v>
      </c>
      <c r="G1204" s="120">
        <v>18</v>
      </c>
      <c r="H1204">
        <v>0</v>
      </c>
      <c r="I1204" s="120" t="s">
        <v>11</v>
      </c>
      <c r="J1204">
        <v>18</v>
      </c>
      <c r="K1204">
        <v>0</v>
      </c>
      <c r="L1204" s="121">
        <v>0</v>
      </c>
      <c r="M1204" s="121">
        <v>0</v>
      </c>
      <c r="N1204" s="121">
        <v>0</v>
      </c>
    </row>
    <row r="1205" spans="1:14" hidden="1" x14ac:dyDescent="0.25">
      <c r="A1205" s="120" t="s">
        <v>3591</v>
      </c>
      <c r="B1205" s="120" t="s">
        <v>3592</v>
      </c>
      <c r="C1205" s="120" t="s">
        <v>69</v>
      </c>
      <c r="D1205" s="120" t="s">
        <v>3468</v>
      </c>
      <c r="E1205" s="120" t="s">
        <v>517</v>
      </c>
      <c r="F1205" s="120" t="s">
        <v>10</v>
      </c>
      <c r="G1205" s="120">
        <v>32</v>
      </c>
      <c r="H1205">
        <v>0</v>
      </c>
      <c r="I1205" s="120" t="s">
        <v>11</v>
      </c>
      <c r="J1205">
        <v>32</v>
      </c>
      <c r="K1205">
        <v>0</v>
      </c>
      <c r="L1205" s="121">
        <v>0</v>
      </c>
      <c r="M1205" s="121">
        <v>0</v>
      </c>
      <c r="N1205" s="121">
        <v>0</v>
      </c>
    </row>
    <row r="1206" spans="1:14" hidden="1" x14ac:dyDescent="0.25">
      <c r="A1206" s="120" t="s">
        <v>3591</v>
      </c>
      <c r="B1206" s="120" t="s">
        <v>3592</v>
      </c>
      <c r="C1206" s="120" t="s">
        <v>69</v>
      </c>
      <c r="D1206" s="120" t="s">
        <v>3503</v>
      </c>
      <c r="E1206" s="120" t="s">
        <v>105</v>
      </c>
      <c r="F1206" s="120" t="s">
        <v>18</v>
      </c>
      <c r="G1206" s="120">
        <v>10</v>
      </c>
      <c r="H1206">
        <v>0</v>
      </c>
      <c r="I1206" s="120" t="s">
        <v>11</v>
      </c>
      <c r="J1206">
        <v>10</v>
      </c>
      <c r="K1206">
        <v>0</v>
      </c>
      <c r="L1206" s="121">
        <v>0</v>
      </c>
      <c r="M1206" s="121">
        <v>0</v>
      </c>
      <c r="N1206" s="121">
        <v>0</v>
      </c>
    </row>
    <row r="1207" spans="1:14" hidden="1" x14ac:dyDescent="0.25">
      <c r="A1207" s="120" t="s">
        <v>3591</v>
      </c>
      <c r="B1207" s="120" t="s">
        <v>3592</v>
      </c>
      <c r="C1207" s="120" t="s">
        <v>69</v>
      </c>
      <c r="D1207" s="120" t="s">
        <v>566</v>
      </c>
      <c r="E1207" s="120" t="s">
        <v>501</v>
      </c>
      <c r="F1207" s="120" t="s">
        <v>18</v>
      </c>
      <c r="G1207" s="120">
        <v>60</v>
      </c>
      <c r="H1207">
        <v>34</v>
      </c>
      <c r="I1207" s="120" t="s">
        <v>11</v>
      </c>
      <c r="J1207">
        <v>26</v>
      </c>
      <c r="K1207">
        <v>0</v>
      </c>
      <c r="L1207" s="121">
        <v>25.7</v>
      </c>
      <c r="M1207" s="121">
        <v>1542</v>
      </c>
      <c r="N1207" s="121">
        <v>873.8</v>
      </c>
    </row>
    <row r="1208" spans="1:14" hidden="1" x14ac:dyDescent="0.25">
      <c r="A1208" s="120" t="s">
        <v>3591</v>
      </c>
      <c r="B1208" s="120" t="s">
        <v>3592</v>
      </c>
      <c r="C1208" s="120" t="s">
        <v>69</v>
      </c>
      <c r="D1208" s="120" t="s">
        <v>3685</v>
      </c>
      <c r="E1208" s="120" t="s">
        <v>511</v>
      </c>
      <c r="F1208" s="120" t="s">
        <v>10</v>
      </c>
      <c r="G1208" s="120">
        <v>17</v>
      </c>
      <c r="H1208">
        <v>0</v>
      </c>
      <c r="I1208" s="120" t="s">
        <v>11</v>
      </c>
      <c r="J1208">
        <v>17</v>
      </c>
      <c r="K1208">
        <v>0</v>
      </c>
      <c r="L1208" s="121">
        <v>0</v>
      </c>
      <c r="M1208" s="121">
        <v>0</v>
      </c>
      <c r="N1208" s="121">
        <v>0</v>
      </c>
    </row>
    <row r="1209" spans="1:14" hidden="1" x14ac:dyDescent="0.25">
      <c r="A1209" s="120" t="s">
        <v>3591</v>
      </c>
      <c r="B1209" s="120" t="s">
        <v>3592</v>
      </c>
      <c r="C1209" s="120" t="s">
        <v>69</v>
      </c>
      <c r="D1209" s="120" t="s">
        <v>1769</v>
      </c>
      <c r="E1209" s="120" t="s">
        <v>531</v>
      </c>
      <c r="F1209" s="120" t="s">
        <v>10</v>
      </c>
      <c r="G1209" s="120">
        <v>21</v>
      </c>
      <c r="H1209">
        <v>36</v>
      </c>
      <c r="I1209" s="120" t="s">
        <v>11</v>
      </c>
      <c r="J1209">
        <v>-15</v>
      </c>
      <c r="K1209">
        <v>0</v>
      </c>
      <c r="L1209" s="121">
        <v>139</v>
      </c>
      <c r="M1209" s="121">
        <v>2919</v>
      </c>
      <c r="N1209" s="121">
        <v>5004</v>
      </c>
    </row>
    <row r="1210" spans="1:14" hidden="1" x14ac:dyDescent="0.25">
      <c r="A1210" s="120" t="s">
        <v>3591</v>
      </c>
      <c r="B1210" s="120" t="s">
        <v>3592</v>
      </c>
      <c r="C1210" s="120" t="s">
        <v>69</v>
      </c>
      <c r="D1210" s="120" t="s">
        <v>738</v>
      </c>
      <c r="E1210" s="120" t="s">
        <v>102</v>
      </c>
      <c r="F1210" s="120" t="s">
        <v>18</v>
      </c>
      <c r="G1210" s="120">
        <v>89</v>
      </c>
      <c r="H1210">
        <v>87</v>
      </c>
      <c r="I1210" s="120" t="s">
        <v>11</v>
      </c>
      <c r="J1210">
        <v>2</v>
      </c>
      <c r="K1210">
        <v>0</v>
      </c>
      <c r="L1210" s="121">
        <v>10</v>
      </c>
      <c r="M1210" s="121">
        <v>890</v>
      </c>
      <c r="N1210" s="121">
        <v>870</v>
      </c>
    </row>
    <row r="1211" spans="1:14" hidden="1" x14ac:dyDescent="0.25">
      <c r="A1211" s="120" t="s">
        <v>3591</v>
      </c>
      <c r="B1211" s="120" t="s">
        <v>3592</v>
      </c>
      <c r="C1211" s="120" t="s">
        <v>69</v>
      </c>
      <c r="D1211" s="120" t="s">
        <v>1192</v>
      </c>
      <c r="E1211" s="120" t="s">
        <v>124</v>
      </c>
      <c r="F1211" s="120" t="s">
        <v>18</v>
      </c>
      <c r="G1211" s="120">
        <v>0</v>
      </c>
      <c r="H1211">
        <v>5</v>
      </c>
      <c r="I1211" s="120" t="s">
        <v>11</v>
      </c>
      <c r="J1211">
        <v>-5</v>
      </c>
      <c r="K1211">
        <v>0</v>
      </c>
      <c r="L1211">
        <v>3.5</v>
      </c>
      <c r="M1211">
        <v>0</v>
      </c>
      <c r="N1211">
        <v>17.5</v>
      </c>
    </row>
    <row r="1212" spans="1:14" hidden="1" x14ac:dyDescent="0.25">
      <c r="A1212" s="120" t="s">
        <v>3591</v>
      </c>
      <c r="B1212" s="120" t="s">
        <v>3592</v>
      </c>
      <c r="C1212" s="120" t="s">
        <v>69</v>
      </c>
      <c r="D1212" s="120" t="s">
        <v>3522</v>
      </c>
      <c r="E1212" s="120" t="s">
        <v>167</v>
      </c>
      <c r="F1212" s="120" t="s">
        <v>18</v>
      </c>
      <c r="G1212" s="120">
        <v>33</v>
      </c>
      <c r="H1212">
        <v>0</v>
      </c>
      <c r="I1212" s="120" t="s">
        <v>11</v>
      </c>
      <c r="J1212">
        <v>33</v>
      </c>
      <c r="K1212">
        <v>0</v>
      </c>
      <c r="L1212" s="121">
        <v>0</v>
      </c>
      <c r="M1212" s="121">
        <v>0</v>
      </c>
      <c r="N1212" s="121">
        <v>0</v>
      </c>
    </row>
    <row r="1213" spans="1:14" hidden="1" x14ac:dyDescent="0.25">
      <c r="A1213" s="120" t="s">
        <v>3591</v>
      </c>
      <c r="B1213" s="120" t="s">
        <v>3592</v>
      </c>
      <c r="C1213" s="120" t="s">
        <v>69</v>
      </c>
      <c r="D1213" s="120" t="s">
        <v>1099</v>
      </c>
      <c r="E1213" s="120" t="s">
        <v>180</v>
      </c>
      <c r="F1213" s="120" t="s">
        <v>10</v>
      </c>
      <c r="G1213" s="120">
        <v>37</v>
      </c>
      <c r="H1213">
        <v>38</v>
      </c>
      <c r="I1213" s="120" t="s">
        <v>11</v>
      </c>
      <c r="J1213">
        <v>-1</v>
      </c>
      <c r="K1213">
        <v>0</v>
      </c>
      <c r="L1213" s="121">
        <v>70</v>
      </c>
      <c r="M1213" s="121">
        <v>2590</v>
      </c>
      <c r="N1213" s="121">
        <v>2660</v>
      </c>
    </row>
    <row r="1214" spans="1:14" hidden="1" x14ac:dyDescent="0.25">
      <c r="A1214" s="120" t="s">
        <v>3591</v>
      </c>
      <c r="B1214" s="120" t="s">
        <v>3592</v>
      </c>
      <c r="C1214" s="120" t="s">
        <v>69</v>
      </c>
      <c r="D1214" s="120" t="s">
        <v>1100</v>
      </c>
      <c r="E1214" s="120" t="s">
        <v>521</v>
      </c>
      <c r="F1214" s="120" t="s">
        <v>18</v>
      </c>
      <c r="G1214" s="120">
        <v>37</v>
      </c>
      <c r="H1214">
        <v>35</v>
      </c>
      <c r="I1214" s="120" t="s">
        <v>11</v>
      </c>
      <c r="J1214">
        <v>2</v>
      </c>
      <c r="K1214">
        <v>0</v>
      </c>
      <c r="L1214" s="121">
        <v>68</v>
      </c>
      <c r="M1214" s="121">
        <v>2516</v>
      </c>
      <c r="N1214" s="121">
        <v>2380</v>
      </c>
    </row>
    <row r="1215" spans="1:14" hidden="1" x14ac:dyDescent="0.25">
      <c r="A1215" s="120" t="s">
        <v>3591</v>
      </c>
      <c r="B1215" s="120" t="s">
        <v>3592</v>
      </c>
      <c r="C1215" s="120" t="s">
        <v>69</v>
      </c>
      <c r="D1215" s="120" t="s">
        <v>1113</v>
      </c>
      <c r="E1215" s="120" t="s">
        <v>106</v>
      </c>
      <c r="F1215" s="120" t="s">
        <v>18</v>
      </c>
      <c r="G1215" s="120">
        <v>25</v>
      </c>
      <c r="H1215">
        <v>27</v>
      </c>
      <c r="I1215" s="120" t="s">
        <v>11</v>
      </c>
      <c r="J1215">
        <v>-2</v>
      </c>
      <c r="K1215">
        <v>0</v>
      </c>
      <c r="L1215" s="121">
        <v>99</v>
      </c>
      <c r="M1215" s="121">
        <v>2475</v>
      </c>
      <c r="N1215" s="121">
        <v>2673</v>
      </c>
    </row>
    <row r="1216" spans="1:14" hidden="1" x14ac:dyDescent="0.25">
      <c r="A1216" s="120" t="s">
        <v>3591</v>
      </c>
      <c r="B1216" s="120" t="s">
        <v>3592</v>
      </c>
      <c r="C1216" s="120" t="s">
        <v>69</v>
      </c>
      <c r="D1216" s="120" t="s">
        <v>3523</v>
      </c>
      <c r="E1216" s="120" t="s">
        <v>168</v>
      </c>
      <c r="F1216" s="120" t="s">
        <v>18</v>
      </c>
      <c r="G1216" s="120">
        <v>36</v>
      </c>
      <c r="H1216">
        <v>0</v>
      </c>
      <c r="I1216" s="120" t="s">
        <v>11</v>
      </c>
      <c r="J1216">
        <v>36</v>
      </c>
      <c r="K1216">
        <v>0</v>
      </c>
      <c r="L1216" s="121">
        <v>0</v>
      </c>
      <c r="M1216" s="121">
        <v>0</v>
      </c>
      <c r="N1216" s="121">
        <v>0</v>
      </c>
    </row>
    <row r="1217" spans="1:14" hidden="1" x14ac:dyDescent="0.25">
      <c r="A1217" s="120" t="s">
        <v>3591</v>
      </c>
      <c r="B1217" s="120" t="s">
        <v>3592</v>
      </c>
      <c r="C1217" s="120" t="s">
        <v>69</v>
      </c>
      <c r="D1217" s="120" t="s">
        <v>1134</v>
      </c>
      <c r="E1217" s="120" t="s">
        <v>111</v>
      </c>
      <c r="F1217" s="120" t="s">
        <v>71</v>
      </c>
      <c r="G1217" s="120">
        <v>117</v>
      </c>
      <c r="H1217">
        <v>31</v>
      </c>
      <c r="I1217" s="120" t="s">
        <v>11</v>
      </c>
      <c r="J1217">
        <v>86</v>
      </c>
      <c r="K1217">
        <v>0</v>
      </c>
      <c r="L1217" s="121">
        <v>34</v>
      </c>
      <c r="M1217" s="121">
        <v>3978</v>
      </c>
      <c r="N1217" s="121">
        <v>1054</v>
      </c>
    </row>
    <row r="1218" spans="1:14" hidden="1" x14ac:dyDescent="0.25">
      <c r="A1218" s="120" t="s">
        <v>3591</v>
      </c>
      <c r="B1218" s="120" t="s">
        <v>3592</v>
      </c>
      <c r="C1218" s="120" t="s">
        <v>69</v>
      </c>
      <c r="D1218" s="120" t="s">
        <v>3509</v>
      </c>
      <c r="E1218" s="120" t="s">
        <v>116</v>
      </c>
      <c r="F1218" s="120" t="s">
        <v>18</v>
      </c>
      <c r="G1218" s="120">
        <v>0</v>
      </c>
      <c r="H1218">
        <v>0</v>
      </c>
      <c r="I1218" s="120" t="s">
        <v>11</v>
      </c>
      <c r="J1218">
        <v>0</v>
      </c>
      <c r="K1218">
        <v>1</v>
      </c>
      <c r="L1218" s="121">
        <v>0</v>
      </c>
      <c r="M1218" s="121">
        <v>0</v>
      </c>
      <c r="N1218" s="121">
        <v>0</v>
      </c>
    </row>
    <row r="1219" spans="1:14" hidden="1" x14ac:dyDescent="0.25">
      <c r="A1219" s="120" t="s">
        <v>3591</v>
      </c>
      <c r="B1219" s="120" t="s">
        <v>3592</v>
      </c>
      <c r="C1219" s="120" t="s">
        <v>69</v>
      </c>
      <c r="D1219" s="120" t="s">
        <v>3684</v>
      </c>
      <c r="E1219" s="120" t="s">
        <v>510</v>
      </c>
      <c r="F1219" s="120" t="s">
        <v>10</v>
      </c>
      <c r="G1219" s="120">
        <v>38</v>
      </c>
      <c r="H1219">
        <v>0</v>
      </c>
      <c r="I1219" s="120" t="s">
        <v>11</v>
      </c>
      <c r="J1219">
        <v>38</v>
      </c>
      <c r="K1219">
        <v>0</v>
      </c>
      <c r="L1219" s="121">
        <v>0</v>
      </c>
      <c r="M1219" s="121">
        <v>0</v>
      </c>
      <c r="N1219" s="121">
        <v>0</v>
      </c>
    </row>
    <row r="1220" spans="1:14" hidden="1" x14ac:dyDescent="0.25">
      <c r="A1220" s="120" t="s">
        <v>3591</v>
      </c>
      <c r="B1220" s="120" t="s">
        <v>3592</v>
      </c>
      <c r="C1220" s="120" t="s">
        <v>69</v>
      </c>
      <c r="D1220" s="120" t="s">
        <v>1155</v>
      </c>
      <c r="E1220" s="120" t="s">
        <v>114</v>
      </c>
      <c r="F1220" s="120" t="s">
        <v>71</v>
      </c>
      <c r="G1220" s="120">
        <v>56</v>
      </c>
      <c r="H1220">
        <v>62</v>
      </c>
      <c r="I1220" s="120" t="s">
        <v>11</v>
      </c>
      <c r="J1220">
        <v>-6</v>
      </c>
      <c r="K1220">
        <v>0</v>
      </c>
      <c r="L1220" s="121">
        <v>14</v>
      </c>
      <c r="M1220" s="121">
        <v>784</v>
      </c>
      <c r="N1220" s="121">
        <v>868</v>
      </c>
    </row>
    <row r="1221" spans="1:14" hidden="1" x14ac:dyDescent="0.25">
      <c r="A1221" s="120" t="s">
        <v>3591</v>
      </c>
      <c r="B1221" s="120" t="s">
        <v>3592</v>
      </c>
      <c r="C1221" s="120" t="s">
        <v>69</v>
      </c>
      <c r="D1221" s="120" t="s">
        <v>593</v>
      </c>
      <c r="E1221" s="120" t="s">
        <v>76</v>
      </c>
      <c r="F1221" s="120" t="s">
        <v>71</v>
      </c>
      <c r="G1221" s="120">
        <v>0</v>
      </c>
      <c r="H1221">
        <v>46</v>
      </c>
      <c r="I1221" s="120" t="s">
        <v>11</v>
      </c>
      <c r="J1221">
        <v>-46</v>
      </c>
      <c r="K1221">
        <v>0</v>
      </c>
      <c r="L1221">
        <v>54</v>
      </c>
      <c r="M1221">
        <v>0</v>
      </c>
      <c r="N1221">
        <v>2484</v>
      </c>
    </row>
    <row r="1222" spans="1:14" hidden="1" x14ac:dyDescent="0.25">
      <c r="A1222" s="120" t="s">
        <v>3591</v>
      </c>
      <c r="B1222" s="120" t="s">
        <v>3592</v>
      </c>
      <c r="C1222" s="120" t="s">
        <v>69</v>
      </c>
      <c r="D1222" s="120" t="s">
        <v>3545</v>
      </c>
      <c r="E1222" s="120" t="s">
        <v>175</v>
      </c>
      <c r="F1222" s="120" t="s">
        <v>18</v>
      </c>
      <c r="G1222" s="120">
        <v>0</v>
      </c>
      <c r="H1222">
        <v>0</v>
      </c>
      <c r="I1222" s="120" t="s">
        <v>11</v>
      </c>
      <c r="J1222">
        <v>0</v>
      </c>
      <c r="K1222">
        <v>1</v>
      </c>
      <c r="L1222" s="121">
        <v>0</v>
      </c>
      <c r="M1222" s="121">
        <v>0</v>
      </c>
      <c r="N1222" s="121">
        <v>0</v>
      </c>
    </row>
    <row r="1223" spans="1:14" hidden="1" x14ac:dyDescent="0.25">
      <c r="A1223" s="120" t="s">
        <v>3591</v>
      </c>
      <c r="B1223" s="120" t="s">
        <v>3592</v>
      </c>
      <c r="C1223" s="120" t="s">
        <v>69</v>
      </c>
      <c r="D1223" s="120" t="s">
        <v>739</v>
      </c>
      <c r="E1223" s="120" t="s">
        <v>271</v>
      </c>
      <c r="F1223" s="120" t="s">
        <v>18</v>
      </c>
      <c r="G1223" s="120">
        <v>64</v>
      </c>
      <c r="H1223">
        <v>88</v>
      </c>
      <c r="I1223" s="120" t="s">
        <v>47</v>
      </c>
      <c r="J1223">
        <v>-24</v>
      </c>
      <c r="K1223">
        <v>0</v>
      </c>
      <c r="L1223" s="121">
        <v>24.5</v>
      </c>
      <c r="M1223" s="121">
        <v>1568</v>
      </c>
      <c r="N1223" s="121">
        <v>2156</v>
      </c>
    </row>
    <row r="1224" spans="1:14" hidden="1" x14ac:dyDescent="0.25">
      <c r="A1224" s="120" t="s">
        <v>3591</v>
      </c>
      <c r="B1224" s="120" t="s">
        <v>3592</v>
      </c>
      <c r="C1224" s="120" t="s">
        <v>69</v>
      </c>
      <c r="D1224" s="120" t="s">
        <v>3682</v>
      </c>
      <c r="E1224" s="120" t="s">
        <v>508</v>
      </c>
      <c r="F1224" s="120" t="s">
        <v>18</v>
      </c>
      <c r="G1224" s="120">
        <v>44</v>
      </c>
      <c r="H1224">
        <v>0</v>
      </c>
      <c r="I1224" s="120" t="s">
        <v>47</v>
      </c>
      <c r="J1224">
        <v>44</v>
      </c>
      <c r="K1224">
        <v>0</v>
      </c>
      <c r="L1224" s="121">
        <v>0</v>
      </c>
      <c r="M1224" s="121">
        <v>0</v>
      </c>
      <c r="N1224" s="121">
        <v>0</v>
      </c>
    </row>
    <row r="1225" spans="1:14" hidden="1" x14ac:dyDescent="0.25">
      <c r="A1225" s="120" t="s">
        <v>3591</v>
      </c>
      <c r="B1225" s="120" t="s">
        <v>3592</v>
      </c>
      <c r="C1225" s="120" t="s">
        <v>69</v>
      </c>
      <c r="D1225" s="120" t="s">
        <v>3686</v>
      </c>
      <c r="E1225" s="120" t="s">
        <v>512</v>
      </c>
      <c r="F1225" s="120" t="s">
        <v>10</v>
      </c>
      <c r="G1225" s="120">
        <v>6</v>
      </c>
      <c r="H1225">
        <v>0</v>
      </c>
      <c r="I1225" s="120" t="s">
        <v>47</v>
      </c>
      <c r="J1225">
        <v>6</v>
      </c>
      <c r="K1225">
        <v>0</v>
      </c>
      <c r="L1225" s="121">
        <v>0</v>
      </c>
      <c r="M1225" s="121">
        <v>0</v>
      </c>
      <c r="N1225" s="121">
        <v>0</v>
      </c>
    </row>
    <row r="1226" spans="1:14" hidden="1" x14ac:dyDescent="0.25">
      <c r="A1226" s="120" t="s">
        <v>3591</v>
      </c>
      <c r="B1226" s="120" t="s">
        <v>3592</v>
      </c>
      <c r="C1226" s="120" t="s">
        <v>69</v>
      </c>
      <c r="D1226" s="120" t="s">
        <v>3524</v>
      </c>
      <c r="E1226" s="120" t="s">
        <v>169</v>
      </c>
      <c r="F1226" s="120" t="s">
        <v>10</v>
      </c>
      <c r="G1226" s="120">
        <v>4</v>
      </c>
      <c r="H1226">
        <v>0</v>
      </c>
      <c r="I1226" s="120" t="s">
        <v>47</v>
      </c>
      <c r="J1226">
        <v>4</v>
      </c>
      <c r="K1226">
        <v>0</v>
      </c>
      <c r="L1226" s="121">
        <v>0</v>
      </c>
      <c r="M1226" s="121">
        <v>0</v>
      </c>
      <c r="N1226" s="121">
        <v>0</v>
      </c>
    </row>
    <row r="1227" spans="1:14" hidden="1" x14ac:dyDescent="0.25">
      <c r="A1227" s="120" t="s">
        <v>3591</v>
      </c>
      <c r="B1227" s="120" t="s">
        <v>3592</v>
      </c>
      <c r="C1227" s="120" t="s">
        <v>69</v>
      </c>
      <c r="D1227" s="120" t="s">
        <v>3548</v>
      </c>
      <c r="E1227" s="120" t="s">
        <v>176</v>
      </c>
      <c r="F1227" s="120" t="s">
        <v>18</v>
      </c>
      <c r="G1227" s="120">
        <v>36</v>
      </c>
      <c r="H1227">
        <v>0</v>
      </c>
      <c r="I1227" s="120" t="s">
        <v>47</v>
      </c>
      <c r="J1227">
        <v>36</v>
      </c>
      <c r="K1227">
        <v>0</v>
      </c>
      <c r="L1227" s="121">
        <v>0</v>
      </c>
      <c r="M1227" s="121">
        <v>0</v>
      </c>
      <c r="N1227" s="121">
        <v>0</v>
      </c>
    </row>
    <row r="1228" spans="1:14" hidden="1" x14ac:dyDescent="0.25">
      <c r="A1228" s="120" t="s">
        <v>3591</v>
      </c>
      <c r="B1228" s="120" t="s">
        <v>3592</v>
      </c>
      <c r="C1228" s="120" t="s">
        <v>69</v>
      </c>
      <c r="D1228" s="120" t="s">
        <v>594</v>
      </c>
      <c r="E1228" s="120" t="s">
        <v>171</v>
      </c>
      <c r="F1228" s="120" t="s">
        <v>71</v>
      </c>
      <c r="G1228" s="120">
        <v>0</v>
      </c>
      <c r="H1228">
        <v>45</v>
      </c>
      <c r="I1228" s="120" t="s">
        <v>47</v>
      </c>
      <c r="J1228">
        <v>-45</v>
      </c>
      <c r="K1228">
        <v>0</v>
      </c>
      <c r="L1228">
        <v>54</v>
      </c>
      <c r="M1228">
        <v>0</v>
      </c>
      <c r="N1228">
        <v>2430</v>
      </c>
    </row>
    <row r="1229" spans="1:14" hidden="1" x14ac:dyDescent="0.25">
      <c r="A1229" s="120" t="s">
        <v>3591</v>
      </c>
      <c r="B1229" s="120" t="s">
        <v>3592</v>
      </c>
      <c r="C1229" s="120" t="s">
        <v>69</v>
      </c>
      <c r="D1229" s="120" t="s">
        <v>591</v>
      </c>
      <c r="E1229" s="120" t="s">
        <v>74</v>
      </c>
      <c r="F1229" s="120" t="s">
        <v>71</v>
      </c>
      <c r="G1229" s="120">
        <v>14</v>
      </c>
      <c r="H1229">
        <v>39</v>
      </c>
      <c r="I1229" s="120" t="s">
        <v>47</v>
      </c>
      <c r="J1229">
        <v>-25</v>
      </c>
      <c r="K1229">
        <v>0</v>
      </c>
      <c r="L1229" s="121">
        <v>54</v>
      </c>
      <c r="M1229" s="121">
        <v>756</v>
      </c>
      <c r="N1229" s="121">
        <v>2106</v>
      </c>
    </row>
    <row r="1230" spans="1:14" hidden="1" x14ac:dyDescent="0.25">
      <c r="A1230" s="120" t="s">
        <v>3591</v>
      </c>
      <c r="B1230" s="120" t="s">
        <v>3592</v>
      </c>
      <c r="C1230" s="120" t="s">
        <v>69</v>
      </c>
      <c r="D1230" s="120" t="s">
        <v>592</v>
      </c>
      <c r="E1230" s="120" t="s">
        <v>75</v>
      </c>
      <c r="F1230" s="120" t="s">
        <v>71</v>
      </c>
      <c r="G1230" s="120">
        <v>24</v>
      </c>
      <c r="H1230">
        <v>46</v>
      </c>
      <c r="I1230" s="120" t="s">
        <v>47</v>
      </c>
      <c r="J1230">
        <v>-22</v>
      </c>
      <c r="K1230">
        <v>0</v>
      </c>
      <c r="L1230" s="121">
        <v>54</v>
      </c>
      <c r="M1230" s="121">
        <v>1296</v>
      </c>
      <c r="N1230" s="121">
        <v>2484</v>
      </c>
    </row>
    <row r="1231" spans="1:14" hidden="1" x14ac:dyDescent="0.25">
      <c r="A1231" s="120" t="s">
        <v>3591</v>
      </c>
      <c r="B1231" s="120" t="s">
        <v>3592</v>
      </c>
      <c r="C1231" s="120" t="s">
        <v>69</v>
      </c>
      <c r="D1231" s="120" t="s">
        <v>3688</v>
      </c>
      <c r="E1231" s="120" t="s">
        <v>514</v>
      </c>
      <c r="F1231" s="120" t="s">
        <v>18</v>
      </c>
      <c r="G1231" s="120">
        <v>5</v>
      </c>
      <c r="H1231">
        <v>0</v>
      </c>
      <c r="I1231" s="120" t="s">
        <v>47</v>
      </c>
      <c r="J1231">
        <v>5</v>
      </c>
      <c r="K1231">
        <v>0</v>
      </c>
      <c r="L1231" s="121">
        <v>0</v>
      </c>
      <c r="M1231" s="121">
        <v>0</v>
      </c>
      <c r="N1231" s="121">
        <v>0</v>
      </c>
    </row>
    <row r="1232" spans="1:14" hidden="1" x14ac:dyDescent="0.25">
      <c r="A1232" s="120" t="s">
        <v>3591</v>
      </c>
      <c r="B1232" s="120" t="s">
        <v>3592</v>
      </c>
      <c r="C1232" s="120" t="s">
        <v>69</v>
      </c>
      <c r="D1232" s="120" t="s">
        <v>3547</v>
      </c>
      <c r="E1232" s="120" t="s">
        <v>240</v>
      </c>
      <c r="F1232" s="120" t="s">
        <v>10</v>
      </c>
      <c r="G1232" s="120">
        <v>0</v>
      </c>
      <c r="H1232">
        <v>0</v>
      </c>
      <c r="I1232" s="120" t="s">
        <v>47</v>
      </c>
      <c r="J1232">
        <v>0</v>
      </c>
      <c r="K1232">
        <v>1</v>
      </c>
      <c r="L1232" s="121">
        <v>0</v>
      </c>
      <c r="M1232" s="121">
        <v>0</v>
      </c>
      <c r="N1232" s="121">
        <v>0</v>
      </c>
    </row>
    <row r="1233" spans="1:14" hidden="1" x14ac:dyDescent="0.25">
      <c r="A1233" s="120" t="s">
        <v>3591</v>
      </c>
      <c r="B1233" s="120" t="s">
        <v>3592</v>
      </c>
      <c r="C1233" s="120" t="s">
        <v>69</v>
      </c>
      <c r="D1233" s="120" t="s">
        <v>3489</v>
      </c>
      <c r="E1233" s="120" t="s">
        <v>80</v>
      </c>
      <c r="F1233" s="120" t="s">
        <v>18</v>
      </c>
      <c r="G1233" s="120">
        <v>4</v>
      </c>
      <c r="H1233">
        <v>0</v>
      </c>
      <c r="I1233" s="120" t="s">
        <v>47</v>
      </c>
      <c r="J1233">
        <v>4</v>
      </c>
      <c r="K1233">
        <v>0</v>
      </c>
      <c r="L1233" s="121">
        <v>0</v>
      </c>
      <c r="M1233" s="121">
        <v>0</v>
      </c>
      <c r="N1233" s="121">
        <v>0</v>
      </c>
    </row>
    <row r="1234" spans="1:14" hidden="1" x14ac:dyDescent="0.25">
      <c r="A1234" s="120" t="s">
        <v>3591</v>
      </c>
      <c r="B1234" s="120" t="s">
        <v>3592</v>
      </c>
      <c r="C1234" s="120" t="s">
        <v>69</v>
      </c>
      <c r="D1234" s="120" t="s">
        <v>596</v>
      </c>
      <c r="E1234" s="120" t="s">
        <v>173</v>
      </c>
      <c r="F1234" s="120" t="s">
        <v>71</v>
      </c>
      <c r="G1234" s="120">
        <v>6</v>
      </c>
      <c r="H1234">
        <v>35</v>
      </c>
      <c r="I1234" s="120" t="s">
        <v>47</v>
      </c>
      <c r="J1234">
        <v>-29</v>
      </c>
      <c r="K1234">
        <v>0</v>
      </c>
      <c r="L1234" s="121">
        <v>56</v>
      </c>
      <c r="M1234" s="121">
        <v>336</v>
      </c>
      <c r="N1234" s="121">
        <v>1960</v>
      </c>
    </row>
    <row r="1235" spans="1:14" hidden="1" x14ac:dyDescent="0.25">
      <c r="A1235" s="120" t="s">
        <v>3591</v>
      </c>
      <c r="B1235" s="120" t="s">
        <v>3592</v>
      </c>
      <c r="C1235" s="120" t="s">
        <v>69</v>
      </c>
      <c r="D1235" s="120" t="s">
        <v>1200</v>
      </c>
      <c r="E1235" s="120" t="s">
        <v>528</v>
      </c>
      <c r="F1235" s="120" t="s">
        <v>18</v>
      </c>
      <c r="G1235" s="120">
        <v>21</v>
      </c>
      <c r="H1235">
        <v>24</v>
      </c>
      <c r="I1235" s="120" t="s">
        <v>47</v>
      </c>
      <c r="J1235">
        <v>-3</v>
      </c>
      <c r="K1235">
        <v>0</v>
      </c>
      <c r="L1235" s="121">
        <v>40</v>
      </c>
      <c r="M1235" s="121">
        <v>840</v>
      </c>
      <c r="N1235" s="121">
        <v>960</v>
      </c>
    </row>
    <row r="1236" spans="1:14" hidden="1" x14ac:dyDescent="0.25">
      <c r="A1236" s="120" t="s">
        <v>3591</v>
      </c>
      <c r="B1236" s="120" t="s">
        <v>3592</v>
      </c>
      <c r="C1236" s="120" t="s">
        <v>69</v>
      </c>
      <c r="D1236" s="120" t="s">
        <v>3544</v>
      </c>
      <c r="E1236" s="120" t="s">
        <v>238</v>
      </c>
      <c r="F1236" s="120" t="s">
        <v>18</v>
      </c>
      <c r="G1236" s="120">
        <v>29</v>
      </c>
      <c r="H1236">
        <v>0</v>
      </c>
      <c r="I1236" s="120" t="s">
        <v>57</v>
      </c>
      <c r="J1236">
        <v>29</v>
      </c>
      <c r="K1236">
        <v>0</v>
      </c>
      <c r="L1236" s="121">
        <v>0</v>
      </c>
      <c r="M1236" s="121">
        <v>0</v>
      </c>
      <c r="N1236" s="121">
        <v>0</v>
      </c>
    </row>
    <row r="1237" spans="1:14" hidden="1" x14ac:dyDescent="0.25">
      <c r="A1237" s="120" t="s">
        <v>3591</v>
      </c>
      <c r="B1237" s="120" t="s">
        <v>3592</v>
      </c>
      <c r="C1237" s="120" t="s">
        <v>69</v>
      </c>
      <c r="D1237" s="120" t="s">
        <v>1165</v>
      </c>
      <c r="E1237" s="120" t="s">
        <v>527</v>
      </c>
      <c r="F1237" s="120" t="s">
        <v>10</v>
      </c>
      <c r="G1237" s="120">
        <v>18</v>
      </c>
      <c r="H1237">
        <v>28</v>
      </c>
      <c r="I1237" s="120" t="s">
        <v>57</v>
      </c>
      <c r="J1237">
        <v>-10</v>
      </c>
      <c r="K1237">
        <v>0</v>
      </c>
      <c r="L1237" s="121">
        <v>20</v>
      </c>
      <c r="M1237" s="121">
        <v>360</v>
      </c>
      <c r="N1237" s="121">
        <v>560</v>
      </c>
    </row>
    <row r="1238" spans="1:14" hidden="1" x14ac:dyDescent="0.25">
      <c r="A1238" s="120" t="s">
        <v>3591</v>
      </c>
      <c r="B1238" s="120" t="s">
        <v>3592</v>
      </c>
      <c r="C1238" s="120" t="s">
        <v>69</v>
      </c>
      <c r="D1238" s="120" t="s">
        <v>595</v>
      </c>
      <c r="E1238" s="120" t="s">
        <v>172</v>
      </c>
      <c r="F1238" s="120" t="s">
        <v>71</v>
      </c>
      <c r="G1238" s="120">
        <v>4</v>
      </c>
      <c r="H1238">
        <v>29</v>
      </c>
      <c r="I1238" s="120" t="s">
        <v>57</v>
      </c>
      <c r="J1238">
        <v>-25</v>
      </c>
      <c r="K1238">
        <v>0</v>
      </c>
      <c r="L1238" s="121">
        <v>54</v>
      </c>
      <c r="M1238" s="121">
        <v>216</v>
      </c>
      <c r="N1238" s="121">
        <v>1566</v>
      </c>
    </row>
    <row r="1239" spans="1:14" hidden="1" x14ac:dyDescent="0.25">
      <c r="A1239" s="120" t="s">
        <v>3591</v>
      </c>
      <c r="B1239" s="120" t="s">
        <v>3592</v>
      </c>
      <c r="C1239" s="120" t="s">
        <v>69</v>
      </c>
      <c r="D1239" s="120" t="s">
        <v>597</v>
      </c>
      <c r="E1239" s="120" t="s">
        <v>174</v>
      </c>
      <c r="F1239" s="120" t="s">
        <v>71</v>
      </c>
      <c r="G1239" s="120">
        <v>4</v>
      </c>
      <c r="H1239">
        <v>7</v>
      </c>
      <c r="I1239" s="120" t="s">
        <v>57</v>
      </c>
      <c r="J1239">
        <v>-3</v>
      </c>
      <c r="K1239">
        <v>0</v>
      </c>
      <c r="L1239" s="121">
        <v>54</v>
      </c>
      <c r="M1239" s="121">
        <v>216</v>
      </c>
      <c r="N1239" s="121">
        <v>378</v>
      </c>
    </row>
    <row r="1240" spans="1:14" hidden="1" x14ac:dyDescent="0.25">
      <c r="A1240" s="120" t="s">
        <v>3591</v>
      </c>
      <c r="B1240" s="120" t="s">
        <v>3592</v>
      </c>
      <c r="C1240" s="120" t="s">
        <v>69</v>
      </c>
      <c r="D1240" s="120" t="s">
        <v>679</v>
      </c>
      <c r="E1240" s="120" t="s">
        <v>268</v>
      </c>
      <c r="F1240" s="120" t="s">
        <v>10</v>
      </c>
      <c r="G1240" s="120">
        <v>0</v>
      </c>
      <c r="H1240">
        <v>1</v>
      </c>
      <c r="I1240" s="120" t="s">
        <v>57</v>
      </c>
      <c r="J1240">
        <v>-1</v>
      </c>
      <c r="K1240">
        <v>0</v>
      </c>
      <c r="L1240">
        <v>38</v>
      </c>
      <c r="M1240">
        <v>0</v>
      </c>
      <c r="N1240">
        <v>38</v>
      </c>
    </row>
    <row r="1241" spans="1:14" hidden="1" x14ac:dyDescent="0.25">
      <c r="A1241" s="120" t="s">
        <v>3591</v>
      </c>
      <c r="B1241" s="120" t="s">
        <v>3592</v>
      </c>
      <c r="C1241" s="120" t="s">
        <v>69</v>
      </c>
      <c r="D1241" s="120" t="s">
        <v>3683</v>
      </c>
      <c r="E1241" s="120" t="s">
        <v>509</v>
      </c>
      <c r="F1241" s="120" t="s">
        <v>10</v>
      </c>
      <c r="G1241" s="120">
        <v>0</v>
      </c>
      <c r="H1241">
        <v>0</v>
      </c>
      <c r="I1241" s="120" t="s">
        <v>57</v>
      </c>
      <c r="J1241">
        <v>0</v>
      </c>
      <c r="K1241">
        <v>1</v>
      </c>
      <c r="L1241" s="121">
        <v>0</v>
      </c>
      <c r="M1241" s="121">
        <v>0</v>
      </c>
      <c r="N1241" s="121">
        <v>0</v>
      </c>
    </row>
    <row r="1242" spans="1:14" hidden="1" x14ac:dyDescent="0.25">
      <c r="A1242" s="120" t="s">
        <v>3591</v>
      </c>
      <c r="B1242" s="120" t="s">
        <v>3592</v>
      </c>
      <c r="C1242" s="120" t="s">
        <v>69</v>
      </c>
      <c r="D1242" s="120" t="s">
        <v>3687</v>
      </c>
      <c r="E1242" s="120" t="s">
        <v>513</v>
      </c>
      <c r="F1242" s="120" t="s">
        <v>10</v>
      </c>
      <c r="G1242" s="120">
        <v>19</v>
      </c>
      <c r="H1242">
        <v>0</v>
      </c>
      <c r="I1242" s="120" t="s">
        <v>57</v>
      </c>
      <c r="J1242">
        <v>19</v>
      </c>
      <c r="K1242">
        <v>0</v>
      </c>
      <c r="L1242" s="121">
        <v>0</v>
      </c>
      <c r="M1242" s="121">
        <v>0</v>
      </c>
      <c r="N1242" s="121">
        <v>0</v>
      </c>
    </row>
    <row r="1243" spans="1:14" hidden="1" x14ac:dyDescent="0.25">
      <c r="A1243" s="120" t="s">
        <v>3591</v>
      </c>
      <c r="B1243" s="120" t="s">
        <v>3592</v>
      </c>
      <c r="C1243" s="120" t="s">
        <v>69</v>
      </c>
      <c r="D1243" s="120" t="s">
        <v>578</v>
      </c>
      <c r="E1243" s="120" t="s">
        <v>223</v>
      </c>
      <c r="F1243" s="120" t="s">
        <v>18</v>
      </c>
      <c r="G1243" s="120">
        <v>1</v>
      </c>
      <c r="H1243">
        <v>9</v>
      </c>
      <c r="I1243" s="120" t="s">
        <v>57</v>
      </c>
      <c r="J1243">
        <v>-8</v>
      </c>
      <c r="K1243">
        <v>0</v>
      </c>
      <c r="L1243" s="121">
        <v>54</v>
      </c>
      <c r="M1243" s="121">
        <v>54</v>
      </c>
      <c r="N1243" s="121">
        <v>486</v>
      </c>
    </row>
    <row r="1244" spans="1:14" hidden="1" x14ac:dyDescent="0.25">
      <c r="A1244" s="120" t="s">
        <v>3591</v>
      </c>
      <c r="B1244" s="120" t="s">
        <v>3592</v>
      </c>
      <c r="C1244" s="120" t="s">
        <v>69</v>
      </c>
      <c r="D1244" s="120" t="s">
        <v>580</v>
      </c>
      <c r="E1244" s="120" t="s">
        <v>224</v>
      </c>
      <c r="F1244" s="120" t="s">
        <v>18</v>
      </c>
      <c r="G1244" s="120">
        <v>1</v>
      </c>
      <c r="H1244">
        <v>9</v>
      </c>
      <c r="I1244" s="120" t="s">
        <v>57</v>
      </c>
      <c r="J1244">
        <v>-8</v>
      </c>
      <c r="K1244">
        <v>0</v>
      </c>
      <c r="L1244" s="121">
        <v>54</v>
      </c>
      <c r="M1244" s="121">
        <v>54</v>
      </c>
      <c r="N1244" s="121">
        <v>486</v>
      </c>
    </row>
    <row r="1245" spans="1:14" hidden="1" x14ac:dyDescent="0.25">
      <c r="A1245" s="120" t="s">
        <v>3591</v>
      </c>
      <c r="B1245" s="120" t="s">
        <v>3592</v>
      </c>
      <c r="C1245" s="120" t="s">
        <v>69</v>
      </c>
      <c r="D1245" s="120" t="s">
        <v>1162</v>
      </c>
      <c r="E1245" s="120" t="s">
        <v>526</v>
      </c>
      <c r="F1245" s="120" t="s">
        <v>71</v>
      </c>
      <c r="G1245" s="120">
        <v>0</v>
      </c>
      <c r="H1245">
        <v>17</v>
      </c>
      <c r="I1245" s="120" t="s">
        <v>57</v>
      </c>
      <c r="J1245">
        <v>-17</v>
      </c>
      <c r="K1245">
        <v>0</v>
      </c>
      <c r="L1245">
        <v>13.98</v>
      </c>
      <c r="M1245">
        <v>0</v>
      </c>
      <c r="N1245">
        <v>237.66</v>
      </c>
    </row>
    <row r="1246" spans="1:14" hidden="1" x14ac:dyDescent="0.25">
      <c r="A1246" s="120" t="s">
        <v>3591</v>
      </c>
      <c r="B1246" s="120" t="s">
        <v>3592</v>
      </c>
      <c r="C1246" s="120" t="s">
        <v>69</v>
      </c>
      <c r="D1246" s="120" t="s">
        <v>590</v>
      </c>
      <c r="E1246" s="120" t="s">
        <v>73</v>
      </c>
      <c r="F1246" s="120" t="s">
        <v>71</v>
      </c>
      <c r="G1246" s="120">
        <v>8</v>
      </c>
      <c r="H1246">
        <v>10</v>
      </c>
      <c r="I1246" s="120" t="s">
        <v>57</v>
      </c>
      <c r="J1246">
        <v>-2</v>
      </c>
      <c r="K1246">
        <v>0</v>
      </c>
      <c r="L1246" s="121">
        <v>54</v>
      </c>
      <c r="M1246" s="121">
        <v>432</v>
      </c>
      <c r="N1246" s="121">
        <v>540</v>
      </c>
    </row>
    <row r="1247" spans="1:14" hidden="1" x14ac:dyDescent="0.25">
      <c r="A1247" s="120" t="s">
        <v>3591</v>
      </c>
      <c r="B1247" s="120" t="s">
        <v>3592</v>
      </c>
      <c r="C1247" s="120" t="s">
        <v>69</v>
      </c>
      <c r="D1247" s="120" t="s">
        <v>598</v>
      </c>
      <c r="E1247" s="120" t="s">
        <v>77</v>
      </c>
      <c r="F1247" s="120" t="s">
        <v>71</v>
      </c>
      <c r="G1247" s="120">
        <v>16</v>
      </c>
      <c r="H1247">
        <v>19</v>
      </c>
      <c r="I1247" s="120" t="s">
        <v>57</v>
      </c>
      <c r="J1247">
        <v>-3</v>
      </c>
      <c r="K1247">
        <v>0</v>
      </c>
      <c r="L1247" s="121">
        <v>54</v>
      </c>
      <c r="M1247" s="121">
        <v>864</v>
      </c>
      <c r="N1247" s="121">
        <v>1026</v>
      </c>
    </row>
    <row r="1248" spans="1:14" hidden="1" x14ac:dyDescent="0.25">
      <c r="A1248" s="120" t="s">
        <v>3591</v>
      </c>
      <c r="B1248" s="120" t="s">
        <v>3592</v>
      </c>
      <c r="C1248" s="120" t="s">
        <v>69</v>
      </c>
      <c r="D1248" s="120" t="s">
        <v>3527</v>
      </c>
      <c r="E1248" s="120" t="s">
        <v>185</v>
      </c>
      <c r="F1248" s="120" t="s">
        <v>18</v>
      </c>
      <c r="G1248" s="120">
        <v>48</v>
      </c>
      <c r="H1248">
        <v>0</v>
      </c>
      <c r="I1248" s="120" t="s">
        <v>57</v>
      </c>
      <c r="J1248">
        <v>48</v>
      </c>
      <c r="K1248">
        <v>0</v>
      </c>
      <c r="L1248" s="121">
        <v>0</v>
      </c>
      <c r="M1248" s="121">
        <v>0</v>
      </c>
      <c r="N1248" s="121">
        <v>0</v>
      </c>
    </row>
    <row r="1249" spans="1:14" hidden="1" x14ac:dyDescent="0.25">
      <c r="A1249" s="120" t="s">
        <v>3591</v>
      </c>
      <c r="B1249" s="120" t="s">
        <v>3592</v>
      </c>
      <c r="C1249" s="120" t="s">
        <v>69</v>
      </c>
      <c r="D1249" s="120" t="s">
        <v>1193</v>
      </c>
      <c r="E1249" s="120" t="s">
        <v>291</v>
      </c>
      <c r="F1249" s="120" t="s">
        <v>10</v>
      </c>
      <c r="G1249" s="120">
        <v>40</v>
      </c>
      <c r="H1249">
        <v>31</v>
      </c>
      <c r="I1249" s="120" t="s">
        <v>57</v>
      </c>
      <c r="J1249">
        <v>9</v>
      </c>
      <c r="K1249">
        <v>0</v>
      </c>
      <c r="L1249" s="121">
        <v>3.5</v>
      </c>
      <c r="M1249" s="121">
        <v>140</v>
      </c>
      <c r="N1249" s="121">
        <v>108.5</v>
      </c>
    </row>
    <row r="1250" spans="1:14" hidden="1" x14ac:dyDescent="0.25">
      <c r="A1250" s="120" t="s">
        <v>3591</v>
      </c>
      <c r="B1250" s="120" t="s">
        <v>3592</v>
      </c>
      <c r="C1250" s="120" t="s">
        <v>69</v>
      </c>
      <c r="D1250" s="120" t="s">
        <v>3494</v>
      </c>
      <c r="E1250" s="120" t="s">
        <v>88</v>
      </c>
      <c r="F1250" s="120" t="s">
        <v>18</v>
      </c>
      <c r="G1250" s="120">
        <v>7</v>
      </c>
      <c r="H1250">
        <v>0</v>
      </c>
      <c r="I1250" s="120" t="s">
        <v>57</v>
      </c>
      <c r="J1250">
        <v>7</v>
      </c>
      <c r="K1250">
        <v>0</v>
      </c>
      <c r="L1250" s="121">
        <v>0</v>
      </c>
      <c r="M1250" s="121">
        <v>0</v>
      </c>
      <c r="N1250" s="121">
        <v>0</v>
      </c>
    </row>
    <row r="1251" spans="1:14" hidden="1" x14ac:dyDescent="0.25">
      <c r="A1251" s="120" t="s">
        <v>3591</v>
      </c>
      <c r="B1251" s="120" t="s">
        <v>3592</v>
      </c>
      <c r="C1251" s="120" t="s">
        <v>69</v>
      </c>
      <c r="D1251" s="120" t="s">
        <v>582</v>
      </c>
      <c r="E1251" s="120" t="s">
        <v>504</v>
      </c>
      <c r="F1251" s="120" t="s">
        <v>71</v>
      </c>
      <c r="G1251" s="120">
        <v>4</v>
      </c>
      <c r="H1251">
        <v>3</v>
      </c>
      <c r="I1251" s="120" t="s">
        <v>57</v>
      </c>
      <c r="J1251">
        <v>1</v>
      </c>
      <c r="K1251">
        <v>0</v>
      </c>
      <c r="L1251" s="121">
        <v>54</v>
      </c>
      <c r="M1251" s="121">
        <v>216</v>
      </c>
      <c r="N1251" s="121">
        <v>162</v>
      </c>
    </row>
    <row r="1252" spans="1:14" hidden="1" x14ac:dyDescent="0.25">
      <c r="A1252" s="120" t="s">
        <v>3591</v>
      </c>
      <c r="B1252" s="120" t="s">
        <v>3592</v>
      </c>
      <c r="C1252" s="120" t="s">
        <v>69</v>
      </c>
      <c r="D1252" s="120" t="s">
        <v>3505</v>
      </c>
      <c r="E1252" s="120" t="s">
        <v>108</v>
      </c>
      <c r="F1252" s="120" t="s">
        <v>10</v>
      </c>
      <c r="G1252" s="120">
        <v>0</v>
      </c>
      <c r="H1252">
        <v>0</v>
      </c>
      <c r="I1252" s="120" t="s">
        <v>57</v>
      </c>
      <c r="J1252">
        <v>0</v>
      </c>
      <c r="K1252">
        <v>1</v>
      </c>
      <c r="L1252" s="121">
        <v>0</v>
      </c>
      <c r="M1252" s="121">
        <v>0</v>
      </c>
      <c r="N1252" s="121">
        <v>0</v>
      </c>
    </row>
    <row r="1253" spans="1:14" hidden="1" x14ac:dyDescent="0.25">
      <c r="A1253" s="120" t="s">
        <v>3591</v>
      </c>
      <c r="B1253" s="120" t="s">
        <v>3592</v>
      </c>
      <c r="C1253" s="120" t="s">
        <v>69</v>
      </c>
      <c r="D1253" s="120" t="s">
        <v>3582</v>
      </c>
      <c r="E1253" s="120" t="s">
        <v>282</v>
      </c>
      <c r="F1253" s="120" t="s">
        <v>18</v>
      </c>
      <c r="G1253" s="120">
        <v>1</v>
      </c>
      <c r="H1253">
        <v>0</v>
      </c>
      <c r="I1253" s="120" t="s">
        <v>57</v>
      </c>
      <c r="J1253">
        <v>1</v>
      </c>
      <c r="K1253">
        <v>0</v>
      </c>
      <c r="L1253" s="121">
        <v>0</v>
      </c>
      <c r="M1253" s="121">
        <v>0</v>
      </c>
      <c r="N1253" s="121">
        <v>0</v>
      </c>
    </row>
    <row r="1254" spans="1:14" hidden="1" x14ac:dyDescent="0.25">
      <c r="A1254" s="120" t="s">
        <v>3591</v>
      </c>
      <c r="B1254" s="120" t="s">
        <v>3592</v>
      </c>
      <c r="C1254" s="120" t="s">
        <v>69</v>
      </c>
      <c r="D1254" s="120" t="s">
        <v>728</v>
      </c>
      <c r="E1254" s="120" t="s">
        <v>518</v>
      </c>
      <c r="F1254" s="120" t="s">
        <v>10</v>
      </c>
      <c r="G1254" s="120">
        <v>1</v>
      </c>
      <c r="H1254">
        <v>1</v>
      </c>
      <c r="I1254" s="120" t="s">
        <v>57</v>
      </c>
      <c r="J1254">
        <v>0</v>
      </c>
      <c r="K1254">
        <v>1</v>
      </c>
      <c r="L1254" s="121">
        <v>165</v>
      </c>
      <c r="M1254" s="121">
        <v>165</v>
      </c>
      <c r="N1254" s="121">
        <v>165</v>
      </c>
    </row>
    <row r="1255" spans="1:14" hidden="1" x14ac:dyDescent="0.25">
      <c r="A1255" s="120" t="s">
        <v>3591</v>
      </c>
      <c r="B1255" s="120" t="s">
        <v>3709</v>
      </c>
      <c r="C1255" s="120" t="s">
        <v>69</v>
      </c>
      <c r="D1255" s="120" t="s">
        <v>1156</v>
      </c>
      <c r="E1255" s="120" t="s">
        <v>115</v>
      </c>
      <c r="F1255" s="120" t="s">
        <v>71</v>
      </c>
      <c r="G1255" s="120">
        <v>0</v>
      </c>
      <c r="H1255">
        <v>2</v>
      </c>
      <c r="I1255" s="120" t="s">
        <v>11</v>
      </c>
      <c r="J1255">
        <v>-2</v>
      </c>
      <c r="K1255">
        <v>0</v>
      </c>
      <c r="L1255">
        <v>2.46</v>
      </c>
      <c r="M1255">
        <v>0</v>
      </c>
      <c r="N1255">
        <v>4.92</v>
      </c>
    </row>
    <row r="1256" spans="1:14" hidden="1" x14ac:dyDescent="0.25">
      <c r="A1256" s="120" t="s">
        <v>3591</v>
      </c>
      <c r="B1256" s="120" t="s">
        <v>3709</v>
      </c>
      <c r="C1256" s="120" t="s">
        <v>69</v>
      </c>
      <c r="D1256" s="120" t="s">
        <v>1134</v>
      </c>
      <c r="E1256" s="120" t="s">
        <v>111</v>
      </c>
      <c r="F1256" s="120" t="s">
        <v>10</v>
      </c>
      <c r="G1256" s="120">
        <v>5</v>
      </c>
      <c r="H1256">
        <v>1</v>
      </c>
      <c r="I1256" s="120" t="s">
        <v>11</v>
      </c>
      <c r="J1256">
        <v>4</v>
      </c>
      <c r="K1256">
        <v>0</v>
      </c>
      <c r="L1256">
        <v>34</v>
      </c>
      <c r="M1256">
        <v>170</v>
      </c>
      <c r="N1256">
        <v>34</v>
      </c>
    </row>
    <row r="1257" spans="1:14" hidden="1" x14ac:dyDescent="0.25">
      <c r="A1257" s="120" t="s">
        <v>3591</v>
      </c>
      <c r="B1257" s="120" t="s">
        <v>3709</v>
      </c>
      <c r="C1257" s="120" t="s">
        <v>69</v>
      </c>
      <c r="D1257" s="120" t="s">
        <v>725</v>
      </c>
      <c r="E1257" s="120" t="s">
        <v>519</v>
      </c>
      <c r="F1257" s="120" t="s">
        <v>10</v>
      </c>
      <c r="G1257" s="120">
        <v>3</v>
      </c>
      <c r="H1257">
        <v>3</v>
      </c>
      <c r="I1257" s="120" t="s">
        <v>11</v>
      </c>
      <c r="J1257">
        <v>0</v>
      </c>
      <c r="K1257">
        <v>1</v>
      </c>
      <c r="L1257" s="121">
        <v>140</v>
      </c>
      <c r="M1257" s="121">
        <v>420</v>
      </c>
      <c r="N1257" s="121">
        <v>420</v>
      </c>
    </row>
    <row r="1258" spans="1:14" hidden="1" x14ac:dyDescent="0.25">
      <c r="A1258" s="120" t="s">
        <v>3591</v>
      </c>
      <c r="B1258" s="120" t="s">
        <v>3709</v>
      </c>
      <c r="C1258" s="120" t="s">
        <v>69</v>
      </c>
      <c r="D1258" s="120" t="s">
        <v>738</v>
      </c>
      <c r="E1258" s="120" t="s">
        <v>102</v>
      </c>
      <c r="F1258" s="120" t="s">
        <v>10</v>
      </c>
      <c r="G1258" s="120">
        <v>0</v>
      </c>
      <c r="H1258">
        <v>3</v>
      </c>
      <c r="I1258" s="120" t="s">
        <v>11</v>
      </c>
      <c r="J1258">
        <v>-3</v>
      </c>
      <c r="K1258">
        <v>0</v>
      </c>
      <c r="L1258">
        <v>10</v>
      </c>
      <c r="M1258">
        <v>0</v>
      </c>
      <c r="N1258">
        <v>30</v>
      </c>
    </row>
    <row r="1259" spans="1:14" hidden="1" x14ac:dyDescent="0.25">
      <c r="A1259" s="120" t="s">
        <v>3591</v>
      </c>
      <c r="B1259" s="120" t="s">
        <v>3709</v>
      </c>
      <c r="C1259" s="120" t="s">
        <v>69</v>
      </c>
      <c r="D1259" s="120" t="s">
        <v>740</v>
      </c>
      <c r="E1259" s="120" t="s">
        <v>103</v>
      </c>
      <c r="F1259" s="120" t="s">
        <v>14</v>
      </c>
      <c r="G1259" s="120">
        <v>0</v>
      </c>
      <c r="H1259">
        <v>1</v>
      </c>
      <c r="I1259" s="120" t="s">
        <v>11</v>
      </c>
      <c r="J1259">
        <v>-1</v>
      </c>
      <c r="K1259">
        <v>0</v>
      </c>
      <c r="L1259">
        <v>29</v>
      </c>
      <c r="M1259">
        <v>0</v>
      </c>
      <c r="N1259">
        <v>29</v>
      </c>
    </row>
    <row r="1260" spans="1:14" hidden="1" x14ac:dyDescent="0.25">
      <c r="A1260" s="120" t="s">
        <v>3591</v>
      </c>
      <c r="B1260" s="120" t="s">
        <v>3709</v>
      </c>
      <c r="C1260" s="120" t="s">
        <v>69</v>
      </c>
      <c r="D1260" s="120" t="s">
        <v>1192</v>
      </c>
      <c r="E1260" s="120" t="s">
        <v>124</v>
      </c>
      <c r="F1260" s="120" t="s">
        <v>14</v>
      </c>
      <c r="G1260" s="120">
        <v>6</v>
      </c>
      <c r="H1260">
        <v>8</v>
      </c>
      <c r="I1260" s="120" t="s">
        <v>11</v>
      </c>
      <c r="J1260">
        <v>-2</v>
      </c>
      <c r="K1260">
        <v>0</v>
      </c>
      <c r="L1260">
        <v>3.5</v>
      </c>
      <c r="M1260">
        <v>21</v>
      </c>
      <c r="N1260">
        <v>28</v>
      </c>
    </row>
    <row r="1261" spans="1:14" hidden="1" x14ac:dyDescent="0.25">
      <c r="A1261" s="120" t="s">
        <v>3591</v>
      </c>
      <c r="B1261" s="120" t="s">
        <v>3709</v>
      </c>
      <c r="C1261" s="120" t="s">
        <v>69</v>
      </c>
      <c r="D1261" s="120" t="s">
        <v>1194</v>
      </c>
      <c r="E1261" s="120" t="s">
        <v>186</v>
      </c>
      <c r="F1261" s="120" t="s">
        <v>10</v>
      </c>
      <c r="G1261" s="120">
        <v>6</v>
      </c>
      <c r="H1261">
        <v>7</v>
      </c>
      <c r="I1261" s="120" t="s">
        <v>11</v>
      </c>
      <c r="J1261">
        <v>-1</v>
      </c>
      <c r="K1261">
        <v>0</v>
      </c>
      <c r="L1261">
        <v>3.5</v>
      </c>
      <c r="M1261">
        <v>21</v>
      </c>
      <c r="N1261">
        <v>24.5</v>
      </c>
    </row>
    <row r="1262" spans="1:14" hidden="1" x14ac:dyDescent="0.25">
      <c r="A1262" s="120" t="s">
        <v>3591</v>
      </c>
      <c r="B1262" s="120" t="s">
        <v>3709</v>
      </c>
      <c r="C1262" s="120" t="s">
        <v>69</v>
      </c>
      <c r="D1262" s="120" t="s">
        <v>1757</v>
      </c>
      <c r="E1262" s="120" t="s">
        <v>1758</v>
      </c>
      <c r="F1262" s="120" t="s">
        <v>14</v>
      </c>
      <c r="G1262" s="120">
        <v>0</v>
      </c>
      <c r="H1262">
        <v>1</v>
      </c>
      <c r="I1262" s="120" t="s">
        <v>11</v>
      </c>
      <c r="J1262">
        <v>-1</v>
      </c>
      <c r="K1262">
        <v>0</v>
      </c>
      <c r="L1262">
        <v>170</v>
      </c>
      <c r="M1262">
        <v>0</v>
      </c>
      <c r="N1262">
        <v>170</v>
      </c>
    </row>
    <row r="1263" spans="1:14" hidden="1" x14ac:dyDescent="0.25">
      <c r="A1263" s="120" t="s">
        <v>3591</v>
      </c>
      <c r="B1263" s="120" t="s">
        <v>3709</v>
      </c>
      <c r="C1263" s="120" t="s">
        <v>69</v>
      </c>
      <c r="D1263" s="120" t="s">
        <v>1760</v>
      </c>
      <c r="E1263" s="120" t="s">
        <v>530</v>
      </c>
      <c r="F1263" s="120" t="s">
        <v>14</v>
      </c>
      <c r="G1263" s="120">
        <v>4</v>
      </c>
      <c r="H1263">
        <v>5</v>
      </c>
      <c r="I1263" s="120" t="s">
        <v>11</v>
      </c>
      <c r="J1263">
        <v>-1</v>
      </c>
      <c r="K1263">
        <v>0</v>
      </c>
      <c r="L1263">
        <v>165</v>
      </c>
      <c r="M1263">
        <v>660</v>
      </c>
      <c r="N1263">
        <v>825</v>
      </c>
    </row>
    <row r="1264" spans="1:14" hidden="1" x14ac:dyDescent="0.25">
      <c r="A1264" s="120" t="s">
        <v>3591</v>
      </c>
      <c r="B1264" s="120" t="s">
        <v>3709</v>
      </c>
      <c r="C1264" s="120" t="s">
        <v>69</v>
      </c>
      <c r="D1264" s="120" t="s">
        <v>3468</v>
      </c>
      <c r="E1264" s="120" t="s">
        <v>517</v>
      </c>
      <c r="F1264" s="120" t="s">
        <v>14</v>
      </c>
      <c r="G1264" s="120">
        <v>2</v>
      </c>
      <c r="H1264">
        <v>0</v>
      </c>
      <c r="I1264" s="120" t="s">
        <v>11</v>
      </c>
      <c r="J1264">
        <v>2</v>
      </c>
      <c r="K1264">
        <v>0</v>
      </c>
      <c r="L1264">
        <v>0</v>
      </c>
      <c r="M1264">
        <v>0</v>
      </c>
      <c r="N1264">
        <v>0</v>
      </c>
    </row>
    <row r="1265" spans="1:14" hidden="1" x14ac:dyDescent="0.25">
      <c r="A1265" s="120" t="s">
        <v>3591</v>
      </c>
      <c r="B1265" s="120" t="s">
        <v>3709</v>
      </c>
      <c r="C1265" s="120" t="s">
        <v>69</v>
      </c>
      <c r="D1265" s="120" t="s">
        <v>3502</v>
      </c>
      <c r="E1265" s="120" t="s">
        <v>96</v>
      </c>
      <c r="F1265" s="120" t="s">
        <v>10</v>
      </c>
      <c r="G1265" s="120">
        <v>0</v>
      </c>
      <c r="H1265">
        <v>0</v>
      </c>
      <c r="I1265" s="120" t="s">
        <v>11</v>
      </c>
      <c r="J1265">
        <v>0</v>
      </c>
      <c r="K1265">
        <v>1</v>
      </c>
      <c r="L1265" s="121">
        <v>0</v>
      </c>
      <c r="M1265" s="121">
        <v>0</v>
      </c>
      <c r="N1265" s="121">
        <v>0</v>
      </c>
    </row>
    <row r="1266" spans="1:14" hidden="1" x14ac:dyDescent="0.25">
      <c r="A1266" s="120" t="s">
        <v>3591</v>
      </c>
      <c r="B1266" s="120" t="s">
        <v>3709</v>
      </c>
      <c r="C1266" s="120" t="s">
        <v>301</v>
      </c>
      <c r="D1266" s="120" t="s">
        <v>3522</v>
      </c>
      <c r="E1266" s="120" t="s">
        <v>167</v>
      </c>
      <c r="F1266" s="120" t="s">
        <v>10</v>
      </c>
      <c r="G1266" s="120">
        <v>3</v>
      </c>
      <c r="H1266">
        <v>0</v>
      </c>
      <c r="I1266" s="120" t="s">
        <v>11</v>
      </c>
      <c r="J1266">
        <v>3</v>
      </c>
      <c r="K1266">
        <v>0</v>
      </c>
      <c r="L1266">
        <v>0</v>
      </c>
      <c r="M1266">
        <v>0</v>
      </c>
      <c r="N1266">
        <v>0</v>
      </c>
    </row>
    <row r="1267" spans="1:14" hidden="1" x14ac:dyDescent="0.25">
      <c r="A1267" s="120" t="s">
        <v>3591</v>
      </c>
      <c r="B1267" s="120" t="s">
        <v>3709</v>
      </c>
      <c r="C1267" s="120" t="s">
        <v>69</v>
      </c>
      <c r="D1267" s="120" t="s">
        <v>1099</v>
      </c>
      <c r="E1267" s="120" t="s">
        <v>180</v>
      </c>
      <c r="F1267" s="120" t="s">
        <v>10</v>
      </c>
      <c r="G1267" s="120">
        <v>2</v>
      </c>
      <c r="H1267">
        <v>3</v>
      </c>
      <c r="I1267" s="120" t="s">
        <v>11</v>
      </c>
      <c r="J1267">
        <v>-1</v>
      </c>
      <c r="K1267">
        <v>0</v>
      </c>
      <c r="L1267">
        <v>70</v>
      </c>
      <c r="M1267">
        <v>140</v>
      </c>
      <c r="N1267">
        <v>210</v>
      </c>
    </row>
    <row r="1268" spans="1:14" hidden="1" x14ac:dyDescent="0.25">
      <c r="A1268" s="120" t="s">
        <v>3591</v>
      </c>
      <c r="B1268" s="120" t="s">
        <v>3709</v>
      </c>
      <c r="C1268" s="120" t="s">
        <v>69</v>
      </c>
      <c r="D1268" s="120" t="s">
        <v>3527</v>
      </c>
      <c r="E1268" s="120" t="s">
        <v>185</v>
      </c>
      <c r="F1268" s="120" t="s">
        <v>10</v>
      </c>
      <c r="G1268" s="120">
        <v>13</v>
      </c>
      <c r="H1268">
        <v>0</v>
      </c>
      <c r="I1268" s="120" t="s">
        <v>11</v>
      </c>
      <c r="J1268">
        <v>13</v>
      </c>
      <c r="K1268">
        <v>0</v>
      </c>
      <c r="L1268">
        <v>0</v>
      </c>
      <c r="M1268">
        <v>0</v>
      </c>
      <c r="N1268">
        <v>0</v>
      </c>
    </row>
    <row r="1269" spans="1:14" hidden="1" x14ac:dyDescent="0.25">
      <c r="A1269" s="120" t="s">
        <v>3591</v>
      </c>
      <c r="B1269" s="120" t="s">
        <v>3709</v>
      </c>
      <c r="C1269" s="120" t="s">
        <v>69</v>
      </c>
      <c r="D1269" s="120" t="s">
        <v>1769</v>
      </c>
      <c r="E1269" s="120" t="s">
        <v>531</v>
      </c>
      <c r="F1269" s="120" t="s">
        <v>10</v>
      </c>
      <c r="G1269" s="120">
        <v>3</v>
      </c>
      <c r="H1269">
        <v>2</v>
      </c>
      <c r="I1269" s="120" t="s">
        <v>11</v>
      </c>
      <c r="J1269">
        <v>1</v>
      </c>
      <c r="K1269">
        <v>0</v>
      </c>
      <c r="L1269">
        <v>139</v>
      </c>
      <c r="M1269">
        <v>417</v>
      </c>
      <c r="N1269">
        <v>278</v>
      </c>
    </row>
    <row r="1270" spans="1:14" hidden="1" x14ac:dyDescent="0.25">
      <c r="A1270" s="120" t="s">
        <v>3591</v>
      </c>
      <c r="B1270" s="120" t="s">
        <v>3709</v>
      </c>
      <c r="C1270" s="120" t="s">
        <v>69</v>
      </c>
      <c r="D1270" s="120" t="s">
        <v>3503</v>
      </c>
      <c r="E1270" s="120" t="s">
        <v>105</v>
      </c>
      <c r="F1270" s="120" t="s">
        <v>10</v>
      </c>
      <c r="G1270" s="120">
        <v>2</v>
      </c>
      <c r="H1270">
        <v>0</v>
      </c>
      <c r="I1270" s="120" t="s">
        <v>11</v>
      </c>
      <c r="J1270">
        <v>2</v>
      </c>
      <c r="K1270">
        <v>0</v>
      </c>
      <c r="L1270">
        <v>0</v>
      </c>
      <c r="M1270">
        <v>0</v>
      </c>
      <c r="N1270">
        <v>0</v>
      </c>
    </row>
    <row r="1271" spans="1:14" hidden="1" x14ac:dyDescent="0.25">
      <c r="A1271" s="120" t="s">
        <v>3591</v>
      </c>
      <c r="B1271" s="120" t="s">
        <v>3709</v>
      </c>
      <c r="C1271" s="120" t="s">
        <v>69</v>
      </c>
      <c r="D1271" s="120" t="s">
        <v>1100</v>
      </c>
      <c r="E1271" s="120" t="s">
        <v>521</v>
      </c>
      <c r="F1271" s="120" t="s">
        <v>10</v>
      </c>
      <c r="G1271" s="120">
        <v>2</v>
      </c>
      <c r="H1271">
        <v>2</v>
      </c>
      <c r="I1271" s="120" t="s">
        <v>11</v>
      </c>
      <c r="J1271">
        <v>0</v>
      </c>
      <c r="K1271">
        <v>1</v>
      </c>
      <c r="L1271" s="121">
        <v>68</v>
      </c>
      <c r="M1271" s="121">
        <v>136</v>
      </c>
      <c r="N1271" s="121">
        <v>136</v>
      </c>
    </row>
    <row r="1272" spans="1:14" hidden="1" x14ac:dyDescent="0.25">
      <c r="A1272" s="120" t="s">
        <v>3591</v>
      </c>
      <c r="B1272" s="120" t="s">
        <v>3709</v>
      </c>
      <c r="C1272" s="120" t="s">
        <v>69</v>
      </c>
      <c r="D1272" s="120" t="s">
        <v>566</v>
      </c>
      <c r="E1272" s="120" t="s">
        <v>567</v>
      </c>
      <c r="F1272" s="120" t="s">
        <v>14</v>
      </c>
      <c r="G1272" s="120">
        <v>2</v>
      </c>
      <c r="H1272">
        <v>2</v>
      </c>
      <c r="I1272" s="120" t="s">
        <v>11</v>
      </c>
      <c r="J1272">
        <v>0</v>
      </c>
      <c r="K1272">
        <v>1</v>
      </c>
      <c r="L1272" s="121">
        <v>25.7</v>
      </c>
      <c r="M1272" s="121">
        <v>51.4</v>
      </c>
      <c r="N1272" s="121">
        <v>51.4</v>
      </c>
    </row>
    <row r="1273" spans="1:14" hidden="1" x14ac:dyDescent="0.25">
      <c r="A1273" s="120" t="s">
        <v>3591</v>
      </c>
      <c r="B1273" s="120" t="s">
        <v>3709</v>
      </c>
      <c r="C1273" s="120" t="s">
        <v>69</v>
      </c>
      <c r="D1273" s="120" t="s">
        <v>1113</v>
      </c>
      <c r="E1273" s="120" t="s">
        <v>106</v>
      </c>
      <c r="F1273" s="120" t="s">
        <v>18</v>
      </c>
      <c r="G1273" s="120">
        <v>1</v>
      </c>
      <c r="H1273">
        <v>3</v>
      </c>
      <c r="I1273" s="120" t="s">
        <v>11</v>
      </c>
      <c r="J1273">
        <v>-2</v>
      </c>
      <c r="K1273">
        <v>0</v>
      </c>
      <c r="L1273">
        <v>99</v>
      </c>
      <c r="M1273">
        <v>99</v>
      </c>
      <c r="N1273">
        <v>297</v>
      </c>
    </row>
    <row r="1274" spans="1:14" hidden="1" x14ac:dyDescent="0.25">
      <c r="A1274" s="120" t="s">
        <v>3591</v>
      </c>
      <c r="B1274" s="120" t="s">
        <v>3709</v>
      </c>
      <c r="C1274" s="120" t="s">
        <v>301</v>
      </c>
      <c r="D1274" s="120" t="s">
        <v>3523</v>
      </c>
      <c r="E1274" s="120" t="s">
        <v>168</v>
      </c>
      <c r="F1274" s="120" t="s">
        <v>18</v>
      </c>
      <c r="G1274" s="120">
        <v>1</v>
      </c>
      <c r="H1274">
        <v>0</v>
      </c>
      <c r="I1274" s="120" t="s">
        <v>11</v>
      </c>
      <c r="J1274">
        <v>1</v>
      </c>
      <c r="K1274">
        <v>0</v>
      </c>
      <c r="L1274">
        <v>0</v>
      </c>
      <c r="M1274">
        <v>0</v>
      </c>
      <c r="N1274">
        <v>0</v>
      </c>
    </row>
    <row r="1275" spans="1:14" hidden="1" x14ac:dyDescent="0.25">
      <c r="A1275" s="120" t="s">
        <v>3591</v>
      </c>
      <c r="B1275" s="120" t="s">
        <v>3709</v>
      </c>
      <c r="C1275" s="120" t="s">
        <v>69</v>
      </c>
      <c r="D1275" s="120" t="s">
        <v>1161</v>
      </c>
      <c r="E1275" s="120" t="s">
        <v>184</v>
      </c>
      <c r="F1275" s="120" t="s">
        <v>71</v>
      </c>
      <c r="G1275" s="120">
        <v>0</v>
      </c>
      <c r="H1275">
        <v>1</v>
      </c>
      <c r="I1275" s="120" t="s">
        <v>11</v>
      </c>
      <c r="J1275">
        <v>-1</v>
      </c>
      <c r="K1275">
        <v>0</v>
      </c>
      <c r="L1275">
        <v>10.4</v>
      </c>
      <c r="M1275">
        <v>0</v>
      </c>
      <c r="N1275">
        <v>10.4</v>
      </c>
    </row>
    <row r="1276" spans="1:14" hidden="1" x14ac:dyDescent="0.25">
      <c r="A1276" s="120" t="s">
        <v>3591</v>
      </c>
      <c r="B1276" s="120" t="s">
        <v>3709</v>
      </c>
      <c r="C1276" s="120" t="s">
        <v>69</v>
      </c>
      <c r="D1276" s="120" t="s">
        <v>1238</v>
      </c>
      <c r="E1276" s="120" t="s">
        <v>292</v>
      </c>
      <c r="F1276" s="120" t="s">
        <v>14</v>
      </c>
      <c r="G1276" s="120">
        <v>5</v>
      </c>
      <c r="H1276">
        <v>3</v>
      </c>
      <c r="I1276" s="120" t="s">
        <v>11</v>
      </c>
      <c r="J1276">
        <v>2</v>
      </c>
      <c r="K1276">
        <v>0</v>
      </c>
      <c r="L1276">
        <v>0.92</v>
      </c>
      <c r="M1276">
        <v>4.6000000000000005</v>
      </c>
      <c r="N1276">
        <v>2.7600000000000002</v>
      </c>
    </row>
    <row r="1277" spans="1:14" hidden="1" x14ac:dyDescent="0.25">
      <c r="A1277" s="120" t="s">
        <v>3591</v>
      </c>
      <c r="B1277" s="120" t="s">
        <v>3709</v>
      </c>
      <c r="C1277" s="120" t="s">
        <v>69</v>
      </c>
      <c r="D1277" s="120" t="s">
        <v>1189</v>
      </c>
      <c r="E1277" s="120" t="s">
        <v>1190</v>
      </c>
      <c r="F1277" s="120" t="s">
        <v>18</v>
      </c>
      <c r="G1277" s="120">
        <v>1</v>
      </c>
      <c r="H1277">
        <v>3</v>
      </c>
      <c r="I1277" s="120" t="s">
        <v>11</v>
      </c>
      <c r="J1277">
        <v>-2</v>
      </c>
      <c r="K1277">
        <v>0</v>
      </c>
      <c r="L1277">
        <v>58</v>
      </c>
      <c r="M1277">
        <v>58</v>
      </c>
      <c r="N1277">
        <v>174</v>
      </c>
    </row>
    <row r="1278" spans="1:14" hidden="1" x14ac:dyDescent="0.25">
      <c r="A1278" s="120" t="s">
        <v>3591</v>
      </c>
      <c r="B1278" s="120" t="s">
        <v>3709</v>
      </c>
      <c r="C1278" s="120" t="s">
        <v>69</v>
      </c>
      <c r="D1278" s="120" t="s">
        <v>687</v>
      </c>
      <c r="E1278" s="120" t="s">
        <v>99</v>
      </c>
      <c r="F1278" s="120" t="s">
        <v>10</v>
      </c>
      <c r="G1278" s="120">
        <v>4</v>
      </c>
      <c r="H1278">
        <v>2</v>
      </c>
      <c r="I1278" s="120" t="s">
        <v>11</v>
      </c>
      <c r="J1278">
        <v>2</v>
      </c>
      <c r="K1278">
        <v>0</v>
      </c>
      <c r="L1278">
        <v>9</v>
      </c>
      <c r="M1278">
        <v>36</v>
      </c>
      <c r="N1278">
        <v>18</v>
      </c>
    </row>
    <row r="1279" spans="1:14" hidden="1" x14ac:dyDescent="0.25">
      <c r="A1279" s="120" t="s">
        <v>3591</v>
      </c>
      <c r="B1279" s="120" t="s">
        <v>3709</v>
      </c>
      <c r="C1279" s="120" t="s">
        <v>69</v>
      </c>
      <c r="D1279" s="120" t="s">
        <v>3686</v>
      </c>
      <c r="E1279" s="120" t="s">
        <v>512</v>
      </c>
      <c r="F1279" s="120" t="s">
        <v>10</v>
      </c>
      <c r="G1279" s="120">
        <v>4</v>
      </c>
      <c r="H1279">
        <v>0</v>
      </c>
      <c r="I1279" s="120" t="s">
        <v>11</v>
      </c>
      <c r="J1279">
        <v>4</v>
      </c>
      <c r="K1279">
        <v>0</v>
      </c>
      <c r="L1279">
        <v>0</v>
      </c>
      <c r="M1279">
        <v>0</v>
      </c>
      <c r="N1279">
        <v>0</v>
      </c>
    </row>
    <row r="1280" spans="1:14" hidden="1" x14ac:dyDescent="0.25">
      <c r="A1280" s="120" t="s">
        <v>3591</v>
      </c>
      <c r="B1280" s="120" t="s">
        <v>3709</v>
      </c>
      <c r="C1280" s="120" t="s">
        <v>69</v>
      </c>
      <c r="D1280" s="120" t="s">
        <v>3692</v>
      </c>
      <c r="E1280" s="120" t="s">
        <v>523</v>
      </c>
      <c r="F1280" s="120" t="s">
        <v>14</v>
      </c>
      <c r="G1280" s="120">
        <v>1</v>
      </c>
      <c r="H1280">
        <v>0</v>
      </c>
      <c r="I1280" s="120" t="s">
        <v>47</v>
      </c>
      <c r="J1280">
        <v>1</v>
      </c>
      <c r="K1280">
        <v>0</v>
      </c>
      <c r="L1280">
        <v>0</v>
      </c>
      <c r="M1280">
        <v>0</v>
      </c>
      <c r="N1280">
        <v>0</v>
      </c>
    </row>
    <row r="1281" spans="1:14" hidden="1" x14ac:dyDescent="0.25">
      <c r="A1281" s="120" t="s">
        <v>3591</v>
      </c>
      <c r="B1281" s="120" t="s">
        <v>3709</v>
      </c>
      <c r="C1281" s="120" t="s">
        <v>69</v>
      </c>
      <c r="D1281" s="120" t="s">
        <v>1182</v>
      </c>
      <c r="E1281" s="120" t="s">
        <v>1183</v>
      </c>
      <c r="F1281" s="120" t="s">
        <v>10</v>
      </c>
      <c r="G1281" s="120">
        <v>6</v>
      </c>
      <c r="H1281">
        <v>3</v>
      </c>
      <c r="I1281" s="120" t="s">
        <v>47</v>
      </c>
      <c r="J1281">
        <v>3</v>
      </c>
      <c r="K1281">
        <v>0</v>
      </c>
      <c r="L1281">
        <v>13.2</v>
      </c>
      <c r="M1281">
        <v>79.199999999999989</v>
      </c>
      <c r="N1281">
        <v>39.599999999999994</v>
      </c>
    </row>
    <row r="1282" spans="1:14" hidden="1" x14ac:dyDescent="0.25">
      <c r="A1282" s="120" t="s">
        <v>3591</v>
      </c>
      <c r="B1282" s="120" t="s">
        <v>3709</v>
      </c>
      <c r="C1282" s="120" t="s">
        <v>69</v>
      </c>
      <c r="D1282" s="120" t="s">
        <v>679</v>
      </c>
      <c r="E1282" s="120" t="s">
        <v>268</v>
      </c>
      <c r="F1282" s="120" t="s">
        <v>14</v>
      </c>
      <c r="G1282" s="120">
        <v>2</v>
      </c>
      <c r="H1282">
        <v>2</v>
      </c>
      <c r="I1282" s="120" t="s">
        <v>47</v>
      </c>
      <c r="J1282">
        <v>0</v>
      </c>
      <c r="K1282">
        <v>1</v>
      </c>
      <c r="L1282" s="121">
        <v>38</v>
      </c>
      <c r="M1282" s="121">
        <v>76</v>
      </c>
      <c r="N1282" s="121">
        <v>76</v>
      </c>
    </row>
    <row r="1283" spans="1:14" hidden="1" x14ac:dyDescent="0.25">
      <c r="A1283" s="120" t="s">
        <v>3591</v>
      </c>
      <c r="B1283" s="120" t="s">
        <v>3709</v>
      </c>
      <c r="C1283" s="120" t="s">
        <v>69</v>
      </c>
      <c r="D1283" s="120" t="s">
        <v>1239</v>
      </c>
      <c r="E1283" s="120" t="s">
        <v>121</v>
      </c>
      <c r="F1283" s="120" t="s">
        <v>14</v>
      </c>
      <c r="G1283" s="120">
        <v>0</v>
      </c>
      <c r="H1283">
        <v>7</v>
      </c>
      <c r="I1283" s="120" t="s">
        <v>47</v>
      </c>
      <c r="J1283">
        <v>-7</v>
      </c>
      <c r="K1283">
        <v>0</v>
      </c>
      <c r="L1283">
        <v>10.5</v>
      </c>
      <c r="M1283">
        <v>0</v>
      </c>
      <c r="N1283">
        <v>73.5</v>
      </c>
    </row>
    <row r="1284" spans="1:14" hidden="1" x14ac:dyDescent="0.25">
      <c r="A1284" s="120" t="s">
        <v>3591</v>
      </c>
      <c r="B1284" s="120" t="s">
        <v>3709</v>
      </c>
      <c r="C1284" s="120" t="s">
        <v>69</v>
      </c>
      <c r="D1284" s="120" t="s">
        <v>3524</v>
      </c>
      <c r="E1284" s="120" t="s">
        <v>169</v>
      </c>
      <c r="F1284" s="120" t="s">
        <v>14</v>
      </c>
      <c r="G1284" s="120">
        <v>5</v>
      </c>
      <c r="H1284">
        <v>0</v>
      </c>
      <c r="I1284" s="120" t="s">
        <v>57</v>
      </c>
      <c r="J1284">
        <v>5</v>
      </c>
      <c r="K1284">
        <v>0</v>
      </c>
      <c r="L1284">
        <v>0</v>
      </c>
      <c r="M1284">
        <v>0</v>
      </c>
      <c r="N1284">
        <v>0</v>
      </c>
    </row>
    <row r="1285" spans="1:14" hidden="1" x14ac:dyDescent="0.25">
      <c r="A1285" s="120" t="s">
        <v>3591</v>
      </c>
      <c r="B1285" s="120" t="s">
        <v>3709</v>
      </c>
      <c r="C1285" s="120" t="s">
        <v>69</v>
      </c>
      <c r="D1285" s="120" t="s">
        <v>1109</v>
      </c>
      <c r="E1285" s="120" t="s">
        <v>182</v>
      </c>
      <c r="F1285" s="120" t="s">
        <v>183</v>
      </c>
      <c r="G1285" s="120">
        <v>0</v>
      </c>
      <c r="H1285">
        <v>2</v>
      </c>
      <c r="I1285" s="120" t="s">
        <v>57</v>
      </c>
      <c r="J1285">
        <v>-2</v>
      </c>
      <c r="K1285">
        <v>0</v>
      </c>
      <c r="L1285">
        <v>8</v>
      </c>
      <c r="M1285">
        <v>0</v>
      </c>
      <c r="N1285">
        <v>16</v>
      </c>
    </row>
    <row r="1286" spans="1:14" hidden="1" x14ac:dyDescent="0.25">
      <c r="A1286" s="120" t="s">
        <v>3591</v>
      </c>
      <c r="B1286" s="120" t="s">
        <v>3709</v>
      </c>
      <c r="C1286" s="120" t="s">
        <v>69</v>
      </c>
      <c r="D1286" s="120" t="s">
        <v>1155</v>
      </c>
      <c r="E1286" s="120" t="s">
        <v>114</v>
      </c>
      <c r="F1286" s="120" t="s">
        <v>71</v>
      </c>
      <c r="G1286" s="120">
        <v>6</v>
      </c>
      <c r="H1286">
        <v>8</v>
      </c>
      <c r="I1286" s="120" t="s">
        <v>57</v>
      </c>
      <c r="J1286">
        <v>-2</v>
      </c>
      <c r="K1286">
        <v>0</v>
      </c>
      <c r="L1286">
        <v>14</v>
      </c>
      <c r="M1286">
        <v>84</v>
      </c>
      <c r="N1286">
        <v>112</v>
      </c>
    </row>
    <row r="1287" spans="1:14" hidden="1" x14ac:dyDescent="0.25">
      <c r="A1287" s="120" t="s">
        <v>3591</v>
      </c>
      <c r="B1287" s="120" t="s">
        <v>3709</v>
      </c>
      <c r="C1287" s="120" t="s">
        <v>301</v>
      </c>
      <c r="D1287" s="120" t="s">
        <v>1200</v>
      </c>
      <c r="E1287" s="120" t="s">
        <v>528</v>
      </c>
      <c r="F1287" s="120" t="s">
        <v>10</v>
      </c>
      <c r="G1287" s="120">
        <v>0</v>
      </c>
      <c r="H1287">
        <v>3</v>
      </c>
      <c r="I1287" s="120" t="s">
        <v>57</v>
      </c>
      <c r="J1287">
        <v>-3</v>
      </c>
      <c r="K1287">
        <v>0</v>
      </c>
      <c r="L1287">
        <v>40</v>
      </c>
      <c r="M1287">
        <v>0</v>
      </c>
      <c r="N1287">
        <v>120</v>
      </c>
    </row>
    <row r="1288" spans="1:14" hidden="1" x14ac:dyDescent="0.25">
      <c r="A1288" s="120" t="s">
        <v>3591</v>
      </c>
      <c r="B1288" s="120" t="s">
        <v>3709</v>
      </c>
      <c r="C1288" s="120" t="s">
        <v>69</v>
      </c>
      <c r="D1288" s="120" t="s">
        <v>3684</v>
      </c>
      <c r="E1288" s="120" t="s">
        <v>510</v>
      </c>
      <c r="F1288" s="120" t="s">
        <v>10</v>
      </c>
      <c r="G1288" s="120">
        <v>0</v>
      </c>
      <c r="H1288">
        <v>0</v>
      </c>
      <c r="I1288" s="120" t="s">
        <v>57</v>
      </c>
      <c r="J1288">
        <v>0</v>
      </c>
      <c r="K1288">
        <v>1</v>
      </c>
      <c r="L1288" s="121">
        <v>0</v>
      </c>
      <c r="M1288" s="121">
        <v>0</v>
      </c>
      <c r="N1288" s="121">
        <v>0</v>
      </c>
    </row>
    <row r="1289" spans="1:14" hidden="1" x14ac:dyDescent="0.25">
      <c r="A1289" s="120" t="s">
        <v>3591</v>
      </c>
      <c r="B1289" s="120" t="s">
        <v>3709</v>
      </c>
      <c r="C1289" s="120" t="s">
        <v>69</v>
      </c>
      <c r="D1289" s="120" t="s">
        <v>3682</v>
      </c>
      <c r="E1289" s="120" t="s">
        <v>508</v>
      </c>
      <c r="F1289" s="120" t="s">
        <v>10</v>
      </c>
      <c r="G1289" s="120">
        <v>2</v>
      </c>
      <c r="H1289">
        <v>0</v>
      </c>
      <c r="I1289" s="120" t="s">
        <v>57</v>
      </c>
      <c r="J1289">
        <v>2</v>
      </c>
      <c r="K1289">
        <v>0</v>
      </c>
      <c r="L1289">
        <v>0</v>
      </c>
      <c r="M1289">
        <v>0</v>
      </c>
      <c r="N1289">
        <v>0</v>
      </c>
    </row>
    <row r="1290" spans="1:14" hidden="1" x14ac:dyDescent="0.25">
      <c r="A1290" s="120" t="s">
        <v>3591</v>
      </c>
      <c r="B1290" s="120" t="s">
        <v>3693</v>
      </c>
      <c r="C1290" s="120" t="s">
        <v>69</v>
      </c>
      <c r="D1290" s="120" t="s">
        <v>687</v>
      </c>
      <c r="E1290" s="120" t="s">
        <v>99</v>
      </c>
      <c r="F1290" s="120" t="s">
        <v>10</v>
      </c>
      <c r="G1290" s="120">
        <v>2</v>
      </c>
      <c r="H1290">
        <v>1</v>
      </c>
      <c r="I1290" s="120" t="s">
        <v>11</v>
      </c>
      <c r="J1290">
        <v>1</v>
      </c>
      <c r="K1290">
        <v>0</v>
      </c>
      <c r="L1290">
        <v>9</v>
      </c>
      <c r="M1290">
        <v>18</v>
      </c>
      <c r="N1290">
        <v>9</v>
      </c>
    </row>
    <row r="1291" spans="1:14" hidden="1" x14ac:dyDescent="0.25">
      <c r="A1291" s="120" t="s">
        <v>3591</v>
      </c>
      <c r="B1291" s="120" t="s">
        <v>3693</v>
      </c>
      <c r="C1291" s="120" t="s">
        <v>69</v>
      </c>
      <c r="D1291" s="120" t="s">
        <v>1134</v>
      </c>
      <c r="E1291" s="120" t="s">
        <v>111</v>
      </c>
      <c r="F1291" s="120" t="s">
        <v>10</v>
      </c>
      <c r="G1291" s="120">
        <v>2</v>
      </c>
      <c r="H1291">
        <v>3</v>
      </c>
      <c r="I1291" s="120" t="s">
        <v>11</v>
      </c>
      <c r="J1291">
        <v>-1</v>
      </c>
      <c r="K1291">
        <v>0</v>
      </c>
      <c r="L1291">
        <v>34</v>
      </c>
      <c r="M1291">
        <v>68</v>
      </c>
      <c r="N1291">
        <v>102</v>
      </c>
    </row>
    <row r="1292" spans="1:14" hidden="1" x14ac:dyDescent="0.25">
      <c r="A1292" s="120" t="s">
        <v>3591</v>
      </c>
      <c r="B1292" s="120" t="s">
        <v>3693</v>
      </c>
      <c r="C1292" s="120" t="s">
        <v>69</v>
      </c>
      <c r="D1292" s="120" t="s">
        <v>1760</v>
      </c>
      <c r="E1292" s="120" t="s">
        <v>530</v>
      </c>
      <c r="F1292" s="120" t="s">
        <v>14</v>
      </c>
      <c r="G1292" s="120">
        <v>2</v>
      </c>
      <c r="H1292">
        <v>2</v>
      </c>
      <c r="I1292" s="120" t="s">
        <v>11</v>
      </c>
      <c r="J1292">
        <v>0</v>
      </c>
      <c r="K1292">
        <v>1</v>
      </c>
      <c r="L1292" s="121">
        <v>165</v>
      </c>
      <c r="M1292" s="121">
        <v>330</v>
      </c>
      <c r="N1292" s="121">
        <v>330</v>
      </c>
    </row>
    <row r="1293" spans="1:14" hidden="1" x14ac:dyDescent="0.25">
      <c r="A1293" s="120" t="s">
        <v>3591</v>
      </c>
      <c r="B1293" s="120" t="s">
        <v>3693</v>
      </c>
      <c r="C1293" s="120" t="s">
        <v>69</v>
      </c>
      <c r="D1293" s="120" t="s">
        <v>678</v>
      </c>
      <c r="E1293" s="120" t="s">
        <v>97</v>
      </c>
      <c r="F1293" s="120" t="s">
        <v>10</v>
      </c>
      <c r="G1293" s="120">
        <v>2</v>
      </c>
      <c r="H1293">
        <v>2</v>
      </c>
      <c r="I1293" s="120" t="s">
        <v>11</v>
      </c>
      <c r="J1293">
        <v>0</v>
      </c>
      <c r="K1293">
        <v>1</v>
      </c>
      <c r="L1293" s="121">
        <v>34</v>
      </c>
      <c r="M1293" s="121">
        <v>68</v>
      </c>
      <c r="N1293" s="121">
        <v>68</v>
      </c>
    </row>
    <row r="1294" spans="1:14" hidden="1" x14ac:dyDescent="0.25">
      <c r="A1294" s="120" t="s">
        <v>3591</v>
      </c>
      <c r="B1294" s="120" t="s">
        <v>3693</v>
      </c>
      <c r="C1294" s="120" t="s">
        <v>69</v>
      </c>
      <c r="D1294" s="120" t="s">
        <v>1156</v>
      </c>
      <c r="E1294" s="120" t="s">
        <v>115</v>
      </c>
      <c r="F1294" s="120" t="s">
        <v>71</v>
      </c>
      <c r="G1294" s="120">
        <v>4</v>
      </c>
      <c r="H1294">
        <v>5</v>
      </c>
      <c r="I1294" s="120" t="s">
        <v>11</v>
      </c>
      <c r="J1294">
        <v>-1</v>
      </c>
      <c r="K1294">
        <v>0</v>
      </c>
      <c r="L1294">
        <v>2.46</v>
      </c>
      <c r="M1294">
        <v>9.84</v>
      </c>
      <c r="N1294">
        <v>12.3</v>
      </c>
    </row>
    <row r="1295" spans="1:14" hidden="1" x14ac:dyDescent="0.25">
      <c r="A1295" s="120" t="s">
        <v>3591</v>
      </c>
      <c r="B1295" s="120" t="s">
        <v>3693</v>
      </c>
      <c r="C1295" s="120" t="s">
        <v>69</v>
      </c>
      <c r="D1295" s="120" t="s">
        <v>725</v>
      </c>
      <c r="E1295" s="120" t="s">
        <v>519</v>
      </c>
      <c r="F1295" s="120" t="s">
        <v>10</v>
      </c>
      <c r="G1295" s="120">
        <v>2</v>
      </c>
      <c r="H1295">
        <v>3</v>
      </c>
      <c r="I1295" s="120" t="s">
        <v>11</v>
      </c>
      <c r="J1295">
        <v>-1</v>
      </c>
      <c r="K1295">
        <v>0</v>
      </c>
      <c r="L1295">
        <v>140</v>
      </c>
      <c r="M1295">
        <v>280</v>
      </c>
      <c r="N1295">
        <v>420</v>
      </c>
    </row>
    <row r="1296" spans="1:14" hidden="1" x14ac:dyDescent="0.25">
      <c r="A1296" s="120" t="s">
        <v>3591</v>
      </c>
      <c r="B1296" s="120" t="s">
        <v>3693</v>
      </c>
      <c r="C1296" s="120" t="s">
        <v>69</v>
      </c>
      <c r="D1296" s="120" t="s">
        <v>738</v>
      </c>
      <c r="E1296" s="120" t="s">
        <v>102</v>
      </c>
      <c r="F1296" s="120" t="s">
        <v>10</v>
      </c>
      <c r="G1296" s="120">
        <v>4</v>
      </c>
      <c r="H1296">
        <v>3</v>
      </c>
      <c r="I1296" s="120" t="s">
        <v>11</v>
      </c>
      <c r="J1296">
        <v>1</v>
      </c>
      <c r="K1296">
        <v>0</v>
      </c>
      <c r="L1296">
        <v>10</v>
      </c>
      <c r="M1296">
        <v>40</v>
      </c>
      <c r="N1296">
        <v>30</v>
      </c>
    </row>
    <row r="1297" spans="1:14" hidden="1" x14ac:dyDescent="0.25">
      <c r="A1297" s="120" t="s">
        <v>3591</v>
      </c>
      <c r="B1297" s="120" t="s">
        <v>3693</v>
      </c>
      <c r="C1297" s="120" t="s">
        <v>69</v>
      </c>
      <c r="D1297" s="120" t="s">
        <v>1155</v>
      </c>
      <c r="E1297" s="120" t="s">
        <v>114</v>
      </c>
      <c r="F1297" s="120" t="s">
        <v>71</v>
      </c>
      <c r="G1297" s="120">
        <v>6</v>
      </c>
      <c r="H1297">
        <v>7</v>
      </c>
      <c r="I1297" s="120" t="s">
        <v>11</v>
      </c>
      <c r="J1297">
        <v>-1</v>
      </c>
      <c r="K1297">
        <v>0</v>
      </c>
      <c r="L1297">
        <v>14</v>
      </c>
      <c r="M1297">
        <v>84</v>
      </c>
      <c r="N1297">
        <v>98</v>
      </c>
    </row>
    <row r="1298" spans="1:14" hidden="1" x14ac:dyDescent="0.25">
      <c r="A1298" s="120" t="s">
        <v>3591</v>
      </c>
      <c r="B1298" s="120" t="s">
        <v>3693</v>
      </c>
      <c r="C1298" s="120" t="s">
        <v>69</v>
      </c>
      <c r="D1298" s="120" t="s">
        <v>1239</v>
      </c>
      <c r="E1298" s="120" t="s">
        <v>121</v>
      </c>
      <c r="F1298" s="120" t="s">
        <v>14</v>
      </c>
      <c r="G1298" s="120">
        <v>5</v>
      </c>
      <c r="H1298">
        <v>4</v>
      </c>
      <c r="I1298" s="120" t="s">
        <v>11</v>
      </c>
      <c r="J1298">
        <v>1</v>
      </c>
      <c r="K1298">
        <v>0</v>
      </c>
      <c r="L1298">
        <v>10.5</v>
      </c>
      <c r="M1298">
        <v>52.5</v>
      </c>
      <c r="N1298">
        <v>42</v>
      </c>
    </row>
    <row r="1299" spans="1:14" hidden="1" x14ac:dyDescent="0.25">
      <c r="A1299" s="120" t="s">
        <v>3591</v>
      </c>
      <c r="B1299" s="120" t="s">
        <v>3693</v>
      </c>
      <c r="C1299" s="120" t="s">
        <v>69</v>
      </c>
      <c r="D1299" s="120" t="s">
        <v>1757</v>
      </c>
      <c r="E1299" s="120" t="s">
        <v>1758</v>
      </c>
      <c r="F1299" s="120" t="s">
        <v>14</v>
      </c>
      <c r="G1299" s="120">
        <v>4</v>
      </c>
      <c r="H1299">
        <v>2</v>
      </c>
      <c r="I1299" s="120" t="s">
        <v>11</v>
      </c>
      <c r="J1299">
        <v>2</v>
      </c>
      <c r="K1299">
        <v>0</v>
      </c>
      <c r="L1299">
        <v>170</v>
      </c>
      <c r="M1299">
        <v>680</v>
      </c>
      <c r="N1299">
        <v>340</v>
      </c>
    </row>
    <row r="1300" spans="1:14" hidden="1" x14ac:dyDescent="0.25">
      <c r="A1300" s="120" t="s">
        <v>3591</v>
      </c>
      <c r="B1300" s="120" t="s">
        <v>3693</v>
      </c>
      <c r="C1300" s="120" t="s">
        <v>69</v>
      </c>
      <c r="D1300" s="120" t="s">
        <v>3468</v>
      </c>
      <c r="E1300" s="120" t="s">
        <v>517</v>
      </c>
      <c r="F1300" s="120" t="s">
        <v>14</v>
      </c>
      <c r="G1300" s="120">
        <v>17</v>
      </c>
      <c r="H1300">
        <v>0</v>
      </c>
      <c r="I1300" s="120" t="s">
        <v>11</v>
      </c>
      <c r="J1300">
        <v>17</v>
      </c>
      <c r="K1300">
        <v>0</v>
      </c>
      <c r="L1300">
        <v>0</v>
      </c>
      <c r="M1300">
        <v>0</v>
      </c>
      <c r="N1300">
        <v>0</v>
      </c>
    </row>
    <row r="1301" spans="1:14" hidden="1" x14ac:dyDescent="0.25">
      <c r="A1301" s="120" t="s">
        <v>3591</v>
      </c>
      <c r="B1301" s="120" t="s">
        <v>3693</v>
      </c>
      <c r="C1301" s="120" t="s">
        <v>69</v>
      </c>
      <c r="D1301" s="120" t="s">
        <v>1189</v>
      </c>
      <c r="E1301" s="120" t="s">
        <v>1190</v>
      </c>
      <c r="F1301" s="120" t="s">
        <v>18</v>
      </c>
      <c r="G1301" s="120">
        <v>3</v>
      </c>
      <c r="H1301">
        <v>3</v>
      </c>
      <c r="I1301" s="120" t="s">
        <v>11</v>
      </c>
      <c r="J1301">
        <v>0</v>
      </c>
      <c r="K1301">
        <v>1</v>
      </c>
      <c r="L1301" s="121">
        <v>58</v>
      </c>
      <c r="M1301" s="121">
        <v>174</v>
      </c>
      <c r="N1301" s="121">
        <v>174</v>
      </c>
    </row>
    <row r="1302" spans="1:14" hidden="1" x14ac:dyDescent="0.25">
      <c r="A1302" s="120" t="s">
        <v>3591</v>
      </c>
      <c r="B1302" s="120" t="s">
        <v>3693</v>
      </c>
      <c r="C1302" s="120" t="s">
        <v>69</v>
      </c>
      <c r="D1302" s="120" t="s">
        <v>3522</v>
      </c>
      <c r="E1302" s="120" t="s">
        <v>167</v>
      </c>
      <c r="F1302" s="120" t="s">
        <v>10</v>
      </c>
      <c r="G1302" s="120">
        <v>3</v>
      </c>
      <c r="H1302">
        <v>0</v>
      </c>
      <c r="I1302" s="120" t="s">
        <v>11</v>
      </c>
      <c r="J1302">
        <v>3</v>
      </c>
      <c r="K1302">
        <v>0</v>
      </c>
      <c r="L1302">
        <v>0</v>
      </c>
      <c r="M1302">
        <v>0</v>
      </c>
      <c r="N1302">
        <v>0</v>
      </c>
    </row>
    <row r="1303" spans="1:14" hidden="1" x14ac:dyDescent="0.25">
      <c r="A1303" s="120" t="s">
        <v>3591</v>
      </c>
      <c r="B1303" s="120" t="s">
        <v>3693</v>
      </c>
      <c r="C1303" s="120" t="s">
        <v>69</v>
      </c>
      <c r="D1303" s="120" t="s">
        <v>1099</v>
      </c>
      <c r="E1303" s="120" t="s">
        <v>180</v>
      </c>
      <c r="F1303" s="120" t="s">
        <v>10</v>
      </c>
      <c r="G1303" s="120">
        <v>3</v>
      </c>
      <c r="H1303">
        <v>2</v>
      </c>
      <c r="I1303" s="120" t="s">
        <v>11</v>
      </c>
      <c r="J1303">
        <v>1</v>
      </c>
      <c r="K1303">
        <v>0</v>
      </c>
      <c r="L1303">
        <v>70</v>
      </c>
      <c r="M1303">
        <v>210</v>
      </c>
      <c r="N1303">
        <v>140</v>
      </c>
    </row>
    <row r="1304" spans="1:14" hidden="1" x14ac:dyDescent="0.25">
      <c r="A1304" s="120" t="s">
        <v>3591</v>
      </c>
      <c r="B1304" s="120" t="s">
        <v>3693</v>
      </c>
      <c r="C1304" s="120" t="s">
        <v>69</v>
      </c>
      <c r="D1304" s="120" t="s">
        <v>3527</v>
      </c>
      <c r="E1304" s="120" t="s">
        <v>185</v>
      </c>
      <c r="F1304" s="120" t="s">
        <v>10</v>
      </c>
      <c r="G1304" s="120">
        <v>12</v>
      </c>
      <c r="H1304">
        <v>0</v>
      </c>
      <c r="I1304" s="120" t="s">
        <v>11</v>
      </c>
      <c r="J1304">
        <v>12</v>
      </c>
      <c r="K1304">
        <v>0</v>
      </c>
      <c r="L1304">
        <v>0</v>
      </c>
      <c r="M1304">
        <v>0</v>
      </c>
      <c r="N1304">
        <v>0</v>
      </c>
    </row>
    <row r="1305" spans="1:14" hidden="1" x14ac:dyDescent="0.25">
      <c r="A1305" s="120" t="s">
        <v>3591</v>
      </c>
      <c r="B1305" s="120" t="s">
        <v>3693</v>
      </c>
      <c r="C1305" s="120" t="s">
        <v>69</v>
      </c>
      <c r="D1305" s="120" t="s">
        <v>1769</v>
      </c>
      <c r="E1305" s="120" t="s">
        <v>531</v>
      </c>
      <c r="F1305" s="120" t="s">
        <v>10</v>
      </c>
      <c r="G1305" s="120">
        <v>4</v>
      </c>
      <c r="H1305">
        <v>2</v>
      </c>
      <c r="I1305" s="120" t="s">
        <v>11</v>
      </c>
      <c r="J1305">
        <v>2</v>
      </c>
      <c r="K1305">
        <v>0</v>
      </c>
      <c r="L1305">
        <v>139</v>
      </c>
      <c r="M1305">
        <v>556</v>
      </c>
      <c r="N1305">
        <v>278</v>
      </c>
    </row>
    <row r="1306" spans="1:14" hidden="1" x14ac:dyDescent="0.25">
      <c r="A1306" s="120" t="s">
        <v>3591</v>
      </c>
      <c r="B1306" s="120" t="s">
        <v>3693</v>
      </c>
      <c r="C1306" s="120" t="s">
        <v>69</v>
      </c>
      <c r="D1306" s="120" t="s">
        <v>3503</v>
      </c>
      <c r="E1306" s="120" t="s">
        <v>105</v>
      </c>
      <c r="F1306" s="120" t="s">
        <v>10</v>
      </c>
      <c r="G1306" s="120">
        <v>1</v>
      </c>
      <c r="H1306">
        <v>0</v>
      </c>
      <c r="I1306" s="120" t="s">
        <v>11</v>
      </c>
      <c r="J1306">
        <v>1</v>
      </c>
      <c r="K1306">
        <v>0</v>
      </c>
      <c r="L1306">
        <v>0</v>
      </c>
      <c r="M1306">
        <v>0</v>
      </c>
      <c r="N1306">
        <v>0</v>
      </c>
    </row>
    <row r="1307" spans="1:14" hidden="1" x14ac:dyDescent="0.25">
      <c r="A1307" s="120" t="s">
        <v>3591</v>
      </c>
      <c r="B1307" s="120" t="s">
        <v>3693</v>
      </c>
      <c r="C1307" s="120" t="s">
        <v>69</v>
      </c>
      <c r="D1307" s="120" t="s">
        <v>1100</v>
      </c>
      <c r="E1307" s="120" t="s">
        <v>521</v>
      </c>
      <c r="F1307" s="120" t="s">
        <v>10</v>
      </c>
      <c r="G1307" s="120">
        <v>3</v>
      </c>
      <c r="H1307">
        <v>2</v>
      </c>
      <c r="I1307" s="120" t="s">
        <v>11</v>
      </c>
      <c r="J1307">
        <v>1</v>
      </c>
      <c r="K1307">
        <v>0</v>
      </c>
      <c r="L1307">
        <v>68</v>
      </c>
      <c r="M1307">
        <v>204</v>
      </c>
      <c r="N1307">
        <v>136</v>
      </c>
    </row>
    <row r="1308" spans="1:14" hidden="1" x14ac:dyDescent="0.25">
      <c r="A1308" s="120" t="s">
        <v>3591</v>
      </c>
      <c r="B1308" s="120" t="s">
        <v>3693</v>
      </c>
      <c r="C1308" s="120" t="s">
        <v>69</v>
      </c>
      <c r="D1308" s="120" t="s">
        <v>566</v>
      </c>
      <c r="E1308" s="120" t="s">
        <v>567</v>
      </c>
      <c r="F1308" s="120" t="s">
        <v>14</v>
      </c>
      <c r="G1308" s="120">
        <v>2</v>
      </c>
      <c r="H1308">
        <v>2</v>
      </c>
      <c r="I1308" s="120" t="s">
        <v>11</v>
      </c>
      <c r="J1308">
        <v>0</v>
      </c>
      <c r="K1308">
        <v>1</v>
      </c>
      <c r="L1308" s="121">
        <v>25.7</v>
      </c>
      <c r="M1308" s="121">
        <v>51.4</v>
      </c>
      <c r="N1308" s="121">
        <v>51.4</v>
      </c>
    </row>
    <row r="1309" spans="1:14" hidden="1" x14ac:dyDescent="0.25">
      <c r="A1309" s="120" t="s">
        <v>3591</v>
      </c>
      <c r="B1309" s="120" t="s">
        <v>3693</v>
      </c>
      <c r="C1309" s="120" t="s">
        <v>69</v>
      </c>
      <c r="D1309" s="120" t="s">
        <v>1113</v>
      </c>
      <c r="E1309" s="120" t="s">
        <v>106</v>
      </c>
      <c r="F1309" s="120" t="s">
        <v>18</v>
      </c>
      <c r="G1309" s="120">
        <v>2</v>
      </c>
      <c r="H1309">
        <v>2</v>
      </c>
      <c r="I1309" s="120" t="s">
        <v>11</v>
      </c>
      <c r="J1309">
        <v>0</v>
      </c>
      <c r="K1309">
        <v>1</v>
      </c>
      <c r="L1309" s="121">
        <v>99</v>
      </c>
      <c r="M1309" s="121">
        <v>198</v>
      </c>
      <c r="N1309" s="121">
        <v>198</v>
      </c>
    </row>
    <row r="1310" spans="1:14" hidden="1" x14ac:dyDescent="0.25">
      <c r="A1310" s="120" t="s">
        <v>3591</v>
      </c>
      <c r="B1310" s="120" t="s">
        <v>3693</v>
      </c>
      <c r="C1310" s="120" t="s">
        <v>69</v>
      </c>
      <c r="D1310" s="120" t="s">
        <v>3523</v>
      </c>
      <c r="E1310" s="120" t="s">
        <v>168</v>
      </c>
      <c r="F1310" s="120" t="s">
        <v>18</v>
      </c>
      <c r="G1310" s="120">
        <v>3</v>
      </c>
      <c r="H1310">
        <v>0</v>
      </c>
      <c r="I1310" s="120" t="s">
        <v>11</v>
      </c>
      <c r="J1310">
        <v>3</v>
      </c>
      <c r="K1310">
        <v>0</v>
      </c>
      <c r="L1310">
        <v>0</v>
      </c>
      <c r="M1310">
        <v>0</v>
      </c>
      <c r="N1310">
        <v>0</v>
      </c>
    </row>
    <row r="1311" spans="1:14" hidden="1" x14ac:dyDescent="0.25">
      <c r="A1311" s="120" t="s">
        <v>3591</v>
      </c>
      <c r="B1311" s="120" t="s">
        <v>3693</v>
      </c>
      <c r="C1311" s="120" t="s">
        <v>69</v>
      </c>
      <c r="D1311" s="120" t="s">
        <v>3697</v>
      </c>
      <c r="E1311" s="120" t="s">
        <v>2645</v>
      </c>
      <c r="F1311" s="120" t="s">
        <v>18</v>
      </c>
      <c r="G1311" s="120">
        <v>5</v>
      </c>
      <c r="H1311">
        <v>0</v>
      </c>
      <c r="I1311" s="120" t="s">
        <v>47</v>
      </c>
      <c r="J1311">
        <v>5</v>
      </c>
      <c r="K1311">
        <v>0</v>
      </c>
      <c r="L1311">
        <v>0</v>
      </c>
      <c r="M1311">
        <v>0</v>
      </c>
      <c r="N1311">
        <v>0</v>
      </c>
    </row>
    <row r="1312" spans="1:14" hidden="1" x14ac:dyDescent="0.25">
      <c r="A1312" s="120" t="s">
        <v>3591</v>
      </c>
      <c r="B1312" s="120" t="s">
        <v>3693</v>
      </c>
      <c r="C1312" s="120" t="s">
        <v>69</v>
      </c>
      <c r="D1312" s="120" t="s">
        <v>592</v>
      </c>
      <c r="E1312" s="120" t="s">
        <v>75</v>
      </c>
      <c r="F1312" s="120" t="s">
        <v>71</v>
      </c>
      <c r="G1312" s="120">
        <v>1</v>
      </c>
      <c r="H1312">
        <v>4</v>
      </c>
      <c r="I1312" s="120" t="s">
        <v>47</v>
      </c>
      <c r="J1312">
        <v>-3</v>
      </c>
      <c r="K1312">
        <v>0</v>
      </c>
      <c r="L1312">
        <v>54</v>
      </c>
      <c r="M1312">
        <v>54</v>
      </c>
      <c r="N1312">
        <v>216</v>
      </c>
    </row>
    <row r="1313" spans="1:14" hidden="1" x14ac:dyDescent="0.25">
      <c r="A1313" s="120" t="s">
        <v>3591</v>
      </c>
      <c r="B1313" s="120" t="s">
        <v>3693</v>
      </c>
      <c r="C1313" s="120" t="s">
        <v>69</v>
      </c>
      <c r="D1313" s="120" t="s">
        <v>3546</v>
      </c>
      <c r="E1313" s="120" t="s">
        <v>2991</v>
      </c>
      <c r="F1313" s="120" t="s">
        <v>14</v>
      </c>
      <c r="G1313" s="120">
        <v>6</v>
      </c>
      <c r="H1313">
        <v>0</v>
      </c>
      <c r="I1313" s="120" t="s">
        <v>47</v>
      </c>
      <c r="J1313">
        <v>6</v>
      </c>
      <c r="K1313">
        <v>0</v>
      </c>
      <c r="L1313">
        <v>0</v>
      </c>
      <c r="M1313">
        <v>0</v>
      </c>
      <c r="N1313">
        <v>0</v>
      </c>
    </row>
    <row r="1314" spans="1:14" hidden="1" x14ac:dyDescent="0.25">
      <c r="A1314" s="120" t="s">
        <v>3591</v>
      </c>
      <c r="B1314" s="120" t="s">
        <v>3693</v>
      </c>
      <c r="C1314" s="120" t="s">
        <v>69</v>
      </c>
      <c r="D1314" s="120" t="s">
        <v>3684</v>
      </c>
      <c r="E1314" s="120" t="s">
        <v>510</v>
      </c>
      <c r="F1314" s="120" t="s">
        <v>10</v>
      </c>
      <c r="G1314" s="120">
        <v>1</v>
      </c>
      <c r="H1314">
        <v>0</v>
      </c>
      <c r="I1314" s="120" t="s">
        <v>47</v>
      </c>
      <c r="J1314">
        <v>1</v>
      </c>
      <c r="K1314">
        <v>0</v>
      </c>
      <c r="L1314">
        <v>0</v>
      </c>
      <c r="M1314">
        <v>0</v>
      </c>
      <c r="N1314">
        <v>0</v>
      </c>
    </row>
    <row r="1315" spans="1:14" hidden="1" x14ac:dyDescent="0.25">
      <c r="A1315" s="120" t="s">
        <v>3591</v>
      </c>
      <c r="B1315" s="120" t="s">
        <v>3693</v>
      </c>
      <c r="C1315" s="120" t="s">
        <v>69</v>
      </c>
      <c r="D1315" s="120" t="s">
        <v>3685</v>
      </c>
      <c r="E1315" s="120" t="s">
        <v>511</v>
      </c>
      <c r="F1315" s="120" t="s">
        <v>10</v>
      </c>
      <c r="G1315" s="120">
        <v>5</v>
      </c>
      <c r="H1315">
        <v>0</v>
      </c>
      <c r="I1315" s="120" t="s">
        <v>57</v>
      </c>
      <c r="J1315">
        <v>5</v>
      </c>
      <c r="K1315">
        <v>0</v>
      </c>
      <c r="L1315">
        <v>0</v>
      </c>
      <c r="M1315">
        <v>0</v>
      </c>
      <c r="N1315">
        <v>0</v>
      </c>
    </row>
    <row r="1316" spans="1:14" hidden="1" x14ac:dyDescent="0.25">
      <c r="A1316" s="120" t="s">
        <v>3591</v>
      </c>
      <c r="B1316" s="120" t="s">
        <v>3698</v>
      </c>
      <c r="C1316" s="120" t="s">
        <v>69</v>
      </c>
      <c r="D1316" s="120" t="s">
        <v>725</v>
      </c>
      <c r="E1316" s="120" t="s">
        <v>519</v>
      </c>
      <c r="F1316" s="120" t="s">
        <v>10</v>
      </c>
      <c r="G1316" s="120">
        <v>3</v>
      </c>
      <c r="H1316">
        <v>1</v>
      </c>
      <c r="I1316" s="120" t="s">
        <v>11</v>
      </c>
      <c r="J1316">
        <v>2</v>
      </c>
      <c r="K1316">
        <v>0</v>
      </c>
      <c r="L1316">
        <v>140</v>
      </c>
      <c r="M1316">
        <v>420</v>
      </c>
      <c r="N1316">
        <v>140</v>
      </c>
    </row>
    <row r="1317" spans="1:14" hidden="1" x14ac:dyDescent="0.25">
      <c r="A1317" s="120" t="s">
        <v>3591</v>
      </c>
      <c r="B1317" s="120" t="s">
        <v>3698</v>
      </c>
      <c r="C1317" s="120" t="s">
        <v>69</v>
      </c>
      <c r="D1317" s="120" t="s">
        <v>738</v>
      </c>
      <c r="E1317" s="120" t="s">
        <v>102</v>
      </c>
      <c r="F1317" s="120" t="s">
        <v>10</v>
      </c>
      <c r="G1317" s="120">
        <v>6</v>
      </c>
      <c r="H1317">
        <v>3</v>
      </c>
      <c r="I1317" s="120" t="s">
        <v>11</v>
      </c>
      <c r="J1317">
        <v>3</v>
      </c>
      <c r="K1317">
        <v>0</v>
      </c>
      <c r="L1317">
        <v>10</v>
      </c>
      <c r="M1317">
        <v>60</v>
      </c>
      <c r="N1317">
        <v>30</v>
      </c>
    </row>
    <row r="1318" spans="1:14" hidden="1" x14ac:dyDescent="0.25">
      <c r="A1318" s="120" t="s">
        <v>3591</v>
      </c>
      <c r="B1318" s="120" t="s">
        <v>3698</v>
      </c>
      <c r="C1318" s="120" t="s">
        <v>69</v>
      </c>
      <c r="D1318" s="120" t="s">
        <v>1192</v>
      </c>
      <c r="E1318" s="120" t="s">
        <v>124</v>
      </c>
      <c r="F1318" s="120" t="s">
        <v>14</v>
      </c>
      <c r="G1318" s="120">
        <v>6</v>
      </c>
      <c r="H1318">
        <v>4</v>
      </c>
      <c r="I1318" s="120" t="s">
        <v>11</v>
      </c>
      <c r="J1318">
        <v>2</v>
      </c>
      <c r="K1318">
        <v>0</v>
      </c>
      <c r="L1318">
        <v>3.5</v>
      </c>
      <c r="M1318">
        <v>21</v>
      </c>
      <c r="N1318">
        <v>14</v>
      </c>
    </row>
    <row r="1319" spans="1:14" hidden="1" x14ac:dyDescent="0.25">
      <c r="A1319" s="120" t="s">
        <v>3591</v>
      </c>
      <c r="B1319" s="120" t="s">
        <v>3698</v>
      </c>
      <c r="C1319" s="120" t="s">
        <v>69</v>
      </c>
      <c r="D1319" s="120" t="s">
        <v>1760</v>
      </c>
      <c r="E1319" s="120" t="s">
        <v>530</v>
      </c>
      <c r="F1319" s="120" t="s">
        <v>14</v>
      </c>
      <c r="G1319" s="120">
        <v>1</v>
      </c>
      <c r="H1319">
        <v>0</v>
      </c>
      <c r="I1319" s="120" t="s">
        <v>11</v>
      </c>
      <c r="J1319">
        <v>1</v>
      </c>
      <c r="K1319">
        <v>0</v>
      </c>
      <c r="L1319">
        <v>165</v>
      </c>
      <c r="M1319">
        <v>165</v>
      </c>
      <c r="N1319">
        <v>0</v>
      </c>
    </row>
    <row r="1320" spans="1:14" hidden="1" x14ac:dyDescent="0.25">
      <c r="A1320" s="120" t="s">
        <v>3591</v>
      </c>
      <c r="B1320" s="120" t="s">
        <v>3698</v>
      </c>
      <c r="C1320" s="120" t="s">
        <v>301</v>
      </c>
      <c r="D1320" s="120" t="s">
        <v>678</v>
      </c>
      <c r="E1320" s="120" t="s">
        <v>97</v>
      </c>
      <c r="F1320" s="120" t="s">
        <v>10</v>
      </c>
      <c r="G1320" s="120">
        <v>4</v>
      </c>
      <c r="H1320">
        <v>1</v>
      </c>
      <c r="I1320" s="120" t="s">
        <v>11</v>
      </c>
      <c r="J1320">
        <v>3</v>
      </c>
      <c r="K1320">
        <v>0</v>
      </c>
      <c r="L1320">
        <v>34</v>
      </c>
      <c r="M1320">
        <v>136</v>
      </c>
      <c r="N1320">
        <v>34</v>
      </c>
    </row>
    <row r="1321" spans="1:14" hidden="1" x14ac:dyDescent="0.25">
      <c r="A1321" s="120" t="s">
        <v>3591</v>
      </c>
      <c r="B1321" s="120" t="s">
        <v>3698</v>
      </c>
      <c r="C1321" s="120" t="s">
        <v>69</v>
      </c>
      <c r="D1321" s="120" t="s">
        <v>3468</v>
      </c>
      <c r="E1321" s="120" t="s">
        <v>517</v>
      </c>
      <c r="F1321" s="120" t="s">
        <v>14</v>
      </c>
      <c r="G1321" s="120">
        <v>1</v>
      </c>
      <c r="H1321">
        <v>0</v>
      </c>
      <c r="I1321" s="120" t="s">
        <v>11</v>
      </c>
      <c r="J1321">
        <v>1</v>
      </c>
      <c r="K1321">
        <v>0</v>
      </c>
      <c r="L1321">
        <v>0</v>
      </c>
      <c r="M1321">
        <v>0</v>
      </c>
      <c r="N1321">
        <v>0</v>
      </c>
    </row>
    <row r="1322" spans="1:14" hidden="1" x14ac:dyDescent="0.25">
      <c r="A1322" s="120" t="s">
        <v>3591</v>
      </c>
      <c r="B1322" s="120" t="s">
        <v>3698</v>
      </c>
      <c r="C1322" s="120" t="s">
        <v>301</v>
      </c>
      <c r="D1322" s="120" t="s">
        <v>3503</v>
      </c>
      <c r="E1322" s="120" t="s">
        <v>105</v>
      </c>
      <c r="F1322" s="120" t="s">
        <v>10</v>
      </c>
      <c r="G1322" s="120">
        <v>1</v>
      </c>
      <c r="H1322">
        <v>0</v>
      </c>
      <c r="I1322" s="120" t="s">
        <v>11</v>
      </c>
      <c r="J1322">
        <v>1</v>
      </c>
      <c r="K1322">
        <v>0</v>
      </c>
      <c r="L1322">
        <v>0</v>
      </c>
      <c r="M1322">
        <v>0</v>
      </c>
      <c r="N1322">
        <v>0</v>
      </c>
    </row>
    <row r="1323" spans="1:14" hidden="1" x14ac:dyDescent="0.25">
      <c r="A1323" s="120" t="s">
        <v>3591</v>
      </c>
      <c r="B1323" s="120" t="s">
        <v>3698</v>
      </c>
      <c r="C1323" s="120" t="s">
        <v>69</v>
      </c>
      <c r="D1323" s="120" t="s">
        <v>1757</v>
      </c>
      <c r="E1323" s="120" t="s">
        <v>1758</v>
      </c>
      <c r="F1323" s="120" t="s">
        <v>14</v>
      </c>
      <c r="G1323" s="120">
        <v>1</v>
      </c>
      <c r="H1323">
        <v>1</v>
      </c>
      <c r="I1323" s="120" t="s">
        <v>11</v>
      </c>
      <c r="J1323">
        <v>0</v>
      </c>
      <c r="K1323">
        <v>1</v>
      </c>
      <c r="L1323" s="121">
        <v>170</v>
      </c>
      <c r="M1323" s="121">
        <v>170</v>
      </c>
      <c r="N1323" s="121">
        <v>170</v>
      </c>
    </row>
    <row r="1324" spans="1:14" hidden="1" x14ac:dyDescent="0.25">
      <c r="A1324" s="120" t="s">
        <v>3591</v>
      </c>
      <c r="B1324" s="120" t="s">
        <v>3698</v>
      </c>
      <c r="C1324" s="120" t="s">
        <v>69</v>
      </c>
      <c r="D1324" s="120" t="s">
        <v>1113</v>
      </c>
      <c r="E1324" s="120" t="s">
        <v>106</v>
      </c>
      <c r="F1324" s="120" t="s">
        <v>18</v>
      </c>
      <c r="G1324" s="120">
        <v>2</v>
      </c>
      <c r="H1324">
        <v>1</v>
      </c>
      <c r="I1324" s="120" t="s">
        <v>11</v>
      </c>
      <c r="J1324">
        <v>1</v>
      </c>
      <c r="K1324">
        <v>0</v>
      </c>
      <c r="L1324">
        <v>99</v>
      </c>
      <c r="M1324">
        <v>198</v>
      </c>
      <c r="N1324">
        <v>99</v>
      </c>
    </row>
    <row r="1325" spans="1:14" hidden="1" x14ac:dyDescent="0.25">
      <c r="A1325" s="120" t="s">
        <v>3591</v>
      </c>
      <c r="B1325" s="120" t="s">
        <v>3698</v>
      </c>
      <c r="C1325" s="120" t="s">
        <v>69</v>
      </c>
      <c r="D1325" s="120" t="s">
        <v>1239</v>
      </c>
      <c r="E1325" s="120" t="s">
        <v>121</v>
      </c>
      <c r="F1325" s="120" t="s">
        <v>14</v>
      </c>
      <c r="G1325" s="120">
        <v>1</v>
      </c>
      <c r="H1325">
        <v>3</v>
      </c>
      <c r="I1325" s="120" t="s">
        <v>11</v>
      </c>
      <c r="J1325">
        <v>-2</v>
      </c>
      <c r="K1325">
        <v>0</v>
      </c>
      <c r="L1325">
        <v>10.5</v>
      </c>
      <c r="M1325">
        <v>10.5</v>
      </c>
      <c r="N1325">
        <v>31.5</v>
      </c>
    </row>
    <row r="1326" spans="1:14" hidden="1" x14ac:dyDescent="0.25">
      <c r="A1326" s="120" t="s">
        <v>3591</v>
      </c>
      <c r="B1326" s="120" t="s">
        <v>3698</v>
      </c>
      <c r="C1326" s="120" t="s">
        <v>69</v>
      </c>
      <c r="D1326" s="120" t="s">
        <v>3502</v>
      </c>
      <c r="E1326" s="120" t="s">
        <v>96</v>
      </c>
      <c r="F1326" s="120" t="s">
        <v>10</v>
      </c>
      <c r="G1326" s="120">
        <v>4</v>
      </c>
      <c r="H1326">
        <v>0</v>
      </c>
      <c r="I1326" s="120" t="s">
        <v>11</v>
      </c>
      <c r="J1326">
        <v>4</v>
      </c>
      <c r="K1326">
        <v>0</v>
      </c>
      <c r="L1326">
        <v>0</v>
      </c>
      <c r="M1326">
        <v>0</v>
      </c>
      <c r="N1326">
        <v>0</v>
      </c>
    </row>
    <row r="1327" spans="1:14" hidden="1" x14ac:dyDescent="0.25">
      <c r="A1327" s="120" t="s">
        <v>3591</v>
      </c>
      <c r="B1327" s="120" t="s">
        <v>3698</v>
      </c>
      <c r="C1327" s="120" t="s">
        <v>69</v>
      </c>
      <c r="D1327" s="120" t="s">
        <v>3583</v>
      </c>
      <c r="E1327" s="120" t="s">
        <v>283</v>
      </c>
      <c r="F1327" s="120" t="s">
        <v>18</v>
      </c>
      <c r="G1327" s="120">
        <v>0</v>
      </c>
      <c r="H1327">
        <v>0</v>
      </c>
      <c r="I1327" s="120" t="s">
        <v>47</v>
      </c>
      <c r="J1327">
        <v>0</v>
      </c>
      <c r="K1327">
        <v>1</v>
      </c>
      <c r="L1327" s="121">
        <v>0</v>
      </c>
      <c r="M1327" s="121">
        <v>0</v>
      </c>
      <c r="N1327" s="121">
        <v>0</v>
      </c>
    </row>
    <row r="1328" spans="1:14" hidden="1" x14ac:dyDescent="0.25">
      <c r="A1328" s="120" t="s">
        <v>3591</v>
      </c>
      <c r="B1328" s="120" t="s">
        <v>3698</v>
      </c>
      <c r="C1328" s="120" t="s">
        <v>69</v>
      </c>
      <c r="D1328" s="120" t="s">
        <v>3686</v>
      </c>
      <c r="E1328" s="120" t="s">
        <v>512</v>
      </c>
      <c r="F1328" s="120" t="s">
        <v>10</v>
      </c>
      <c r="G1328" s="120">
        <v>5</v>
      </c>
      <c r="H1328">
        <v>0</v>
      </c>
      <c r="I1328" s="120" t="s">
        <v>47</v>
      </c>
      <c r="J1328">
        <v>5</v>
      </c>
      <c r="K1328">
        <v>0</v>
      </c>
      <c r="L1328">
        <v>0</v>
      </c>
      <c r="M1328">
        <v>0</v>
      </c>
      <c r="N1328">
        <v>0</v>
      </c>
    </row>
    <row r="1329" spans="1:14" hidden="1" x14ac:dyDescent="0.25">
      <c r="A1329" s="120" t="s">
        <v>3591</v>
      </c>
      <c r="B1329" s="120" t="s">
        <v>3698</v>
      </c>
      <c r="C1329" s="120" t="s">
        <v>69</v>
      </c>
      <c r="D1329" s="120" t="s">
        <v>591</v>
      </c>
      <c r="E1329" s="120" t="s">
        <v>74</v>
      </c>
      <c r="F1329" s="120" t="s">
        <v>71</v>
      </c>
      <c r="G1329" s="120">
        <v>1</v>
      </c>
      <c r="H1329">
        <v>0</v>
      </c>
      <c r="I1329" s="120" t="s">
        <v>47</v>
      </c>
      <c r="J1329">
        <v>1</v>
      </c>
      <c r="K1329">
        <v>0</v>
      </c>
      <c r="L1329">
        <v>54</v>
      </c>
      <c r="M1329">
        <v>54</v>
      </c>
      <c r="N1329">
        <v>0</v>
      </c>
    </row>
    <row r="1330" spans="1:14" hidden="1" x14ac:dyDescent="0.25">
      <c r="A1330" s="120" t="s">
        <v>3591</v>
      </c>
      <c r="B1330" s="120" t="s">
        <v>3698</v>
      </c>
      <c r="C1330" s="120" t="s">
        <v>69</v>
      </c>
      <c r="D1330" s="120" t="s">
        <v>594</v>
      </c>
      <c r="E1330" s="120" t="s">
        <v>171</v>
      </c>
      <c r="F1330" s="120" t="s">
        <v>71</v>
      </c>
      <c r="G1330" s="120">
        <v>0</v>
      </c>
      <c r="H1330">
        <v>1</v>
      </c>
      <c r="I1330" s="120" t="s">
        <v>47</v>
      </c>
      <c r="J1330">
        <v>-1</v>
      </c>
      <c r="K1330">
        <v>0</v>
      </c>
      <c r="L1330">
        <v>54</v>
      </c>
      <c r="M1330">
        <v>0</v>
      </c>
      <c r="N1330">
        <v>54</v>
      </c>
    </row>
    <row r="1331" spans="1:14" hidden="1" x14ac:dyDescent="0.25">
      <c r="A1331" s="120" t="s">
        <v>3591</v>
      </c>
      <c r="B1331" s="120" t="s">
        <v>3698</v>
      </c>
      <c r="C1331" s="120" t="s">
        <v>69</v>
      </c>
      <c r="D1331" s="120" t="s">
        <v>1182</v>
      </c>
      <c r="E1331" s="120" t="s">
        <v>1183</v>
      </c>
      <c r="F1331" s="120" t="s">
        <v>10</v>
      </c>
      <c r="G1331" s="120">
        <v>1</v>
      </c>
      <c r="H1331">
        <v>0</v>
      </c>
      <c r="I1331" s="120" t="s">
        <v>57</v>
      </c>
      <c r="J1331">
        <v>1</v>
      </c>
      <c r="K1331">
        <v>0</v>
      </c>
      <c r="L1331">
        <v>13.2</v>
      </c>
      <c r="M1331">
        <v>13.2</v>
      </c>
      <c r="N1331">
        <v>0</v>
      </c>
    </row>
    <row r="1332" spans="1:14" hidden="1" x14ac:dyDescent="0.25">
      <c r="A1332" s="120" t="s">
        <v>3591</v>
      </c>
      <c r="B1332" s="120" t="s">
        <v>3698</v>
      </c>
      <c r="C1332" s="120" t="s">
        <v>69</v>
      </c>
      <c r="D1332" s="120" t="s">
        <v>3685</v>
      </c>
      <c r="E1332" s="120" t="s">
        <v>511</v>
      </c>
      <c r="F1332" s="120" t="s">
        <v>10</v>
      </c>
      <c r="G1332" s="120">
        <v>1</v>
      </c>
      <c r="H1332">
        <v>0</v>
      </c>
      <c r="I1332" s="120" t="s">
        <v>57</v>
      </c>
      <c r="J1332">
        <v>1</v>
      </c>
      <c r="K1332">
        <v>0</v>
      </c>
      <c r="L1332">
        <v>0</v>
      </c>
      <c r="M1332">
        <v>0</v>
      </c>
      <c r="N1332">
        <v>0</v>
      </c>
    </row>
    <row r="1333" spans="1:14" hidden="1" x14ac:dyDescent="0.25">
      <c r="A1333" s="120" t="s">
        <v>3591</v>
      </c>
      <c r="B1333" s="120" t="s">
        <v>3698</v>
      </c>
      <c r="C1333" s="120" t="s">
        <v>301</v>
      </c>
      <c r="D1333" s="120" t="s">
        <v>1200</v>
      </c>
      <c r="E1333" s="120" t="s">
        <v>528</v>
      </c>
      <c r="F1333" s="120" t="s">
        <v>71</v>
      </c>
      <c r="G1333" s="120">
        <v>0</v>
      </c>
      <c r="H1333">
        <v>1</v>
      </c>
      <c r="I1333" s="120" t="s">
        <v>57</v>
      </c>
      <c r="J1333">
        <v>-1</v>
      </c>
      <c r="K1333">
        <v>0</v>
      </c>
      <c r="L1333">
        <v>40</v>
      </c>
      <c r="M1333">
        <v>0</v>
      </c>
      <c r="N1333">
        <v>40</v>
      </c>
    </row>
    <row r="1334" spans="1:14" hidden="1" x14ac:dyDescent="0.25">
      <c r="A1334" s="120" t="s">
        <v>3591</v>
      </c>
      <c r="B1334" s="120" t="s">
        <v>3698</v>
      </c>
      <c r="C1334" s="120" t="s">
        <v>69</v>
      </c>
      <c r="D1334" s="120" t="s">
        <v>3684</v>
      </c>
      <c r="E1334" s="120" t="s">
        <v>510</v>
      </c>
      <c r="F1334" s="120" t="s">
        <v>10</v>
      </c>
      <c r="G1334" s="120">
        <v>5</v>
      </c>
      <c r="H1334">
        <v>0</v>
      </c>
      <c r="I1334" s="120" t="s">
        <v>57</v>
      </c>
      <c r="J1334">
        <v>5</v>
      </c>
      <c r="K1334">
        <v>0</v>
      </c>
      <c r="L1334">
        <v>0</v>
      </c>
      <c r="M1334">
        <v>0</v>
      </c>
      <c r="N1334">
        <v>0</v>
      </c>
    </row>
    <row r="1335" spans="1:14" hidden="1" x14ac:dyDescent="0.25">
      <c r="A1335" s="120" t="s">
        <v>3591</v>
      </c>
      <c r="B1335" s="120" t="s">
        <v>3701</v>
      </c>
      <c r="C1335" s="120" t="s">
        <v>69</v>
      </c>
      <c r="D1335" s="120" t="s">
        <v>1194</v>
      </c>
      <c r="E1335" s="120" t="s">
        <v>186</v>
      </c>
      <c r="F1335" s="120" t="s">
        <v>10</v>
      </c>
      <c r="G1335" s="120">
        <v>7</v>
      </c>
      <c r="H1335">
        <v>5</v>
      </c>
      <c r="I1335" s="120" t="s">
        <v>11</v>
      </c>
      <c r="J1335">
        <v>2</v>
      </c>
      <c r="K1335">
        <v>0</v>
      </c>
      <c r="L1335">
        <v>3.5</v>
      </c>
      <c r="M1335">
        <v>24.5</v>
      </c>
      <c r="N1335">
        <v>17.5</v>
      </c>
    </row>
    <row r="1336" spans="1:14" hidden="1" x14ac:dyDescent="0.25">
      <c r="A1336" s="120" t="s">
        <v>3591</v>
      </c>
      <c r="B1336" s="120" t="s">
        <v>3701</v>
      </c>
      <c r="C1336" s="120" t="s">
        <v>69</v>
      </c>
      <c r="D1336" s="120" t="s">
        <v>1239</v>
      </c>
      <c r="E1336" s="120" t="s">
        <v>3455</v>
      </c>
      <c r="F1336" s="120" t="s">
        <v>14</v>
      </c>
      <c r="G1336" s="120">
        <v>13</v>
      </c>
      <c r="H1336">
        <v>13</v>
      </c>
      <c r="I1336" s="120" t="s">
        <v>11</v>
      </c>
      <c r="J1336">
        <v>0</v>
      </c>
      <c r="K1336">
        <v>1</v>
      </c>
      <c r="L1336" s="121">
        <v>10.5</v>
      </c>
      <c r="M1336" s="121">
        <v>136.5</v>
      </c>
      <c r="N1336" s="121">
        <v>136.5</v>
      </c>
    </row>
    <row r="1337" spans="1:14" hidden="1" x14ac:dyDescent="0.25">
      <c r="A1337" s="120" t="s">
        <v>3591</v>
      </c>
      <c r="B1337" s="120" t="s">
        <v>3701</v>
      </c>
      <c r="C1337" s="120" t="s">
        <v>69</v>
      </c>
      <c r="D1337" s="120" t="s">
        <v>1760</v>
      </c>
      <c r="E1337" s="120" t="s">
        <v>530</v>
      </c>
      <c r="F1337" s="120" t="s">
        <v>14</v>
      </c>
      <c r="G1337" s="120">
        <v>4</v>
      </c>
      <c r="H1337">
        <v>6</v>
      </c>
      <c r="I1337" s="120" t="s">
        <v>11</v>
      </c>
      <c r="J1337">
        <v>-2</v>
      </c>
      <c r="K1337">
        <v>0</v>
      </c>
      <c r="L1337">
        <v>165</v>
      </c>
      <c r="M1337">
        <v>660</v>
      </c>
      <c r="N1337">
        <v>990</v>
      </c>
    </row>
    <row r="1338" spans="1:14" hidden="1" x14ac:dyDescent="0.25">
      <c r="A1338" s="120" t="s">
        <v>3591</v>
      </c>
      <c r="B1338" s="120" t="s">
        <v>3701</v>
      </c>
      <c r="C1338" s="120" t="s">
        <v>69</v>
      </c>
      <c r="D1338" s="120" t="s">
        <v>1189</v>
      </c>
      <c r="E1338" s="120" t="s">
        <v>1190</v>
      </c>
      <c r="F1338" s="120" t="s">
        <v>18</v>
      </c>
      <c r="G1338" s="120">
        <v>4</v>
      </c>
      <c r="H1338">
        <v>4</v>
      </c>
      <c r="I1338" s="120" t="s">
        <v>11</v>
      </c>
      <c r="J1338">
        <v>0</v>
      </c>
      <c r="K1338">
        <v>1</v>
      </c>
      <c r="L1338" s="121">
        <v>58</v>
      </c>
      <c r="M1338" s="121">
        <v>232</v>
      </c>
      <c r="N1338" s="121">
        <v>232</v>
      </c>
    </row>
    <row r="1339" spans="1:14" hidden="1" x14ac:dyDescent="0.25">
      <c r="A1339" s="120" t="s">
        <v>3591</v>
      </c>
      <c r="B1339" s="120" t="s">
        <v>3701</v>
      </c>
      <c r="C1339" s="120" t="s">
        <v>69</v>
      </c>
      <c r="D1339" s="120" t="s">
        <v>1156</v>
      </c>
      <c r="E1339" s="120" t="s">
        <v>115</v>
      </c>
      <c r="F1339" s="120" t="s">
        <v>71</v>
      </c>
      <c r="G1339" s="120">
        <v>5</v>
      </c>
      <c r="H1339">
        <v>10</v>
      </c>
      <c r="I1339" s="120" t="s">
        <v>11</v>
      </c>
      <c r="J1339">
        <v>-5</v>
      </c>
      <c r="K1339">
        <v>0</v>
      </c>
      <c r="L1339">
        <v>2.46</v>
      </c>
      <c r="M1339">
        <v>12.3</v>
      </c>
      <c r="N1339">
        <v>24.6</v>
      </c>
    </row>
    <row r="1340" spans="1:14" hidden="1" x14ac:dyDescent="0.25">
      <c r="A1340" s="120" t="s">
        <v>3591</v>
      </c>
      <c r="B1340" s="120" t="s">
        <v>3701</v>
      </c>
      <c r="C1340" s="120" t="s">
        <v>69</v>
      </c>
      <c r="D1340" s="120" t="s">
        <v>687</v>
      </c>
      <c r="E1340" s="120" t="s">
        <v>99</v>
      </c>
      <c r="F1340" s="120" t="s">
        <v>10</v>
      </c>
      <c r="G1340" s="120">
        <v>6</v>
      </c>
      <c r="H1340">
        <v>3</v>
      </c>
      <c r="I1340" s="120" t="s">
        <v>11</v>
      </c>
      <c r="J1340">
        <v>3</v>
      </c>
      <c r="K1340">
        <v>0</v>
      </c>
      <c r="L1340">
        <v>9</v>
      </c>
      <c r="M1340">
        <v>54</v>
      </c>
      <c r="N1340">
        <v>27</v>
      </c>
    </row>
    <row r="1341" spans="1:14" hidden="1" x14ac:dyDescent="0.25">
      <c r="A1341" s="120" t="s">
        <v>3591</v>
      </c>
      <c r="B1341" s="120" t="s">
        <v>3701</v>
      </c>
      <c r="C1341" s="120" t="s">
        <v>69</v>
      </c>
      <c r="D1341" s="120" t="s">
        <v>725</v>
      </c>
      <c r="E1341" s="120" t="s">
        <v>519</v>
      </c>
      <c r="F1341" s="120" t="s">
        <v>10</v>
      </c>
      <c r="G1341" s="120">
        <v>4</v>
      </c>
      <c r="H1341">
        <v>5</v>
      </c>
      <c r="I1341" s="120" t="s">
        <v>11</v>
      </c>
      <c r="J1341">
        <v>-1</v>
      </c>
      <c r="K1341">
        <v>0</v>
      </c>
      <c r="L1341">
        <v>140</v>
      </c>
      <c r="M1341">
        <v>560</v>
      </c>
      <c r="N1341">
        <v>700</v>
      </c>
    </row>
    <row r="1342" spans="1:14" hidden="1" x14ac:dyDescent="0.25">
      <c r="A1342" s="120" t="s">
        <v>3591</v>
      </c>
      <c r="B1342" s="120" t="s">
        <v>3701</v>
      </c>
      <c r="C1342" s="120" t="s">
        <v>69</v>
      </c>
      <c r="D1342" s="120" t="s">
        <v>738</v>
      </c>
      <c r="E1342" s="120" t="s">
        <v>102</v>
      </c>
      <c r="F1342" s="120" t="s">
        <v>10</v>
      </c>
      <c r="G1342" s="120">
        <v>8</v>
      </c>
      <c r="H1342">
        <v>7</v>
      </c>
      <c r="I1342" s="120" t="s">
        <v>11</v>
      </c>
      <c r="J1342">
        <v>1</v>
      </c>
      <c r="K1342">
        <v>0</v>
      </c>
      <c r="L1342">
        <v>10</v>
      </c>
      <c r="M1342">
        <v>80</v>
      </c>
      <c r="N1342">
        <v>70</v>
      </c>
    </row>
    <row r="1343" spans="1:14" hidden="1" x14ac:dyDescent="0.25">
      <c r="A1343" s="120" t="s">
        <v>3591</v>
      </c>
      <c r="B1343" s="120" t="s">
        <v>3701</v>
      </c>
      <c r="C1343" s="120" t="s">
        <v>69</v>
      </c>
      <c r="D1343" s="120" t="s">
        <v>1134</v>
      </c>
      <c r="E1343" s="120" t="s">
        <v>111</v>
      </c>
      <c r="F1343" s="120" t="s">
        <v>10</v>
      </c>
      <c r="G1343" s="120">
        <v>1</v>
      </c>
      <c r="H1343">
        <v>2</v>
      </c>
      <c r="I1343" s="120" t="s">
        <v>11</v>
      </c>
      <c r="J1343">
        <v>-1</v>
      </c>
      <c r="K1343">
        <v>0</v>
      </c>
      <c r="L1343">
        <v>34</v>
      </c>
      <c r="M1343">
        <v>34</v>
      </c>
      <c r="N1343">
        <v>68</v>
      </c>
    </row>
    <row r="1344" spans="1:14" hidden="1" x14ac:dyDescent="0.25">
      <c r="A1344" s="120" t="s">
        <v>3591</v>
      </c>
      <c r="B1344" s="120" t="s">
        <v>3701</v>
      </c>
      <c r="C1344" s="120" t="s">
        <v>69</v>
      </c>
      <c r="D1344" s="120" t="s">
        <v>1192</v>
      </c>
      <c r="E1344" s="120" t="s">
        <v>124</v>
      </c>
      <c r="F1344" s="120" t="s">
        <v>14</v>
      </c>
      <c r="G1344" s="120">
        <v>3</v>
      </c>
      <c r="H1344">
        <v>3</v>
      </c>
      <c r="I1344" s="120" t="s">
        <v>11</v>
      </c>
      <c r="J1344">
        <v>0</v>
      </c>
      <c r="K1344">
        <v>1</v>
      </c>
      <c r="L1344" s="121">
        <v>3.5</v>
      </c>
      <c r="M1344" s="121">
        <v>10.5</v>
      </c>
      <c r="N1344" s="121">
        <v>10.5</v>
      </c>
    </row>
    <row r="1345" spans="1:14" hidden="1" x14ac:dyDescent="0.25">
      <c r="A1345" s="120" t="s">
        <v>3591</v>
      </c>
      <c r="B1345" s="120" t="s">
        <v>3701</v>
      </c>
      <c r="C1345" s="120" t="s">
        <v>69</v>
      </c>
      <c r="D1345" s="120" t="s">
        <v>1757</v>
      </c>
      <c r="E1345" s="120" t="s">
        <v>1758</v>
      </c>
      <c r="F1345" s="120" t="s">
        <v>14</v>
      </c>
      <c r="G1345" s="120">
        <v>8</v>
      </c>
      <c r="H1345">
        <v>5</v>
      </c>
      <c r="I1345" s="120" t="s">
        <v>11</v>
      </c>
      <c r="J1345">
        <v>3</v>
      </c>
      <c r="K1345">
        <v>0</v>
      </c>
      <c r="L1345">
        <v>170</v>
      </c>
      <c r="M1345">
        <v>1360</v>
      </c>
      <c r="N1345">
        <v>850</v>
      </c>
    </row>
    <row r="1346" spans="1:14" hidden="1" x14ac:dyDescent="0.25">
      <c r="A1346" s="120" t="s">
        <v>3591</v>
      </c>
      <c r="B1346" s="120" t="s">
        <v>3701</v>
      </c>
      <c r="C1346" s="120" t="s">
        <v>69</v>
      </c>
      <c r="D1346" s="120" t="s">
        <v>678</v>
      </c>
      <c r="E1346" s="120" t="s">
        <v>97</v>
      </c>
      <c r="F1346" s="120" t="s">
        <v>10</v>
      </c>
      <c r="G1346" s="120">
        <v>7</v>
      </c>
      <c r="H1346">
        <v>7</v>
      </c>
      <c r="I1346" s="120" t="s">
        <v>11</v>
      </c>
      <c r="J1346">
        <v>0</v>
      </c>
      <c r="K1346">
        <v>1</v>
      </c>
      <c r="L1346" s="121">
        <v>34</v>
      </c>
      <c r="M1346" s="121">
        <v>238</v>
      </c>
      <c r="N1346" s="121">
        <v>238</v>
      </c>
    </row>
    <row r="1347" spans="1:14" hidden="1" x14ac:dyDescent="0.25">
      <c r="A1347" s="120" t="s">
        <v>3591</v>
      </c>
      <c r="B1347" s="120" t="s">
        <v>3701</v>
      </c>
      <c r="C1347" s="120" t="s">
        <v>69</v>
      </c>
      <c r="D1347" s="120" t="s">
        <v>3691</v>
      </c>
      <c r="E1347" s="120" t="s">
        <v>522</v>
      </c>
      <c r="F1347" s="120" t="s">
        <v>14</v>
      </c>
      <c r="G1347" s="120">
        <v>1</v>
      </c>
      <c r="H1347">
        <v>0</v>
      </c>
      <c r="I1347" s="120" t="s">
        <v>11</v>
      </c>
      <c r="J1347">
        <v>1</v>
      </c>
      <c r="K1347">
        <v>0</v>
      </c>
      <c r="L1347">
        <v>0</v>
      </c>
      <c r="M1347">
        <v>0</v>
      </c>
      <c r="N1347">
        <v>0</v>
      </c>
    </row>
    <row r="1348" spans="1:14" hidden="1" x14ac:dyDescent="0.25">
      <c r="A1348" s="120" t="s">
        <v>3591</v>
      </c>
      <c r="B1348" s="120" t="s">
        <v>3701</v>
      </c>
      <c r="C1348" s="120" t="s">
        <v>69</v>
      </c>
      <c r="D1348" s="120" t="s">
        <v>3468</v>
      </c>
      <c r="E1348" s="120" t="s">
        <v>517</v>
      </c>
      <c r="F1348" s="120" t="s">
        <v>14</v>
      </c>
      <c r="G1348" s="120">
        <v>5</v>
      </c>
      <c r="H1348">
        <v>0</v>
      </c>
      <c r="I1348" s="120" t="s">
        <v>11</v>
      </c>
      <c r="J1348">
        <v>5</v>
      </c>
      <c r="K1348">
        <v>0</v>
      </c>
      <c r="L1348">
        <v>0</v>
      </c>
      <c r="M1348">
        <v>0</v>
      </c>
      <c r="N1348">
        <v>0</v>
      </c>
    </row>
    <row r="1349" spans="1:14" hidden="1" x14ac:dyDescent="0.25">
      <c r="A1349" s="120" t="s">
        <v>3591</v>
      </c>
      <c r="B1349" s="120" t="s">
        <v>3701</v>
      </c>
      <c r="C1349" s="120" t="s">
        <v>69</v>
      </c>
      <c r="D1349" s="120" t="s">
        <v>3502</v>
      </c>
      <c r="E1349" s="120" t="s">
        <v>96</v>
      </c>
      <c r="F1349" s="120" t="s">
        <v>10</v>
      </c>
      <c r="G1349" s="120">
        <v>12</v>
      </c>
      <c r="H1349">
        <v>0</v>
      </c>
      <c r="I1349" s="120" t="s">
        <v>11</v>
      </c>
      <c r="J1349">
        <v>12</v>
      </c>
      <c r="K1349">
        <v>0</v>
      </c>
      <c r="L1349">
        <v>0</v>
      </c>
      <c r="M1349">
        <v>0</v>
      </c>
      <c r="N1349">
        <v>0</v>
      </c>
    </row>
    <row r="1350" spans="1:14" hidden="1" x14ac:dyDescent="0.25">
      <c r="A1350" s="120" t="s">
        <v>3591</v>
      </c>
      <c r="B1350" s="120" t="s">
        <v>3701</v>
      </c>
      <c r="C1350" s="120" t="s">
        <v>69</v>
      </c>
      <c r="D1350" s="120" t="s">
        <v>3522</v>
      </c>
      <c r="E1350" s="120" t="s">
        <v>167</v>
      </c>
      <c r="F1350" s="120" t="s">
        <v>10</v>
      </c>
      <c r="G1350" s="120">
        <v>5</v>
      </c>
      <c r="H1350">
        <v>0</v>
      </c>
      <c r="I1350" s="120" t="s">
        <v>11</v>
      </c>
      <c r="J1350">
        <v>5</v>
      </c>
      <c r="K1350">
        <v>0</v>
      </c>
      <c r="L1350">
        <v>0</v>
      </c>
      <c r="M1350">
        <v>0</v>
      </c>
      <c r="N1350">
        <v>0</v>
      </c>
    </row>
    <row r="1351" spans="1:14" hidden="1" x14ac:dyDescent="0.25">
      <c r="A1351" s="120" t="s">
        <v>3591</v>
      </c>
      <c r="B1351" s="120" t="s">
        <v>3701</v>
      </c>
      <c r="C1351" s="120" t="s">
        <v>69</v>
      </c>
      <c r="D1351" s="120" t="s">
        <v>1099</v>
      </c>
      <c r="E1351" s="120" t="s">
        <v>180</v>
      </c>
      <c r="F1351" s="120" t="s">
        <v>10</v>
      </c>
      <c r="G1351" s="120">
        <v>7</v>
      </c>
      <c r="H1351">
        <v>6</v>
      </c>
      <c r="I1351" s="120" t="s">
        <v>11</v>
      </c>
      <c r="J1351">
        <v>1</v>
      </c>
      <c r="K1351">
        <v>0</v>
      </c>
      <c r="L1351">
        <v>70</v>
      </c>
      <c r="M1351">
        <v>490</v>
      </c>
      <c r="N1351">
        <v>420</v>
      </c>
    </row>
    <row r="1352" spans="1:14" hidden="1" x14ac:dyDescent="0.25">
      <c r="A1352" s="120" t="s">
        <v>3591</v>
      </c>
      <c r="B1352" s="120" t="s">
        <v>3701</v>
      </c>
      <c r="C1352" s="120" t="s">
        <v>69</v>
      </c>
      <c r="D1352" s="120" t="s">
        <v>1769</v>
      </c>
      <c r="E1352" s="120" t="s">
        <v>531</v>
      </c>
      <c r="F1352" s="120" t="s">
        <v>10</v>
      </c>
      <c r="G1352" s="120">
        <v>8</v>
      </c>
      <c r="H1352">
        <v>5</v>
      </c>
      <c r="I1352" s="120" t="s">
        <v>11</v>
      </c>
      <c r="J1352">
        <v>3</v>
      </c>
      <c r="K1352">
        <v>0</v>
      </c>
      <c r="L1352">
        <v>139</v>
      </c>
      <c r="M1352">
        <v>1112</v>
      </c>
      <c r="N1352">
        <v>695</v>
      </c>
    </row>
    <row r="1353" spans="1:14" hidden="1" x14ac:dyDescent="0.25">
      <c r="A1353" s="120" t="s">
        <v>3591</v>
      </c>
      <c r="B1353" s="120" t="s">
        <v>3701</v>
      </c>
      <c r="C1353" s="120" t="s">
        <v>69</v>
      </c>
      <c r="D1353" s="120" t="s">
        <v>3503</v>
      </c>
      <c r="E1353" s="120" t="s">
        <v>105</v>
      </c>
      <c r="F1353" s="120" t="s">
        <v>10</v>
      </c>
      <c r="G1353" s="120">
        <v>6</v>
      </c>
      <c r="H1353">
        <v>0</v>
      </c>
      <c r="I1353" s="120" t="s">
        <v>11</v>
      </c>
      <c r="J1353">
        <v>6</v>
      </c>
      <c r="K1353">
        <v>0</v>
      </c>
      <c r="L1353">
        <v>0</v>
      </c>
      <c r="M1353">
        <v>0</v>
      </c>
      <c r="N1353">
        <v>0</v>
      </c>
    </row>
    <row r="1354" spans="1:14" hidden="1" x14ac:dyDescent="0.25">
      <c r="A1354" s="120" t="s">
        <v>3591</v>
      </c>
      <c r="B1354" s="120" t="s">
        <v>3701</v>
      </c>
      <c r="C1354" s="120" t="s">
        <v>69</v>
      </c>
      <c r="D1354" s="120" t="s">
        <v>1100</v>
      </c>
      <c r="E1354" s="120" t="s">
        <v>521</v>
      </c>
      <c r="F1354" s="120" t="s">
        <v>10</v>
      </c>
      <c r="G1354" s="120">
        <v>6</v>
      </c>
      <c r="H1354">
        <v>5</v>
      </c>
      <c r="I1354" s="120" t="s">
        <v>11</v>
      </c>
      <c r="J1354">
        <v>1</v>
      </c>
      <c r="K1354">
        <v>0</v>
      </c>
      <c r="L1354">
        <v>68</v>
      </c>
      <c r="M1354">
        <v>408</v>
      </c>
      <c r="N1354">
        <v>340</v>
      </c>
    </row>
    <row r="1355" spans="1:14" hidden="1" x14ac:dyDescent="0.25">
      <c r="A1355" s="120" t="s">
        <v>3591</v>
      </c>
      <c r="B1355" s="120" t="s">
        <v>3701</v>
      </c>
      <c r="C1355" s="120" t="s">
        <v>69</v>
      </c>
      <c r="D1355" s="120" t="s">
        <v>1113</v>
      </c>
      <c r="E1355" s="120" t="s">
        <v>106</v>
      </c>
      <c r="F1355" s="120" t="s">
        <v>18</v>
      </c>
      <c r="G1355" s="120">
        <v>4</v>
      </c>
      <c r="H1355">
        <v>5</v>
      </c>
      <c r="I1355" s="120" t="s">
        <v>11</v>
      </c>
      <c r="J1355">
        <v>-1</v>
      </c>
      <c r="K1355">
        <v>0</v>
      </c>
      <c r="L1355">
        <v>99</v>
      </c>
      <c r="M1355">
        <v>396</v>
      </c>
      <c r="N1355">
        <v>495</v>
      </c>
    </row>
    <row r="1356" spans="1:14" hidden="1" x14ac:dyDescent="0.25">
      <c r="A1356" s="120" t="s">
        <v>3591</v>
      </c>
      <c r="B1356" s="120" t="s">
        <v>3701</v>
      </c>
      <c r="C1356" s="120" t="s">
        <v>69</v>
      </c>
      <c r="D1356" s="120" t="s">
        <v>3523</v>
      </c>
      <c r="E1356" s="120" t="s">
        <v>168</v>
      </c>
      <c r="F1356" s="120" t="s">
        <v>18</v>
      </c>
      <c r="G1356" s="120">
        <v>6</v>
      </c>
      <c r="H1356">
        <v>0</v>
      </c>
      <c r="I1356" s="120" t="s">
        <v>11</v>
      </c>
      <c r="J1356">
        <v>6</v>
      </c>
      <c r="K1356">
        <v>0</v>
      </c>
      <c r="L1356">
        <v>0</v>
      </c>
      <c r="M1356">
        <v>0</v>
      </c>
      <c r="N1356">
        <v>0</v>
      </c>
    </row>
    <row r="1357" spans="1:14" hidden="1" x14ac:dyDescent="0.25">
      <c r="A1357" s="120" t="s">
        <v>3591</v>
      </c>
      <c r="B1357" s="120" t="s">
        <v>3701</v>
      </c>
      <c r="C1357" s="120" t="s">
        <v>69</v>
      </c>
      <c r="D1357" s="120" t="s">
        <v>566</v>
      </c>
      <c r="E1357" s="120" t="s">
        <v>567</v>
      </c>
      <c r="F1357" s="120" t="s">
        <v>14</v>
      </c>
      <c r="G1357" s="120">
        <v>4</v>
      </c>
      <c r="H1357">
        <v>6</v>
      </c>
      <c r="I1357" s="120" t="s">
        <v>11</v>
      </c>
      <c r="J1357">
        <v>-2</v>
      </c>
      <c r="K1357">
        <v>0</v>
      </c>
      <c r="L1357">
        <v>25.7</v>
      </c>
      <c r="M1357">
        <v>102.8</v>
      </c>
      <c r="N1357">
        <v>154.19999999999999</v>
      </c>
    </row>
    <row r="1358" spans="1:14" hidden="1" x14ac:dyDescent="0.25">
      <c r="A1358" s="120" t="s">
        <v>3591</v>
      </c>
      <c r="B1358" s="120" t="s">
        <v>3701</v>
      </c>
      <c r="C1358" s="120" t="s">
        <v>69</v>
      </c>
      <c r="D1358" s="120" t="s">
        <v>740</v>
      </c>
      <c r="E1358" s="120" t="s">
        <v>103</v>
      </c>
      <c r="F1358" s="120" t="s">
        <v>14</v>
      </c>
      <c r="G1358" s="120">
        <v>10</v>
      </c>
      <c r="H1358">
        <v>3</v>
      </c>
      <c r="I1358" s="120" t="s">
        <v>11</v>
      </c>
      <c r="J1358">
        <v>7</v>
      </c>
      <c r="K1358">
        <v>0</v>
      </c>
      <c r="L1358">
        <v>29</v>
      </c>
      <c r="M1358">
        <v>290</v>
      </c>
      <c r="N1358">
        <v>87</v>
      </c>
    </row>
    <row r="1359" spans="1:14" hidden="1" x14ac:dyDescent="0.25">
      <c r="A1359" s="120" t="s">
        <v>3591</v>
      </c>
      <c r="B1359" s="120" t="s">
        <v>3701</v>
      </c>
      <c r="C1359" s="120" t="s">
        <v>69</v>
      </c>
      <c r="D1359" s="120" t="s">
        <v>3504</v>
      </c>
      <c r="E1359" s="120" t="s">
        <v>107</v>
      </c>
      <c r="F1359" s="120" t="s">
        <v>18</v>
      </c>
      <c r="G1359" s="120">
        <v>2</v>
      </c>
      <c r="H1359">
        <v>0</v>
      </c>
      <c r="I1359" s="120" t="s">
        <v>11</v>
      </c>
      <c r="J1359">
        <v>2</v>
      </c>
      <c r="K1359">
        <v>0</v>
      </c>
      <c r="L1359">
        <v>0</v>
      </c>
      <c r="M1359">
        <v>0</v>
      </c>
      <c r="N1359">
        <v>0</v>
      </c>
    </row>
    <row r="1360" spans="1:14" hidden="1" x14ac:dyDescent="0.25">
      <c r="A1360" s="120" t="s">
        <v>3591</v>
      </c>
      <c r="B1360" s="120" t="s">
        <v>3701</v>
      </c>
      <c r="C1360" s="120" t="s">
        <v>69</v>
      </c>
      <c r="D1360" s="120" t="s">
        <v>3685</v>
      </c>
      <c r="E1360" s="120" t="s">
        <v>511</v>
      </c>
      <c r="F1360" s="120" t="s">
        <v>10</v>
      </c>
      <c r="G1360" s="120">
        <v>10</v>
      </c>
      <c r="H1360">
        <v>0</v>
      </c>
      <c r="I1360" s="120" t="s">
        <v>11</v>
      </c>
      <c r="J1360">
        <v>10</v>
      </c>
      <c r="K1360">
        <v>0</v>
      </c>
      <c r="L1360">
        <v>0</v>
      </c>
      <c r="M1360">
        <v>0</v>
      </c>
      <c r="N1360">
        <v>0</v>
      </c>
    </row>
    <row r="1361" spans="1:14" hidden="1" x14ac:dyDescent="0.25">
      <c r="A1361" s="120" t="s">
        <v>3591</v>
      </c>
      <c r="B1361" s="120" t="s">
        <v>3701</v>
      </c>
      <c r="C1361" s="120" t="s">
        <v>69</v>
      </c>
      <c r="D1361" s="120" t="s">
        <v>3545</v>
      </c>
      <c r="E1361" s="120" t="s">
        <v>3007</v>
      </c>
      <c r="F1361" s="120" t="s">
        <v>14</v>
      </c>
      <c r="G1361" s="120">
        <v>0</v>
      </c>
      <c r="H1361">
        <v>0</v>
      </c>
      <c r="I1361" s="120" t="s">
        <v>47</v>
      </c>
      <c r="J1361">
        <v>0</v>
      </c>
      <c r="K1361">
        <v>1</v>
      </c>
      <c r="L1361" s="121">
        <v>0</v>
      </c>
      <c r="M1361" s="121">
        <v>0</v>
      </c>
      <c r="N1361" s="121">
        <v>0</v>
      </c>
    </row>
    <row r="1362" spans="1:14" hidden="1" x14ac:dyDescent="0.25">
      <c r="A1362" s="120" t="s">
        <v>3591</v>
      </c>
      <c r="B1362" s="120" t="s">
        <v>3701</v>
      </c>
      <c r="C1362" s="120" t="s">
        <v>69</v>
      </c>
      <c r="D1362" s="120" t="s">
        <v>3527</v>
      </c>
      <c r="E1362" s="120" t="s">
        <v>185</v>
      </c>
      <c r="F1362" s="120" t="s">
        <v>10</v>
      </c>
      <c r="G1362" s="120">
        <v>11</v>
      </c>
      <c r="H1362">
        <v>0</v>
      </c>
      <c r="I1362" s="120" t="s">
        <v>47</v>
      </c>
      <c r="J1362">
        <v>11</v>
      </c>
      <c r="K1362">
        <v>0</v>
      </c>
      <c r="L1362">
        <v>0</v>
      </c>
      <c r="M1362">
        <v>0</v>
      </c>
      <c r="N1362">
        <v>0</v>
      </c>
    </row>
    <row r="1363" spans="1:14" hidden="1" x14ac:dyDescent="0.25">
      <c r="A1363" s="120" t="s">
        <v>3591</v>
      </c>
      <c r="B1363" s="120" t="s">
        <v>3701</v>
      </c>
      <c r="C1363" s="120" t="s">
        <v>69</v>
      </c>
      <c r="D1363" s="120" t="s">
        <v>3546</v>
      </c>
      <c r="E1363" s="120" t="s">
        <v>2991</v>
      </c>
      <c r="F1363" s="120" t="s">
        <v>14</v>
      </c>
      <c r="G1363" s="120">
        <v>1</v>
      </c>
      <c r="H1363">
        <v>0</v>
      </c>
      <c r="I1363" s="120" t="s">
        <v>47</v>
      </c>
      <c r="J1363">
        <v>1</v>
      </c>
      <c r="K1363">
        <v>0</v>
      </c>
      <c r="L1363">
        <v>0</v>
      </c>
      <c r="M1363">
        <v>0</v>
      </c>
      <c r="N1363">
        <v>0</v>
      </c>
    </row>
    <row r="1364" spans="1:14" hidden="1" x14ac:dyDescent="0.25">
      <c r="A1364" s="120" t="s">
        <v>3591</v>
      </c>
      <c r="B1364" s="120" t="s">
        <v>3701</v>
      </c>
      <c r="C1364" s="120" t="s">
        <v>69</v>
      </c>
      <c r="D1364" s="120" t="s">
        <v>3684</v>
      </c>
      <c r="E1364" s="120" t="s">
        <v>510</v>
      </c>
      <c r="F1364" s="120" t="s">
        <v>10</v>
      </c>
      <c r="G1364" s="120">
        <v>1</v>
      </c>
      <c r="H1364">
        <v>0</v>
      </c>
      <c r="I1364" s="120" t="s">
        <v>47</v>
      </c>
      <c r="J1364">
        <v>1</v>
      </c>
      <c r="K1364">
        <v>0</v>
      </c>
      <c r="L1364">
        <v>0</v>
      </c>
      <c r="M1364">
        <v>0</v>
      </c>
      <c r="N1364">
        <v>0</v>
      </c>
    </row>
    <row r="1365" spans="1:14" hidden="1" x14ac:dyDescent="0.25">
      <c r="A1365" s="120" t="s">
        <v>3591</v>
      </c>
      <c r="B1365" s="120" t="s">
        <v>3701</v>
      </c>
      <c r="C1365" s="120" t="s">
        <v>69</v>
      </c>
      <c r="D1365" s="120" t="s">
        <v>3524</v>
      </c>
      <c r="E1365" s="120" t="s">
        <v>169</v>
      </c>
      <c r="F1365" s="120" t="s">
        <v>14</v>
      </c>
      <c r="G1365" s="120">
        <v>9</v>
      </c>
      <c r="H1365">
        <v>0</v>
      </c>
      <c r="I1365" s="120" t="s">
        <v>47</v>
      </c>
      <c r="J1365">
        <v>9</v>
      </c>
      <c r="K1365">
        <v>0</v>
      </c>
      <c r="L1365">
        <v>0</v>
      </c>
      <c r="M1365">
        <v>0</v>
      </c>
      <c r="N1365">
        <v>0</v>
      </c>
    </row>
    <row r="1366" spans="1:14" hidden="1" x14ac:dyDescent="0.25">
      <c r="A1366" s="120" t="s">
        <v>3591</v>
      </c>
      <c r="B1366" s="120" t="s">
        <v>3701</v>
      </c>
      <c r="C1366" s="120" t="s">
        <v>69</v>
      </c>
      <c r="D1366" s="120" t="s">
        <v>1154</v>
      </c>
      <c r="E1366" s="120" t="s">
        <v>113</v>
      </c>
      <c r="F1366" s="120" t="s">
        <v>71</v>
      </c>
      <c r="G1366" s="120">
        <v>5</v>
      </c>
      <c r="H1366">
        <v>7</v>
      </c>
      <c r="I1366" s="120" t="s">
        <v>47</v>
      </c>
      <c r="J1366">
        <v>-2</v>
      </c>
      <c r="K1366">
        <v>0</v>
      </c>
      <c r="L1366">
        <v>3.4</v>
      </c>
      <c r="M1366">
        <v>17</v>
      </c>
      <c r="N1366">
        <v>23.8</v>
      </c>
    </row>
    <row r="1367" spans="1:14" hidden="1" x14ac:dyDescent="0.25">
      <c r="A1367" s="120" t="s">
        <v>3591</v>
      </c>
      <c r="B1367" s="120" t="s">
        <v>3701</v>
      </c>
      <c r="C1367" s="120" t="s">
        <v>69</v>
      </c>
      <c r="D1367" s="120" t="s">
        <v>594</v>
      </c>
      <c r="E1367" s="120" t="s">
        <v>171</v>
      </c>
      <c r="F1367" s="120" t="s">
        <v>14</v>
      </c>
      <c r="G1367" s="120">
        <v>1</v>
      </c>
      <c r="H1367">
        <v>0</v>
      </c>
      <c r="I1367" s="120" t="s">
        <v>47</v>
      </c>
      <c r="J1367">
        <v>1</v>
      </c>
      <c r="K1367">
        <v>0</v>
      </c>
      <c r="L1367">
        <v>54</v>
      </c>
      <c r="M1367">
        <v>54</v>
      </c>
      <c r="N1367">
        <v>0</v>
      </c>
    </row>
    <row r="1368" spans="1:14" hidden="1" x14ac:dyDescent="0.25">
      <c r="A1368" s="120" t="s">
        <v>3591</v>
      </c>
      <c r="B1368" s="120" t="s">
        <v>3701</v>
      </c>
      <c r="C1368" s="120" t="s">
        <v>69</v>
      </c>
      <c r="D1368" s="120" t="s">
        <v>3509</v>
      </c>
      <c r="E1368" s="120" t="s">
        <v>116</v>
      </c>
      <c r="F1368" s="120" t="s">
        <v>14</v>
      </c>
      <c r="G1368" s="120">
        <v>0</v>
      </c>
      <c r="H1368">
        <v>0</v>
      </c>
      <c r="I1368" s="120" t="s">
        <v>47</v>
      </c>
      <c r="J1368">
        <v>0</v>
      </c>
      <c r="K1368">
        <v>1</v>
      </c>
      <c r="L1368" s="121">
        <v>0</v>
      </c>
      <c r="M1368" s="121">
        <v>0</v>
      </c>
      <c r="N1368" s="121">
        <v>0</v>
      </c>
    </row>
    <row r="1369" spans="1:14" hidden="1" x14ac:dyDescent="0.25">
      <c r="A1369" s="120" t="s">
        <v>3591</v>
      </c>
      <c r="B1369" s="120" t="s">
        <v>3701</v>
      </c>
      <c r="C1369" s="120" t="s">
        <v>69</v>
      </c>
      <c r="D1369" s="120" t="s">
        <v>3548</v>
      </c>
      <c r="E1369" s="120" t="s">
        <v>3008</v>
      </c>
      <c r="F1369" s="120" t="s">
        <v>14</v>
      </c>
      <c r="G1369" s="120">
        <v>3</v>
      </c>
      <c r="H1369">
        <v>0</v>
      </c>
      <c r="I1369" s="120" t="s">
        <v>47</v>
      </c>
      <c r="J1369">
        <v>3</v>
      </c>
      <c r="K1369">
        <v>0</v>
      </c>
      <c r="L1369">
        <v>0</v>
      </c>
      <c r="M1369">
        <v>0</v>
      </c>
      <c r="N1369">
        <v>0</v>
      </c>
    </row>
    <row r="1370" spans="1:14" hidden="1" x14ac:dyDescent="0.25">
      <c r="A1370" s="120" t="s">
        <v>3591</v>
      </c>
      <c r="B1370" s="120" t="s">
        <v>3701</v>
      </c>
      <c r="C1370" s="120" t="s">
        <v>69</v>
      </c>
      <c r="D1370" s="120" t="s">
        <v>3583</v>
      </c>
      <c r="E1370" s="120" t="s">
        <v>283</v>
      </c>
      <c r="F1370" s="120" t="s">
        <v>14</v>
      </c>
      <c r="G1370" s="120">
        <v>1</v>
      </c>
      <c r="H1370">
        <v>0</v>
      </c>
      <c r="I1370" s="120" t="s">
        <v>57</v>
      </c>
      <c r="J1370">
        <v>1</v>
      </c>
      <c r="K1370">
        <v>0</v>
      </c>
      <c r="L1370">
        <v>0</v>
      </c>
      <c r="M1370">
        <v>0</v>
      </c>
      <c r="N1370">
        <v>0</v>
      </c>
    </row>
    <row r="1371" spans="1:14" hidden="1" x14ac:dyDescent="0.25">
      <c r="A1371" s="120" t="s">
        <v>3591</v>
      </c>
      <c r="B1371" s="120" t="s">
        <v>3701</v>
      </c>
      <c r="C1371" s="120" t="s">
        <v>69</v>
      </c>
      <c r="D1371" s="120" t="s">
        <v>3682</v>
      </c>
      <c r="E1371" s="120" t="s">
        <v>508</v>
      </c>
      <c r="F1371" s="120" t="s">
        <v>10</v>
      </c>
      <c r="G1371" s="120">
        <v>6</v>
      </c>
      <c r="H1371">
        <v>0</v>
      </c>
      <c r="I1371" s="120" t="s">
        <v>57</v>
      </c>
      <c r="J1371">
        <v>6</v>
      </c>
      <c r="K1371">
        <v>0</v>
      </c>
      <c r="L1371">
        <v>0</v>
      </c>
      <c r="M1371">
        <v>0</v>
      </c>
      <c r="N1371">
        <v>0</v>
      </c>
    </row>
    <row r="1372" spans="1:14" hidden="1" x14ac:dyDescent="0.25">
      <c r="A1372" s="120" t="s">
        <v>3591</v>
      </c>
      <c r="B1372" s="120" t="s">
        <v>3701</v>
      </c>
      <c r="C1372" s="120" t="s">
        <v>69</v>
      </c>
      <c r="D1372" s="120" t="s">
        <v>591</v>
      </c>
      <c r="E1372" s="120" t="s">
        <v>74</v>
      </c>
      <c r="F1372" s="120" t="s">
        <v>71</v>
      </c>
      <c r="G1372" s="120">
        <v>3</v>
      </c>
      <c r="H1372">
        <v>3</v>
      </c>
      <c r="I1372" s="120" t="s">
        <v>57</v>
      </c>
      <c r="J1372">
        <v>0</v>
      </c>
      <c r="K1372">
        <v>1</v>
      </c>
      <c r="L1372" s="121">
        <v>54</v>
      </c>
      <c r="M1372" s="121">
        <v>162</v>
      </c>
      <c r="N1372" s="121">
        <v>162</v>
      </c>
    </row>
    <row r="1373" spans="1:14" hidden="1" x14ac:dyDescent="0.25">
      <c r="A1373" s="120" t="s">
        <v>3591</v>
      </c>
      <c r="B1373" s="120" t="s">
        <v>3701</v>
      </c>
      <c r="C1373" s="120" t="s">
        <v>69</v>
      </c>
      <c r="D1373" s="120" t="s">
        <v>592</v>
      </c>
      <c r="E1373" s="120" t="s">
        <v>75</v>
      </c>
      <c r="F1373" s="120" t="s">
        <v>71</v>
      </c>
      <c r="G1373" s="120">
        <v>1</v>
      </c>
      <c r="H1373">
        <v>2</v>
      </c>
      <c r="I1373" s="120" t="s">
        <v>57</v>
      </c>
      <c r="J1373">
        <v>-1</v>
      </c>
      <c r="K1373">
        <v>0</v>
      </c>
      <c r="L1373">
        <v>54</v>
      </c>
      <c r="M1373">
        <v>54</v>
      </c>
      <c r="N1373">
        <v>108</v>
      </c>
    </row>
    <row r="1374" spans="1:14" hidden="1" x14ac:dyDescent="0.25">
      <c r="A1374" s="120" t="s">
        <v>3591</v>
      </c>
      <c r="B1374" s="120" t="s">
        <v>3701</v>
      </c>
      <c r="C1374" s="120" t="s">
        <v>69</v>
      </c>
      <c r="D1374" s="120" t="s">
        <v>595</v>
      </c>
      <c r="E1374" s="120" t="s">
        <v>172</v>
      </c>
      <c r="F1374" s="120" t="s">
        <v>71</v>
      </c>
      <c r="G1374" s="120">
        <v>1</v>
      </c>
      <c r="H1374">
        <v>3</v>
      </c>
      <c r="I1374" s="120" t="s">
        <v>57</v>
      </c>
      <c r="J1374">
        <v>-2</v>
      </c>
      <c r="K1374">
        <v>0</v>
      </c>
      <c r="L1374">
        <v>54</v>
      </c>
      <c r="M1374">
        <v>54</v>
      </c>
      <c r="N1374">
        <v>162</v>
      </c>
    </row>
    <row r="1375" spans="1:14" hidden="1" x14ac:dyDescent="0.25">
      <c r="A1375" s="120" t="s">
        <v>3591</v>
      </c>
      <c r="B1375" s="120" t="s">
        <v>3701</v>
      </c>
      <c r="C1375" s="120" t="s">
        <v>69</v>
      </c>
      <c r="D1375" s="120" t="s">
        <v>1155</v>
      </c>
      <c r="E1375" s="120" t="s">
        <v>114</v>
      </c>
      <c r="F1375" s="120" t="s">
        <v>71</v>
      </c>
      <c r="G1375" s="120">
        <v>10</v>
      </c>
      <c r="H1375">
        <v>10</v>
      </c>
      <c r="I1375" s="120" t="s">
        <v>57</v>
      </c>
      <c r="J1375">
        <v>0</v>
      </c>
      <c r="K1375">
        <v>1</v>
      </c>
      <c r="L1375" s="121">
        <v>14</v>
      </c>
      <c r="M1375" s="121">
        <v>140</v>
      </c>
      <c r="N1375" s="121">
        <v>140</v>
      </c>
    </row>
    <row r="1376" spans="1:14" hidden="1" x14ac:dyDescent="0.25">
      <c r="A1376" s="120" t="s">
        <v>3591</v>
      </c>
      <c r="B1376" s="120" t="s">
        <v>3701</v>
      </c>
      <c r="C1376" s="120" t="s">
        <v>69</v>
      </c>
      <c r="D1376" s="120" t="s">
        <v>739</v>
      </c>
      <c r="E1376" s="120" t="s">
        <v>271</v>
      </c>
      <c r="F1376" s="120" t="s">
        <v>14</v>
      </c>
      <c r="G1376" s="120">
        <v>0</v>
      </c>
      <c r="H1376">
        <v>15</v>
      </c>
      <c r="I1376" s="120" t="s">
        <v>57</v>
      </c>
      <c r="J1376">
        <v>-15</v>
      </c>
      <c r="K1376">
        <v>0</v>
      </c>
      <c r="L1376">
        <v>24.5</v>
      </c>
      <c r="M1376">
        <v>0</v>
      </c>
      <c r="N1376">
        <v>367.5</v>
      </c>
    </row>
    <row r="1377" spans="1:14" hidden="1" x14ac:dyDescent="0.25">
      <c r="A1377" s="120" t="s">
        <v>3591</v>
      </c>
      <c r="B1377" s="120" t="s">
        <v>3701</v>
      </c>
      <c r="C1377" s="120" t="s">
        <v>69</v>
      </c>
      <c r="D1377" s="120" t="s">
        <v>1201</v>
      </c>
      <c r="E1377" s="120" t="s">
        <v>480</v>
      </c>
      <c r="F1377" s="120" t="s">
        <v>71</v>
      </c>
      <c r="G1377" s="120">
        <v>3</v>
      </c>
      <c r="H1377">
        <v>3</v>
      </c>
      <c r="I1377" s="120" t="s">
        <v>57</v>
      </c>
      <c r="J1377">
        <v>0</v>
      </c>
      <c r="K1377">
        <v>1</v>
      </c>
      <c r="L1377" s="121">
        <v>26.1</v>
      </c>
      <c r="M1377" s="121">
        <v>78.300000000000011</v>
      </c>
      <c r="N1377" s="121">
        <v>78.300000000000011</v>
      </c>
    </row>
    <row r="1378" spans="1:14" hidden="1" x14ac:dyDescent="0.25">
      <c r="A1378" s="120" t="s">
        <v>3591</v>
      </c>
      <c r="B1378" s="120" t="s">
        <v>3701</v>
      </c>
      <c r="C1378" s="120" t="s">
        <v>69</v>
      </c>
      <c r="D1378" s="120" t="s">
        <v>3547</v>
      </c>
      <c r="E1378" s="120" t="s">
        <v>240</v>
      </c>
      <c r="F1378" s="120" t="s">
        <v>14</v>
      </c>
      <c r="G1378" s="120">
        <v>1</v>
      </c>
      <c r="H1378">
        <v>0</v>
      </c>
      <c r="I1378" s="120" t="s">
        <v>57</v>
      </c>
      <c r="J1378">
        <v>1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 s="120" t="s">
        <v>3758</v>
      </c>
      <c r="B1379" s="120" t="s">
        <v>3759</v>
      </c>
      <c r="C1379" s="120" t="s">
        <v>69</v>
      </c>
      <c r="D1379" s="120" t="s">
        <v>1760</v>
      </c>
      <c r="E1379" s="120" t="s">
        <v>530</v>
      </c>
      <c r="F1379" s="120" t="s">
        <v>14</v>
      </c>
      <c r="G1379" s="120">
        <v>44</v>
      </c>
      <c r="H1379">
        <v>22</v>
      </c>
      <c r="I1379" s="120" t="s">
        <v>11</v>
      </c>
      <c r="J1379">
        <v>22</v>
      </c>
      <c r="K1379">
        <v>0</v>
      </c>
      <c r="L1379">
        <v>165</v>
      </c>
      <c r="M1379">
        <v>7260</v>
      </c>
      <c r="N1379">
        <v>3630</v>
      </c>
    </row>
    <row r="1380" spans="1:14" x14ac:dyDescent="0.25">
      <c r="A1380" s="120" t="s">
        <v>3758</v>
      </c>
      <c r="B1380" s="120" t="s">
        <v>3759</v>
      </c>
      <c r="C1380" s="120" t="s">
        <v>69</v>
      </c>
      <c r="D1380" s="120" t="s">
        <v>725</v>
      </c>
      <c r="E1380" s="120" t="s">
        <v>519</v>
      </c>
      <c r="F1380" s="120" t="s">
        <v>10</v>
      </c>
      <c r="G1380" s="120">
        <v>22</v>
      </c>
      <c r="H1380">
        <v>16</v>
      </c>
      <c r="I1380" s="120" t="s">
        <v>11</v>
      </c>
      <c r="J1380">
        <v>6</v>
      </c>
      <c r="K1380">
        <v>0</v>
      </c>
      <c r="L1380">
        <v>140</v>
      </c>
      <c r="M1380">
        <v>3080</v>
      </c>
      <c r="N1380">
        <v>2240</v>
      </c>
    </row>
    <row r="1381" spans="1:14" x14ac:dyDescent="0.25">
      <c r="A1381" s="120" t="s">
        <v>3758</v>
      </c>
      <c r="B1381" s="120" t="s">
        <v>3759</v>
      </c>
      <c r="C1381" s="120" t="s">
        <v>69</v>
      </c>
      <c r="D1381" s="120" t="s">
        <v>1757</v>
      </c>
      <c r="E1381" s="120" t="s">
        <v>1758</v>
      </c>
      <c r="F1381" s="120" t="s">
        <v>14</v>
      </c>
      <c r="G1381" s="120">
        <v>48</v>
      </c>
      <c r="H1381">
        <v>32</v>
      </c>
      <c r="I1381" s="120" t="s">
        <v>11</v>
      </c>
      <c r="J1381">
        <v>16</v>
      </c>
      <c r="K1381">
        <v>0</v>
      </c>
      <c r="L1381">
        <v>170</v>
      </c>
      <c r="M1381">
        <v>8160</v>
      </c>
      <c r="N1381">
        <v>5440</v>
      </c>
    </row>
    <row r="1382" spans="1:14" x14ac:dyDescent="0.25">
      <c r="A1382" s="120" t="s">
        <v>3758</v>
      </c>
      <c r="B1382" s="120" t="s">
        <v>3759</v>
      </c>
      <c r="C1382" s="120" t="s">
        <v>69</v>
      </c>
      <c r="D1382" s="120" t="s">
        <v>1134</v>
      </c>
      <c r="E1382" s="120" t="s">
        <v>111</v>
      </c>
      <c r="F1382" s="120" t="s">
        <v>10</v>
      </c>
      <c r="G1382" s="120">
        <v>40</v>
      </c>
      <c r="H1382">
        <v>16</v>
      </c>
      <c r="I1382" s="120" t="s">
        <v>11</v>
      </c>
      <c r="J1382">
        <v>24</v>
      </c>
      <c r="K1382">
        <v>0</v>
      </c>
      <c r="L1382">
        <v>34</v>
      </c>
      <c r="M1382">
        <v>1360</v>
      </c>
      <c r="N1382">
        <v>544</v>
      </c>
    </row>
    <row r="1383" spans="1:14" x14ac:dyDescent="0.25">
      <c r="A1383" s="120" t="s">
        <v>3758</v>
      </c>
      <c r="B1383" s="120" t="s">
        <v>3759</v>
      </c>
      <c r="C1383" s="120" t="s">
        <v>69</v>
      </c>
      <c r="D1383" s="120" t="s">
        <v>678</v>
      </c>
      <c r="E1383" s="120" t="s">
        <v>97</v>
      </c>
      <c r="F1383" s="120" t="s">
        <v>10</v>
      </c>
      <c r="G1383" s="120">
        <v>30</v>
      </c>
      <c r="H1383">
        <v>16</v>
      </c>
      <c r="I1383" s="120" t="s">
        <v>11</v>
      </c>
      <c r="J1383">
        <v>14</v>
      </c>
      <c r="K1383">
        <v>0</v>
      </c>
      <c r="L1383">
        <v>34</v>
      </c>
      <c r="M1383">
        <v>1020</v>
      </c>
      <c r="N1383">
        <v>544</v>
      </c>
    </row>
    <row r="1384" spans="1:14" x14ac:dyDescent="0.25">
      <c r="A1384" s="120" t="s">
        <v>3758</v>
      </c>
      <c r="B1384" s="120" t="s">
        <v>3759</v>
      </c>
      <c r="C1384" s="120" t="s">
        <v>69</v>
      </c>
      <c r="D1384" s="120" t="s">
        <v>738</v>
      </c>
      <c r="E1384" s="120" t="s">
        <v>102</v>
      </c>
      <c r="F1384" s="120" t="s">
        <v>10</v>
      </c>
      <c r="G1384" s="120">
        <v>88</v>
      </c>
      <c r="H1384">
        <v>80</v>
      </c>
      <c r="I1384" s="120" t="s">
        <v>11</v>
      </c>
      <c r="J1384">
        <v>8</v>
      </c>
      <c r="K1384">
        <v>0</v>
      </c>
      <c r="L1384">
        <v>10</v>
      </c>
      <c r="M1384">
        <v>880</v>
      </c>
      <c r="N1384">
        <v>800</v>
      </c>
    </row>
    <row r="1385" spans="1:14" x14ac:dyDescent="0.25">
      <c r="A1385" s="120" t="s">
        <v>3758</v>
      </c>
      <c r="B1385" s="120" t="s">
        <v>3759</v>
      </c>
      <c r="C1385" s="120" t="s">
        <v>69</v>
      </c>
      <c r="D1385" s="120" t="s">
        <v>1189</v>
      </c>
      <c r="E1385" s="120" t="s">
        <v>1190</v>
      </c>
      <c r="F1385" s="120" t="s">
        <v>18</v>
      </c>
      <c r="G1385" s="120">
        <v>65</v>
      </c>
      <c r="H1385">
        <v>48</v>
      </c>
      <c r="I1385" s="120" t="s">
        <v>11</v>
      </c>
      <c r="J1385">
        <v>17</v>
      </c>
      <c r="K1385">
        <v>0</v>
      </c>
      <c r="L1385">
        <v>58</v>
      </c>
      <c r="M1385">
        <v>3770</v>
      </c>
      <c r="N1385">
        <v>2784</v>
      </c>
    </row>
    <row r="1386" spans="1:14" x14ac:dyDescent="0.25">
      <c r="A1386" s="120" t="s">
        <v>3758</v>
      </c>
      <c r="B1386" s="120" t="s">
        <v>3759</v>
      </c>
      <c r="C1386" s="120" t="s">
        <v>69</v>
      </c>
      <c r="D1386" s="120" t="s">
        <v>3502</v>
      </c>
      <c r="E1386" s="120" t="s">
        <v>96</v>
      </c>
      <c r="F1386" s="120" t="s">
        <v>10</v>
      </c>
      <c r="G1386" s="120">
        <v>59</v>
      </c>
      <c r="H1386">
        <v>0</v>
      </c>
      <c r="I1386" s="120" t="s">
        <v>11</v>
      </c>
      <c r="J1386">
        <v>59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 s="120" t="s">
        <v>3758</v>
      </c>
      <c r="B1387" s="120" t="s">
        <v>3759</v>
      </c>
      <c r="C1387" s="120" t="s">
        <v>69</v>
      </c>
      <c r="D1387" s="120" t="s">
        <v>1156</v>
      </c>
      <c r="E1387" s="120" t="s">
        <v>115</v>
      </c>
      <c r="F1387" s="120" t="s">
        <v>71</v>
      </c>
      <c r="G1387" s="120">
        <v>45</v>
      </c>
      <c r="H1387">
        <v>47</v>
      </c>
      <c r="I1387" s="120" t="s">
        <v>11</v>
      </c>
      <c r="J1387">
        <v>-2</v>
      </c>
      <c r="K1387">
        <v>0</v>
      </c>
      <c r="L1387">
        <v>2.46</v>
      </c>
      <c r="M1387">
        <v>110.7</v>
      </c>
      <c r="N1387">
        <v>115.62</v>
      </c>
    </row>
    <row r="1388" spans="1:14" x14ac:dyDescent="0.25">
      <c r="A1388" s="120" t="s">
        <v>3758</v>
      </c>
      <c r="B1388" s="120" t="s">
        <v>3759</v>
      </c>
      <c r="C1388" s="120" t="s">
        <v>69</v>
      </c>
      <c r="D1388" s="120" t="s">
        <v>566</v>
      </c>
      <c r="E1388" s="120" t="s">
        <v>567</v>
      </c>
      <c r="F1388" s="120" t="s">
        <v>14</v>
      </c>
      <c r="G1388" s="120">
        <v>32</v>
      </c>
      <c r="H1388">
        <v>32</v>
      </c>
      <c r="I1388" s="120" t="s">
        <v>11</v>
      </c>
      <c r="J1388">
        <v>0</v>
      </c>
      <c r="K1388">
        <v>1</v>
      </c>
      <c r="L1388" s="121">
        <v>25.7</v>
      </c>
      <c r="M1388" s="121">
        <v>822.4</v>
      </c>
      <c r="N1388" s="121">
        <v>822.4</v>
      </c>
    </row>
    <row r="1389" spans="1:14" x14ac:dyDescent="0.25">
      <c r="A1389" s="120" t="s">
        <v>3758</v>
      </c>
      <c r="B1389" s="120" t="s">
        <v>3759</v>
      </c>
      <c r="C1389" s="120" t="s">
        <v>69</v>
      </c>
      <c r="D1389" s="120" t="s">
        <v>687</v>
      </c>
      <c r="E1389" s="120" t="s">
        <v>99</v>
      </c>
      <c r="F1389" s="120" t="s">
        <v>10</v>
      </c>
      <c r="G1389" s="120">
        <v>18</v>
      </c>
      <c r="H1389">
        <v>3</v>
      </c>
      <c r="I1389" s="120" t="s">
        <v>11</v>
      </c>
      <c r="J1389">
        <v>15</v>
      </c>
      <c r="K1389">
        <v>0</v>
      </c>
      <c r="L1389">
        <v>9</v>
      </c>
      <c r="M1389">
        <v>162</v>
      </c>
      <c r="N1389">
        <v>27</v>
      </c>
    </row>
    <row r="1390" spans="1:14" x14ac:dyDescent="0.25">
      <c r="A1390" s="120" t="s">
        <v>3758</v>
      </c>
      <c r="B1390" s="120" t="s">
        <v>3759</v>
      </c>
      <c r="C1390" s="120" t="s">
        <v>69</v>
      </c>
      <c r="D1390" s="120" t="s">
        <v>1192</v>
      </c>
      <c r="E1390" s="120" t="s">
        <v>124</v>
      </c>
      <c r="F1390" s="120" t="s">
        <v>14</v>
      </c>
      <c r="G1390" s="120">
        <v>74</v>
      </c>
      <c r="H1390">
        <v>64</v>
      </c>
      <c r="I1390" s="120" t="s">
        <v>11</v>
      </c>
      <c r="J1390">
        <v>10</v>
      </c>
      <c r="K1390">
        <v>0</v>
      </c>
      <c r="L1390">
        <v>3.5</v>
      </c>
      <c r="M1390">
        <v>259</v>
      </c>
      <c r="N1390">
        <v>224</v>
      </c>
    </row>
    <row r="1391" spans="1:14" x14ac:dyDescent="0.25">
      <c r="A1391" s="120" t="s">
        <v>3758</v>
      </c>
      <c r="B1391" s="120" t="s">
        <v>3759</v>
      </c>
      <c r="C1391" s="120" t="s">
        <v>69</v>
      </c>
      <c r="D1391" s="120" t="s">
        <v>3684</v>
      </c>
      <c r="E1391" s="120" t="s">
        <v>510</v>
      </c>
      <c r="F1391" s="120" t="s">
        <v>10</v>
      </c>
      <c r="G1391" s="120">
        <v>89</v>
      </c>
      <c r="H1391">
        <v>0</v>
      </c>
      <c r="I1391" s="120" t="s">
        <v>11</v>
      </c>
      <c r="J1391">
        <v>89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 s="120" t="s">
        <v>3758</v>
      </c>
      <c r="B1392" s="120" t="s">
        <v>3759</v>
      </c>
      <c r="C1392" s="120" t="s">
        <v>69</v>
      </c>
      <c r="D1392" s="120" t="s">
        <v>3685</v>
      </c>
      <c r="E1392" s="120" t="s">
        <v>511</v>
      </c>
      <c r="F1392" s="120" t="s">
        <v>10</v>
      </c>
      <c r="G1392" s="120">
        <v>77</v>
      </c>
      <c r="H1392">
        <v>0</v>
      </c>
      <c r="I1392" s="120" t="s">
        <v>11</v>
      </c>
      <c r="J1392">
        <v>77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s="120" t="s">
        <v>3758</v>
      </c>
      <c r="B1393" s="120" t="s">
        <v>3759</v>
      </c>
      <c r="C1393" s="120" t="s">
        <v>69</v>
      </c>
      <c r="D1393" s="120" t="s">
        <v>1191</v>
      </c>
      <c r="E1393" s="120" t="s">
        <v>117</v>
      </c>
      <c r="F1393" s="120" t="s">
        <v>14</v>
      </c>
      <c r="G1393" s="120">
        <v>52</v>
      </c>
      <c r="H1393">
        <v>49</v>
      </c>
      <c r="I1393" s="120" t="s">
        <v>11</v>
      </c>
      <c r="J1393">
        <v>3</v>
      </c>
      <c r="K1393">
        <v>0</v>
      </c>
      <c r="L1393">
        <v>3.5</v>
      </c>
      <c r="M1393">
        <v>182</v>
      </c>
      <c r="N1393">
        <v>171.5</v>
      </c>
    </row>
    <row r="1394" spans="1:14" x14ac:dyDescent="0.25">
      <c r="A1394" s="120" t="s">
        <v>3758</v>
      </c>
      <c r="B1394" s="120" t="s">
        <v>3759</v>
      </c>
      <c r="C1394" s="120" t="s">
        <v>69</v>
      </c>
      <c r="D1394" s="120" t="s">
        <v>3503</v>
      </c>
      <c r="E1394" s="120" t="s">
        <v>105</v>
      </c>
      <c r="F1394" s="120" t="s">
        <v>10</v>
      </c>
      <c r="G1394" s="120">
        <v>57</v>
      </c>
      <c r="H1394">
        <v>0</v>
      </c>
      <c r="I1394" s="120" t="s">
        <v>11</v>
      </c>
      <c r="J1394">
        <v>57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 s="120" t="s">
        <v>3758</v>
      </c>
      <c r="B1395" s="120" t="s">
        <v>3759</v>
      </c>
      <c r="C1395" s="120" t="s">
        <v>69</v>
      </c>
      <c r="D1395" s="120" t="s">
        <v>3522</v>
      </c>
      <c r="E1395" s="120" t="s">
        <v>167</v>
      </c>
      <c r="F1395" s="120" t="s">
        <v>10</v>
      </c>
      <c r="G1395" s="120">
        <v>49</v>
      </c>
      <c r="H1395">
        <v>0</v>
      </c>
      <c r="I1395" s="120" t="s">
        <v>11</v>
      </c>
      <c r="J1395">
        <v>49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 s="120" t="s">
        <v>3758</v>
      </c>
      <c r="B1396" s="120" t="s">
        <v>3759</v>
      </c>
      <c r="C1396" s="120" t="s">
        <v>69</v>
      </c>
      <c r="D1396" s="120" t="s">
        <v>1099</v>
      </c>
      <c r="E1396" s="120" t="s">
        <v>180</v>
      </c>
      <c r="F1396" s="120" t="s">
        <v>10</v>
      </c>
      <c r="G1396" s="120">
        <v>36</v>
      </c>
      <c r="H1396">
        <v>29</v>
      </c>
      <c r="I1396" s="120" t="s">
        <v>11</v>
      </c>
      <c r="J1396">
        <v>7</v>
      </c>
      <c r="K1396">
        <v>0</v>
      </c>
      <c r="L1396">
        <v>70</v>
      </c>
      <c r="M1396">
        <v>2520</v>
      </c>
      <c r="N1396">
        <v>2030</v>
      </c>
    </row>
    <row r="1397" spans="1:14" x14ac:dyDescent="0.25">
      <c r="A1397" s="120" t="s">
        <v>3758</v>
      </c>
      <c r="B1397" s="120" t="s">
        <v>3759</v>
      </c>
      <c r="C1397" s="120" t="s">
        <v>69</v>
      </c>
      <c r="D1397" s="120" t="s">
        <v>1769</v>
      </c>
      <c r="E1397" s="120" t="s">
        <v>531</v>
      </c>
      <c r="F1397" s="120" t="s">
        <v>10</v>
      </c>
      <c r="G1397" s="120">
        <v>48</v>
      </c>
      <c r="H1397">
        <v>42</v>
      </c>
      <c r="I1397" s="120" t="s">
        <v>11</v>
      </c>
      <c r="J1397">
        <v>6</v>
      </c>
      <c r="K1397">
        <v>0</v>
      </c>
      <c r="L1397">
        <v>139</v>
      </c>
      <c r="M1397">
        <v>6672</v>
      </c>
      <c r="N1397">
        <v>5838</v>
      </c>
    </row>
    <row r="1398" spans="1:14" x14ac:dyDescent="0.25">
      <c r="A1398" s="120" t="s">
        <v>3758</v>
      </c>
      <c r="B1398" s="120" t="s">
        <v>3759</v>
      </c>
      <c r="C1398" s="120" t="s">
        <v>69</v>
      </c>
      <c r="D1398" s="120" t="s">
        <v>1113</v>
      </c>
      <c r="E1398" s="120" t="s">
        <v>106</v>
      </c>
      <c r="F1398" s="120" t="s">
        <v>18</v>
      </c>
      <c r="G1398" s="120">
        <v>66</v>
      </c>
      <c r="H1398">
        <v>59</v>
      </c>
      <c r="I1398" s="120" t="s">
        <v>11</v>
      </c>
      <c r="J1398">
        <v>7</v>
      </c>
      <c r="K1398">
        <v>0</v>
      </c>
      <c r="L1398">
        <v>99</v>
      </c>
      <c r="M1398">
        <v>6534</v>
      </c>
      <c r="N1398">
        <v>5841</v>
      </c>
    </row>
    <row r="1399" spans="1:14" x14ac:dyDescent="0.25">
      <c r="A1399" s="120" t="s">
        <v>3758</v>
      </c>
      <c r="B1399" s="120" t="s">
        <v>3759</v>
      </c>
      <c r="C1399" s="120" t="s">
        <v>69</v>
      </c>
      <c r="D1399" s="120" t="s">
        <v>3523</v>
      </c>
      <c r="E1399" s="120" t="s">
        <v>168</v>
      </c>
      <c r="F1399" s="120" t="s">
        <v>18</v>
      </c>
      <c r="G1399" s="120">
        <v>43</v>
      </c>
      <c r="H1399">
        <v>0</v>
      </c>
      <c r="I1399" s="120" t="s">
        <v>11</v>
      </c>
      <c r="J1399">
        <v>43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 s="120" t="s">
        <v>3758</v>
      </c>
      <c r="B1400" s="120" t="s">
        <v>3759</v>
      </c>
      <c r="C1400" s="120" t="s">
        <v>69</v>
      </c>
      <c r="D1400" s="120" t="s">
        <v>1100</v>
      </c>
      <c r="E1400" s="120" t="s">
        <v>521</v>
      </c>
      <c r="F1400" s="120" t="s">
        <v>10</v>
      </c>
      <c r="G1400" s="120">
        <v>34</v>
      </c>
      <c r="H1400">
        <v>49</v>
      </c>
      <c r="I1400" s="120" t="s">
        <v>11</v>
      </c>
      <c r="J1400">
        <v>-15</v>
      </c>
      <c r="K1400">
        <v>0</v>
      </c>
      <c r="L1400">
        <v>68</v>
      </c>
      <c r="M1400">
        <v>2312</v>
      </c>
      <c r="N1400">
        <v>3332</v>
      </c>
    </row>
    <row r="1401" spans="1:14" x14ac:dyDescent="0.25">
      <c r="A1401" s="120" t="s">
        <v>3758</v>
      </c>
      <c r="B1401" s="120" t="s">
        <v>3759</v>
      </c>
      <c r="C1401" s="120" t="s">
        <v>69</v>
      </c>
      <c r="D1401" s="120" t="s">
        <v>3527</v>
      </c>
      <c r="E1401" s="120" t="s">
        <v>185</v>
      </c>
      <c r="F1401" s="120" t="s">
        <v>10</v>
      </c>
      <c r="G1401" s="120">
        <v>186</v>
      </c>
      <c r="H1401">
        <v>0</v>
      </c>
      <c r="I1401" s="120" t="s">
        <v>11</v>
      </c>
      <c r="J1401">
        <v>186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 s="120" t="s">
        <v>3758</v>
      </c>
      <c r="B1402" s="120" t="s">
        <v>3759</v>
      </c>
      <c r="C1402" s="120" t="s">
        <v>69</v>
      </c>
      <c r="D1402" s="120" t="s">
        <v>1109</v>
      </c>
      <c r="E1402" s="120" t="s">
        <v>182</v>
      </c>
      <c r="F1402" s="120" t="s">
        <v>183</v>
      </c>
      <c r="G1402" s="120">
        <v>1</v>
      </c>
      <c r="H1402">
        <v>1</v>
      </c>
      <c r="I1402" s="120" t="s">
        <v>11</v>
      </c>
      <c r="J1402">
        <v>0</v>
      </c>
      <c r="K1402">
        <v>1</v>
      </c>
      <c r="L1402" s="121">
        <v>8</v>
      </c>
      <c r="M1402" s="121">
        <v>8</v>
      </c>
      <c r="N1402" s="121">
        <v>8</v>
      </c>
    </row>
    <row r="1403" spans="1:14" x14ac:dyDescent="0.25">
      <c r="A1403" s="120" t="s">
        <v>3758</v>
      </c>
      <c r="B1403" s="120" t="s">
        <v>3759</v>
      </c>
      <c r="C1403" s="120" t="s">
        <v>69</v>
      </c>
      <c r="D1403" s="120" t="s">
        <v>594</v>
      </c>
      <c r="E1403" s="120" t="s">
        <v>171</v>
      </c>
      <c r="F1403" s="120" t="s">
        <v>71</v>
      </c>
      <c r="G1403" s="120">
        <v>11</v>
      </c>
      <c r="H1403">
        <v>23</v>
      </c>
      <c r="I1403" s="120" t="s">
        <v>11</v>
      </c>
      <c r="J1403">
        <v>-12</v>
      </c>
      <c r="K1403">
        <v>0</v>
      </c>
      <c r="L1403">
        <v>54</v>
      </c>
      <c r="M1403">
        <v>594</v>
      </c>
      <c r="N1403">
        <v>1242</v>
      </c>
    </row>
    <row r="1404" spans="1:14" x14ac:dyDescent="0.25">
      <c r="A1404" s="120" t="s">
        <v>3758</v>
      </c>
      <c r="B1404" s="120" t="s">
        <v>3759</v>
      </c>
      <c r="C1404" s="120" t="s">
        <v>69</v>
      </c>
      <c r="D1404" s="120" t="s">
        <v>3545</v>
      </c>
      <c r="E1404" s="120" t="s">
        <v>3007</v>
      </c>
      <c r="F1404" s="120" t="s">
        <v>14</v>
      </c>
      <c r="G1404" s="120">
        <v>57</v>
      </c>
      <c r="H1404">
        <v>0</v>
      </c>
      <c r="I1404" s="120" t="s">
        <v>11</v>
      </c>
      <c r="J1404">
        <v>57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 s="120" t="s">
        <v>3758</v>
      </c>
      <c r="B1405" s="120" t="s">
        <v>3759</v>
      </c>
      <c r="C1405" s="120" t="s">
        <v>69</v>
      </c>
      <c r="D1405" s="120" t="s">
        <v>3546</v>
      </c>
      <c r="E1405" s="120" t="s">
        <v>2991</v>
      </c>
      <c r="F1405" s="120" t="s">
        <v>14</v>
      </c>
      <c r="G1405" s="120">
        <v>73</v>
      </c>
      <c r="H1405">
        <v>0</v>
      </c>
      <c r="I1405" s="120" t="s">
        <v>11</v>
      </c>
      <c r="J1405">
        <v>73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 s="120" t="s">
        <v>3758</v>
      </c>
      <c r="B1406" s="120" t="s">
        <v>3759</v>
      </c>
      <c r="C1406" s="120" t="s">
        <v>69</v>
      </c>
      <c r="D1406" s="120" t="s">
        <v>1154</v>
      </c>
      <c r="E1406" s="120" t="s">
        <v>113</v>
      </c>
      <c r="F1406" s="120" t="s">
        <v>71</v>
      </c>
      <c r="G1406" s="120">
        <v>68</v>
      </c>
      <c r="H1406">
        <v>61</v>
      </c>
      <c r="I1406" s="120" t="s">
        <v>11</v>
      </c>
      <c r="J1406">
        <v>7</v>
      </c>
      <c r="K1406">
        <v>0</v>
      </c>
      <c r="L1406">
        <v>3.4</v>
      </c>
      <c r="M1406">
        <v>231.2</v>
      </c>
      <c r="N1406">
        <v>207.4</v>
      </c>
    </row>
    <row r="1407" spans="1:14" x14ac:dyDescent="0.25">
      <c r="A1407" s="120" t="s">
        <v>3758</v>
      </c>
      <c r="B1407" s="120" t="s">
        <v>3759</v>
      </c>
      <c r="C1407" s="120" t="s">
        <v>69</v>
      </c>
      <c r="D1407" s="120" t="s">
        <v>593</v>
      </c>
      <c r="E1407" s="120" t="s">
        <v>76</v>
      </c>
      <c r="F1407" s="120" t="s">
        <v>71</v>
      </c>
      <c r="G1407" s="120">
        <v>7</v>
      </c>
      <c r="H1407">
        <v>11</v>
      </c>
      <c r="I1407" s="120" t="s">
        <v>11</v>
      </c>
      <c r="J1407">
        <v>-4</v>
      </c>
      <c r="K1407">
        <v>0</v>
      </c>
      <c r="L1407">
        <v>54</v>
      </c>
      <c r="M1407">
        <v>378</v>
      </c>
      <c r="N1407">
        <v>594</v>
      </c>
    </row>
    <row r="1408" spans="1:14" x14ac:dyDescent="0.25">
      <c r="A1408" s="120" t="s">
        <v>3758</v>
      </c>
      <c r="B1408" s="120" t="s">
        <v>3759</v>
      </c>
      <c r="C1408" s="120" t="s">
        <v>69</v>
      </c>
      <c r="D1408" s="120" t="s">
        <v>3686</v>
      </c>
      <c r="E1408" s="120" t="s">
        <v>512</v>
      </c>
      <c r="F1408" s="120" t="s">
        <v>10</v>
      </c>
      <c r="G1408" s="120">
        <v>1</v>
      </c>
      <c r="H1408">
        <v>0</v>
      </c>
      <c r="I1408" s="120" t="s">
        <v>47</v>
      </c>
      <c r="J1408">
        <v>1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 s="120" t="s">
        <v>3758</v>
      </c>
      <c r="B1409" s="120" t="s">
        <v>3759</v>
      </c>
      <c r="C1409" s="120" t="s">
        <v>69</v>
      </c>
      <c r="D1409" s="120" t="s">
        <v>3547</v>
      </c>
      <c r="E1409" s="120" t="s">
        <v>240</v>
      </c>
      <c r="F1409" s="120" t="s">
        <v>18</v>
      </c>
      <c r="G1409" s="120">
        <v>3</v>
      </c>
      <c r="H1409">
        <v>0</v>
      </c>
      <c r="I1409" s="120" t="s">
        <v>47</v>
      </c>
      <c r="J1409">
        <v>3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 s="120" t="s">
        <v>3758</v>
      </c>
      <c r="B1410" s="120" t="s">
        <v>3759</v>
      </c>
      <c r="C1410" s="120" t="s">
        <v>69</v>
      </c>
      <c r="D1410" s="120" t="s">
        <v>1161</v>
      </c>
      <c r="E1410" s="120" t="s">
        <v>184</v>
      </c>
      <c r="F1410" s="120" t="s">
        <v>71</v>
      </c>
      <c r="G1410" s="120">
        <v>51</v>
      </c>
      <c r="H1410">
        <v>45</v>
      </c>
      <c r="I1410" s="120" t="s">
        <v>47</v>
      </c>
      <c r="J1410">
        <v>6</v>
      </c>
      <c r="K1410">
        <v>0</v>
      </c>
      <c r="L1410">
        <v>10.4</v>
      </c>
      <c r="M1410">
        <v>530.4</v>
      </c>
      <c r="N1410">
        <v>468</v>
      </c>
    </row>
    <row r="1411" spans="1:14" x14ac:dyDescent="0.25">
      <c r="A1411" s="120" t="s">
        <v>3758</v>
      </c>
      <c r="B1411" s="120" t="s">
        <v>3759</v>
      </c>
      <c r="C1411" s="120" t="s">
        <v>69</v>
      </c>
      <c r="D1411" s="120" t="s">
        <v>3682</v>
      </c>
      <c r="E1411" s="120" t="s">
        <v>508</v>
      </c>
      <c r="F1411" s="120" t="s">
        <v>10</v>
      </c>
      <c r="G1411" s="120">
        <v>67</v>
      </c>
      <c r="H1411">
        <v>0</v>
      </c>
      <c r="I1411" s="120" t="s">
        <v>47</v>
      </c>
      <c r="J1411">
        <v>67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 s="120" t="s">
        <v>3758</v>
      </c>
      <c r="B1412" s="120" t="s">
        <v>3759</v>
      </c>
      <c r="C1412" s="120" t="s">
        <v>69</v>
      </c>
      <c r="D1412" s="120" t="s">
        <v>3548</v>
      </c>
      <c r="E1412" s="120" t="s">
        <v>3008</v>
      </c>
      <c r="F1412" s="120" t="s">
        <v>14</v>
      </c>
      <c r="G1412" s="120">
        <v>90</v>
      </c>
      <c r="H1412">
        <v>0</v>
      </c>
      <c r="I1412" s="120" t="s">
        <v>47</v>
      </c>
      <c r="J1412">
        <v>90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 s="120" t="s">
        <v>3758</v>
      </c>
      <c r="B1413" s="120" t="s">
        <v>3759</v>
      </c>
      <c r="C1413" s="120" t="s">
        <v>69</v>
      </c>
      <c r="D1413" s="120" t="s">
        <v>3489</v>
      </c>
      <c r="E1413" s="120" t="s">
        <v>80</v>
      </c>
      <c r="F1413" s="120" t="s">
        <v>10</v>
      </c>
      <c r="G1413" s="120">
        <v>0</v>
      </c>
      <c r="H1413">
        <v>0</v>
      </c>
      <c r="I1413" s="120" t="s">
        <v>47</v>
      </c>
      <c r="J1413">
        <v>0</v>
      </c>
      <c r="K1413">
        <v>1</v>
      </c>
      <c r="L1413" s="121">
        <v>0</v>
      </c>
      <c r="M1413" s="121">
        <v>0</v>
      </c>
      <c r="N1413" s="121">
        <v>0</v>
      </c>
    </row>
    <row r="1414" spans="1:14" x14ac:dyDescent="0.25">
      <c r="A1414" s="120" t="s">
        <v>3758</v>
      </c>
      <c r="B1414" s="120" t="s">
        <v>3759</v>
      </c>
      <c r="C1414" s="120" t="s">
        <v>69</v>
      </c>
      <c r="D1414" s="120" t="s">
        <v>686</v>
      </c>
      <c r="E1414" s="120" t="s">
        <v>270</v>
      </c>
      <c r="F1414" s="120" t="s">
        <v>10</v>
      </c>
      <c r="G1414" s="120">
        <v>81</v>
      </c>
      <c r="H1414">
        <v>74</v>
      </c>
      <c r="I1414" s="120" t="s">
        <v>47</v>
      </c>
      <c r="J1414">
        <v>7</v>
      </c>
      <c r="K1414">
        <v>0</v>
      </c>
      <c r="L1414">
        <v>18</v>
      </c>
      <c r="M1414">
        <v>1458</v>
      </c>
      <c r="N1414">
        <v>1332</v>
      </c>
    </row>
    <row r="1415" spans="1:14" x14ac:dyDescent="0.25">
      <c r="A1415" s="120" t="s">
        <v>3758</v>
      </c>
      <c r="B1415" s="120" t="s">
        <v>3759</v>
      </c>
      <c r="C1415" s="120" t="s">
        <v>69</v>
      </c>
      <c r="D1415" s="120" t="s">
        <v>592</v>
      </c>
      <c r="E1415" s="120" t="s">
        <v>75</v>
      </c>
      <c r="F1415" s="120" t="s">
        <v>71</v>
      </c>
      <c r="G1415" s="120">
        <v>7</v>
      </c>
      <c r="H1415">
        <v>10</v>
      </c>
      <c r="I1415" s="120" t="s">
        <v>47</v>
      </c>
      <c r="J1415">
        <v>-3</v>
      </c>
      <c r="K1415">
        <v>0</v>
      </c>
      <c r="L1415">
        <v>54</v>
      </c>
      <c r="M1415">
        <v>378</v>
      </c>
      <c r="N1415">
        <v>540</v>
      </c>
    </row>
    <row r="1416" spans="1:14" x14ac:dyDescent="0.25">
      <c r="A1416" s="120" t="s">
        <v>3758</v>
      </c>
      <c r="B1416" s="120" t="s">
        <v>3759</v>
      </c>
      <c r="C1416" s="120" t="s">
        <v>69</v>
      </c>
      <c r="D1416" s="120" t="s">
        <v>1110</v>
      </c>
      <c r="E1416" s="120" t="s">
        <v>1111</v>
      </c>
      <c r="F1416" s="120" t="s">
        <v>183</v>
      </c>
      <c r="G1416" s="120">
        <v>42</v>
      </c>
      <c r="H1416">
        <v>33</v>
      </c>
      <c r="I1416" s="120" t="s">
        <v>47</v>
      </c>
      <c r="J1416">
        <v>9</v>
      </c>
      <c r="K1416">
        <v>0</v>
      </c>
      <c r="L1416">
        <v>8</v>
      </c>
      <c r="M1416">
        <v>336</v>
      </c>
      <c r="N1416">
        <v>264</v>
      </c>
    </row>
    <row r="1417" spans="1:14" x14ac:dyDescent="0.25">
      <c r="A1417" s="120" t="s">
        <v>3758</v>
      </c>
      <c r="B1417" s="120" t="s">
        <v>3759</v>
      </c>
      <c r="C1417" s="120" t="s">
        <v>69</v>
      </c>
      <c r="D1417" s="120" t="s">
        <v>3683</v>
      </c>
      <c r="E1417" s="120" t="s">
        <v>509</v>
      </c>
      <c r="F1417" s="120" t="s">
        <v>59</v>
      </c>
      <c r="G1417" s="120">
        <v>48</v>
      </c>
      <c r="H1417">
        <v>0</v>
      </c>
      <c r="I1417" s="120" t="s">
        <v>47</v>
      </c>
      <c r="J1417">
        <v>48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 s="120" t="s">
        <v>3758</v>
      </c>
      <c r="B1418" s="120" t="s">
        <v>3759</v>
      </c>
      <c r="C1418" s="120" t="s">
        <v>69</v>
      </c>
      <c r="D1418" s="120" t="s">
        <v>596</v>
      </c>
      <c r="E1418" s="120" t="s">
        <v>173</v>
      </c>
      <c r="F1418" s="120" t="s">
        <v>71</v>
      </c>
      <c r="G1418" s="120">
        <v>48</v>
      </c>
      <c r="H1418">
        <v>51</v>
      </c>
      <c r="I1418" s="120" t="s">
        <v>47</v>
      </c>
      <c r="J1418">
        <v>-3</v>
      </c>
      <c r="K1418">
        <v>0</v>
      </c>
      <c r="L1418">
        <v>56</v>
      </c>
      <c r="M1418">
        <v>2688</v>
      </c>
      <c r="N1418">
        <v>2856</v>
      </c>
    </row>
    <row r="1419" spans="1:14" x14ac:dyDescent="0.25">
      <c r="A1419" s="120" t="s">
        <v>3758</v>
      </c>
      <c r="B1419" s="120" t="s">
        <v>3759</v>
      </c>
      <c r="C1419" s="120" t="s">
        <v>69</v>
      </c>
      <c r="D1419" s="120" t="s">
        <v>3504</v>
      </c>
      <c r="E1419" s="120" t="s">
        <v>107</v>
      </c>
      <c r="F1419" s="120" t="s">
        <v>18</v>
      </c>
      <c r="G1419" s="120">
        <v>4</v>
      </c>
      <c r="H1419">
        <v>0</v>
      </c>
      <c r="I1419" s="120" t="s">
        <v>47</v>
      </c>
      <c r="J1419">
        <v>4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 s="120" t="s">
        <v>3758</v>
      </c>
      <c r="B1420" s="120" t="s">
        <v>3759</v>
      </c>
      <c r="C1420" s="120" t="s">
        <v>69</v>
      </c>
      <c r="D1420" s="120" t="s">
        <v>591</v>
      </c>
      <c r="E1420" s="120" t="s">
        <v>74</v>
      </c>
      <c r="F1420" s="120" t="s">
        <v>71</v>
      </c>
      <c r="G1420" s="120">
        <v>4</v>
      </c>
      <c r="H1420">
        <v>6</v>
      </c>
      <c r="I1420" s="120" t="s">
        <v>57</v>
      </c>
      <c r="J1420">
        <v>-2</v>
      </c>
      <c r="K1420">
        <v>0</v>
      </c>
      <c r="L1420">
        <v>54</v>
      </c>
      <c r="M1420">
        <v>216</v>
      </c>
      <c r="N1420">
        <v>324</v>
      </c>
    </row>
    <row r="1421" spans="1:14" x14ac:dyDescent="0.25">
      <c r="A1421" s="120" t="s">
        <v>3758</v>
      </c>
      <c r="B1421" s="120" t="s">
        <v>3759</v>
      </c>
      <c r="C1421" s="120" t="s">
        <v>69</v>
      </c>
      <c r="D1421" s="120" t="s">
        <v>3488</v>
      </c>
      <c r="E1421" s="120" t="s">
        <v>79</v>
      </c>
      <c r="F1421" s="120" t="s">
        <v>10</v>
      </c>
      <c r="G1421" s="120">
        <v>25</v>
      </c>
      <c r="H1421">
        <v>0</v>
      </c>
      <c r="I1421" s="120" t="s">
        <v>57</v>
      </c>
      <c r="J1421">
        <v>25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 s="120" t="s">
        <v>3758</v>
      </c>
      <c r="B1422" s="120" t="s">
        <v>3759</v>
      </c>
      <c r="C1422" s="120" t="s">
        <v>69</v>
      </c>
      <c r="D1422" s="120" t="s">
        <v>3687</v>
      </c>
      <c r="E1422" s="120" t="s">
        <v>513</v>
      </c>
      <c r="F1422" s="120" t="s">
        <v>10</v>
      </c>
      <c r="G1422" s="120">
        <v>60</v>
      </c>
      <c r="H1422">
        <v>0</v>
      </c>
      <c r="I1422" s="120" t="s">
        <v>57</v>
      </c>
      <c r="J1422">
        <v>60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 s="120" t="s">
        <v>3758</v>
      </c>
      <c r="B1423" s="120" t="s">
        <v>3759</v>
      </c>
      <c r="C1423" s="120" t="s">
        <v>69</v>
      </c>
      <c r="D1423" s="120" t="s">
        <v>679</v>
      </c>
      <c r="E1423" s="120" t="s">
        <v>268</v>
      </c>
      <c r="F1423" s="120" t="s">
        <v>14</v>
      </c>
      <c r="G1423" s="120">
        <v>8</v>
      </c>
      <c r="H1423">
        <v>17</v>
      </c>
      <c r="I1423" s="120" t="s">
        <v>57</v>
      </c>
      <c r="J1423">
        <v>-9</v>
      </c>
      <c r="K1423">
        <v>0</v>
      </c>
      <c r="L1423">
        <v>38</v>
      </c>
      <c r="M1423">
        <v>304</v>
      </c>
      <c r="N1423">
        <v>646</v>
      </c>
    </row>
    <row r="1424" spans="1:14" x14ac:dyDescent="0.25">
      <c r="A1424" s="120" t="s">
        <v>3758</v>
      </c>
      <c r="B1424" s="120" t="s">
        <v>3759</v>
      </c>
      <c r="C1424" s="120" t="s">
        <v>69</v>
      </c>
      <c r="D1424" s="120" t="s">
        <v>3583</v>
      </c>
      <c r="E1424" s="120" t="s">
        <v>283</v>
      </c>
      <c r="F1424" s="120" t="s">
        <v>18</v>
      </c>
      <c r="G1424" s="120">
        <v>1</v>
      </c>
      <c r="H1424">
        <v>0</v>
      </c>
      <c r="I1424" s="120" t="s">
        <v>57</v>
      </c>
      <c r="J1424">
        <v>1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 s="120" t="s">
        <v>3758</v>
      </c>
      <c r="B1425" s="120" t="s">
        <v>3759</v>
      </c>
      <c r="C1425" s="120" t="s">
        <v>69</v>
      </c>
      <c r="D1425" s="120" t="s">
        <v>1160</v>
      </c>
      <c r="E1425" s="120" t="s">
        <v>288</v>
      </c>
      <c r="F1425" s="120" t="s">
        <v>71</v>
      </c>
      <c r="G1425" s="120">
        <v>7</v>
      </c>
      <c r="H1425">
        <v>13</v>
      </c>
      <c r="I1425" s="120" t="s">
        <v>57</v>
      </c>
      <c r="J1425">
        <v>-6</v>
      </c>
      <c r="K1425">
        <v>0</v>
      </c>
      <c r="L1425">
        <v>16.899999999999999</v>
      </c>
      <c r="M1425">
        <v>118.29999999999998</v>
      </c>
      <c r="N1425">
        <v>219.7</v>
      </c>
    </row>
    <row r="1426" spans="1:14" x14ac:dyDescent="0.25">
      <c r="A1426" s="120" t="s">
        <v>3758</v>
      </c>
      <c r="B1426" s="120" t="s">
        <v>3759</v>
      </c>
      <c r="C1426" s="120" t="s">
        <v>69</v>
      </c>
      <c r="D1426" s="120" t="s">
        <v>3493</v>
      </c>
      <c r="E1426" s="120" t="s">
        <v>87</v>
      </c>
      <c r="F1426" s="120" t="s">
        <v>233</v>
      </c>
      <c r="G1426" s="120">
        <v>0</v>
      </c>
      <c r="H1426">
        <v>0</v>
      </c>
      <c r="I1426" s="120" t="s">
        <v>57</v>
      </c>
      <c r="J1426">
        <v>0</v>
      </c>
      <c r="K1426">
        <v>1</v>
      </c>
      <c r="L1426" s="121">
        <v>0</v>
      </c>
      <c r="M1426" s="121">
        <v>0</v>
      </c>
      <c r="N1426" s="121">
        <v>0</v>
      </c>
    </row>
    <row r="1427" spans="1:14" x14ac:dyDescent="0.25">
      <c r="A1427" s="120" t="s">
        <v>3758</v>
      </c>
      <c r="B1427" s="120" t="s">
        <v>3759</v>
      </c>
      <c r="C1427" s="120" t="s">
        <v>69</v>
      </c>
      <c r="D1427" s="120" t="s">
        <v>597</v>
      </c>
      <c r="E1427" s="120" t="s">
        <v>174</v>
      </c>
      <c r="F1427" s="120" t="s">
        <v>71</v>
      </c>
      <c r="G1427" s="120">
        <v>17</v>
      </c>
      <c r="H1427">
        <v>17</v>
      </c>
      <c r="I1427" s="120" t="s">
        <v>57</v>
      </c>
      <c r="J1427">
        <v>0</v>
      </c>
      <c r="K1427">
        <v>1</v>
      </c>
      <c r="L1427" s="121">
        <v>54</v>
      </c>
      <c r="M1427" s="121">
        <v>918</v>
      </c>
      <c r="N1427" s="121">
        <v>918</v>
      </c>
    </row>
    <row r="1428" spans="1:14" x14ac:dyDescent="0.25">
      <c r="A1428" s="120" t="s">
        <v>3758</v>
      </c>
      <c r="B1428" s="120" t="s">
        <v>3759</v>
      </c>
      <c r="C1428" s="120" t="s">
        <v>69</v>
      </c>
      <c r="D1428" s="120" t="s">
        <v>598</v>
      </c>
      <c r="E1428" s="120" t="s">
        <v>77</v>
      </c>
      <c r="F1428" s="120" t="s">
        <v>71</v>
      </c>
      <c r="G1428" s="120">
        <v>55</v>
      </c>
      <c r="H1428">
        <v>55</v>
      </c>
      <c r="I1428" s="120" t="s">
        <v>57</v>
      </c>
      <c r="J1428">
        <v>0</v>
      </c>
      <c r="K1428">
        <v>1</v>
      </c>
      <c r="L1428" s="121">
        <v>54</v>
      </c>
      <c r="M1428" s="121">
        <v>2970</v>
      </c>
      <c r="N1428" s="121">
        <v>2970</v>
      </c>
    </row>
    <row r="1429" spans="1:14" x14ac:dyDescent="0.25">
      <c r="A1429" s="120" t="s">
        <v>3758</v>
      </c>
      <c r="B1429" s="120" t="s">
        <v>3759</v>
      </c>
      <c r="C1429" s="120" t="s">
        <v>69</v>
      </c>
      <c r="D1429" s="120" t="s">
        <v>589</v>
      </c>
      <c r="E1429" s="120" t="s">
        <v>72</v>
      </c>
      <c r="F1429" s="120" t="s">
        <v>71</v>
      </c>
      <c r="G1429" s="120">
        <v>0</v>
      </c>
      <c r="H1429">
        <v>2</v>
      </c>
      <c r="I1429" s="120" t="s">
        <v>57</v>
      </c>
      <c r="J1429">
        <v>-2</v>
      </c>
      <c r="K1429">
        <v>0</v>
      </c>
      <c r="L1429">
        <v>45</v>
      </c>
      <c r="M1429">
        <v>0</v>
      </c>
      <c r="N1429">
        <v>90</v>
      </c>
    </row>
    <row r="1430" spans="1:14" x14ac:dyDescent="0.25">
      <c r="A1430" s="120" t="s">
        <v>3758</v>
      </c>
      <c r="B1430" s="120" t="s">
        <v>3759</v>
      </c>
      <c r="C1430" s="120" t="s">
        <v>69</v>
      </c>
      <c r="D1430" s="120" t="s">
        <v>3544</v>
      </c>
      <c r="E1430" s="120" t="s">
        <v>3006</v>
      </c>
      <c r="F1430" s="120" t="s">
        <v>14</v>
      </c>
      <c r="G1430" s="120">
        <v>0</v>
      </c>
      <c r="H1430">
        <v>0</v>
      </c>
      <c r="I1430" s="120" t="s">
        <v>57</v>
      </c>
      <c r="J1430">
        <v>0</v>
      </c>
      <c r="K1430">
        <v>1</v>
      </c>
      <c r="L1430" s="121">
        <v>0</v>
      </c>
      <c r="M1430" s="121">
        <v>0</v>
      </c>
      <c r="N1430" s="121">
        <v>0</v>
      </c>
    </row>
    <row r="1431" spans="1:14" x14ac:dyDescent="0.25">
      <c r="A1431" s="120" t="s">
        <v>3758</v>
      </c>
      <c r="B1431" s="120" t="s">
        <v>3759</v>
      </c>
      <c r="C1431" s="120" t="s">
        <v>69</v>
      </c>
      <c r="D1431" s="120" t="s">
        <v>648</v>
      </c>
      <c r="E1431" s="120" t="s">
        <v>649</v>
      </c>
      <c r="F1431" s="120" t="s">
        <v>18</v>
      </c>
      <c r="G1431" s="120">
        <v>13</v>
      </c>
      <c r="H1431">
        <v>15</v>
      </c>
      <c r="I1431" s="120" t="s">
        <v>57</v>
      </c>
      <c r="J1431">
        <v>-2</v>
      </c>
      <c r="K1431">
        <v>0</v>
      </c>
      <c r="L1431">
        <v>73</v>
      </c>
      <c r="M1431">
        <v>949</v>
      </c>
      <c r="N1431">
        <v>1095</v>
      </c>
    </row>
    <row r="1432" spans="1:14" x14ac:dyDescent="0.25">
      <c r="A1432" s="120" t="s">
        <v>3758</v>
      </c>
      <c r="B1432" s="120" t="s">
        <v>3759</v>
      </c>
      <c r="C1432" s="120" t="s">
        <v>69</v>
      </c>
      <c r="D1432" s="120" t="s">
        <v>3688</v>
      </c>
      <c r="E1432" s="120" t="s">
        <v>514</v>
      </c>
      <c r="F1432" s="120" t="s">
        <v>10</v>
      </c>
      <c r="G1432" s="120">
        <v>22</v>
      </c>
      <c r="H1432">
        <v>0</v>
      </c>
      <c r="I1432" s="120" t="s">
        <v>57</v>
      </c>
      <c r="J1432">
        <v>22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 s="120" t="s">
        <v>3758</v>
      </c>
      <c r="B1433" s="120" t="s">
        <v>3759</v>
      </c>
      <c r="C1433" s="120" t="s">
        <v>69</v>
      </c>
      <c r="D1433" s="120" t="s">
        <v>590</v>
      </c>
      <c r="E1433" s="120" t="s">
        <v>73</v>
      </c>
      <c r="F1433" s="120" t="s">
        <v>71</v>
      </c>
      <c r="G1433" s="120">
        <v>5</v>
      </c>
      <c r="H1433">
        <v>4</v>
      </c>
      <c r="I1433" s="120" t="s">
        <v>57</v>
      </c>
      <c r="J1433">
        <v>1</v>
      </c>
      <c r="K1433">
        <v>0</v>
      </c>
      <c r="L1433">
        <v>54</v>
      </c>
      <c r="M1433">
        <v>270</v>
      </c>
      <c r="N1433">
        <v>216</v>
      </c>
    </row>
    <row r="1434" spans="1:14" x14ac:dyDescent="0.25">
      <c r="A1434" s="120" t="s">
        <v>3758</v>
      </c>
      <c r="B1434" s="120" t="s">
        <v>3759</v>
      </c>
      <c r="C1434" s="120" t="s">
        <v>69</v>
      </c>
      <c r="D1434" s="120" t="s">
        <v>644</v>
      </c>
      <c r="E1434" s="120" t="s">
        <v>645</v>
      </c>
      <c r="F1434" s="120" t="s">
        <v>18</v>
      </c>
      <c r="G1434" s="120">
        <v>26</v>
      </c>
      <c r="H1434">
        <v>26</v>
      </c>
      <c r="I1434" s="120" t="s">
        <v>57</v>
      </c>
      <c r="J1434">
        <v>0</v>
      </c>
      <c r="K1434">
        <v>1</v>
      </c>
      <c r="L1434" s="121">
        <v>68</v>
      </c>
      <c r="M1434" s="121">
        <v>1768</v>
      </c>
      <c r="N1434" s="121">
        <v>1768</v>
      </c>
    </row>
    <row r="1435" spans="1:14" x14ac:dyDescent="0.25">
      <c r="A1435" s="120" t="s">
        <v>3758</v>
      </c>
      <c r="B1435" s="120" t="s">
        <v>3759</v>
      </c>
      <c r="C1435" s="120" t="s">
        <v>69</v>
      </c>
      <c r="D1435" s="120" t="s">
        <v>3802</v>
      </c>
      <c r="E1435" s="120" t="s">
        <v>3043</v>
      </c>
      <c r="F1435" s="120" t="s">
        <v>14</v>
      </c>
      <c r="G1435" s="120">
        <v>2</v>
      </c>
      <c r="H1435">
        <v>0</v>
      </c>
      <c r="I1435" s="120" t="s">
        <v>57</v>
      </c>
      <c r="J1435">
        <v>2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 s="120" t="s">
        <v>3758</v>
      </c>
      <c r="B1436" s="120" t="s">
        <v>3759</v>
      </c>
      <c r="C1436" s="120" t="s">
        <v>69</v>
      </c>
      <c r="D1436" s="120" t="s">
        <v>3499</v>
      </c>
      <c r="E1436" s="120" t="s">
        <v>516</v>
      </c>
      <c r="F1436" s="120" t="s">
        <v>18</v>
      </c>
      <c r="G1436" s="120">
        <v>2</v>
      </c>
      <c r="H1436">
        <v>0</v>
      </c>
      <c r="I1436" s="120" t="s">
        <v>57</v>
      </c>
      <c r="J1436">
        <v>2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 s="120" t="s">
        <v>3758</v>
      </c>
      <c r="B1437" s="120" t="s">
        <v>3759</v>
      </c>
      <c r="C1437" s="120" t="s">
        <v>69</v>
      </c>
      <c r="D1437" s="120" t="s">
        <v>3681</v>
      </c>
      <c r="E1437" s="120" t="s">
        <v>507</v>
      </c>
      <c r="F1437" s="120" t="s">
        <v>18</v>
      </c>
      <c r="G1437" s="120">
        <v>3</v>
      </c>
      <c r="H1437">
        <v>0</v>
      </c>
      <c r="I1437" s="120" t="s">
        <v>57</v>
      </c>
      <c r="J1437">
        <v>3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 s="120" t="s">
        <v>3758</v>
      </c>
      <c r="B1438" s="120" t="s">
        <v>3759</v>
      </c>
      <c r="C1438" s="120" t="s">
        <v>69</v>
      </c>
      <c r="D1438" s="120" t="s">
        <v>1093</v>
      </c>
      <c r="E1438" s="120" t="s">
        <v>1094</v>
      </c>
      <c r="F1438" s="120" t="s">
        <v>18</v>
      </c>
      <c r="G1438" s="120">
        <v>45</v>
      </c>
      <c r="H1438">
        <v>43</v>
      </c>
      <c r="I1438" s="120" t="s">
        <v>57</v>
      </c>
      <c r="J1438">
        <v>2</v>
      </c>
      <c r="K1438">
        <v>0</v>
      </c>
      <c r="L1438">
        <v>13.88</v>
      </c>
      <c r="M1438">
        <v>624.6</v>
      </c>
      <c r="N1438">
        <v>596.84</v>
      </c>
    </row>
    <row r="1439" spans="1:14" x14ac:dyDescent="0.25">
      <c r="A1439" s="120" t="s">
        <v>3758</v>
      </c>
      <c r="B1439" s="120" t="s">
        <v>3759</v>
      </c>
      <c r="C1439" s="120" t="s">
        <v>69</v>
      </c>
      <c r="D1439" s="120" t="s">
        <v>1091</v>
      </c>
      <c r="E1439" s="120" t="s">
        <v>1092</v>
      </c>
      <c r="F1439" s="120" t="s">
        <v>18</v>
      </c>
      <c r="G1439" s="120">
        <v>43</v>
      </c>
      <c r="H1439">
        <v>44</v>
      </c>
      <c r="I1439" s="120" t="s">
        <v>57</v>
      </c>
      <c r="J1439">
        <v>-1</v>
      </c>
      <c r="K1439">
        <v>0</v>
      </c>
      <c r="L1439">
        <v>13.88</v>
      </c>
      <c r="M1439">
        <v>596.84</v>
      </c>
      <c r="N1439">
        <v>610.72</v>
      </c>
    </row>
    <row r="1440" spans="1:14" x14ac:dyDescent="0.25">
      <c r="A1440" s="120" t="s">
        <v>3758</v>
      </c>
      <c r="B1440" s="120" t="s">
        <v>3759</v>
      </c>
      <c r="C1440" s="120" t="s">
        <v>69</v>
      </c>
      <c r="D1440" s="120" t="s">
        <v>646</v>
      </c>
      <c r="E1440" s="120" t="s">
        <v>647</v>
      </c>
      <c r="F1440" s="120" t="s">
        <v>18</v>
      </c>
      <c r="G1440" s="120">
        <v>33</v>
      </c>
      <c r="H1440">
        <v>33</v>
      </c>
      <c r="I1440" s="120" t="s">
        <v>57</v>
      </c>
      <c r="J1440">
        <v>0</v>
      </c>
      <c r="K1440">
        <v>1</v>
      </c>
      <c r="L1440" s="121">
        <v>68</v>
      </c>
      <c r="M1440" s="121">
        <v>2244</v>
      </c>
      <c r="N1440" s="121">
        <v>2244</v>
      </c>
    </row>
    <row r="1441" spans="1:14" x14ac:dyDescent="0.25">
      <c r="A1441" s="120" t="s">
        <v>3758</v>
      </c>
      <c r="B1441" s="120" t="s">
        <v>3759</v>
      </c>
      <c r="C1441" s="120" t="s">
        <v>69</v>
      </c>
      <c r="D1441" s="120" t="s">
        <v>3782</v>
      </c>
      <c r="E1441" s="120" t="s">
        <v>3031</v>
      </c>
      <c r="F1441" s="120" t="s">
        <v>18</v>
      </c>
      <c r="G1441" s="120">
        <v>13</v>
      </c>
      <c r="H1441">
        <v>0</v>
      </c>
      <c r="I1441" s="120" t="s">
        <v>57</v>
      </c>
      <c r="J1441">
        <v>13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 s="120" t="s">
        <v>3758</v>
      </c>
      <c r="B1442" s="120" t="s">
        <v>3759</v>
      </c>
      <c r="C1442" s="120" t="s">
        <v>69</v>
      </c>
      <c r="D1442" s="120" t="s">
        <v>3784</v>
      </c>
      <c r="E1442" s="120" t="s">
        <v>3032</v>
      </c>
      <c r="F1442" s="120" t="s">
        <v>18</v>
      </c>
      <c r="G1442" s="120">
        <v>19</v>
      </c>
      <c r="H1442">
        <v>0</v>
      </c>
      <c r="I1442" s="120" t="s">
        <v>57</v>
      </c>
      <c r="J1442">
        <v>19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 s="120" t="s">
        <v>3758</v>
      </c>
      <c r="B1443" s="120" t="s">
        <v>3759</v>
      </c>
      <c r="C1443" s="120" t="s">
        <v>69</v>
      </c>
      <c r="D1443" s="120" t="s">
        <v>650</v>
      </c>
      <c r="E1443" s="120" t="s">
        <v>651</v>
      </c>
      <c r="F1443" s="120" t="s">
        <v>18</v>
      </c>
      <c r="G1443" s="120">
        <v>6</v>
      </c>
      <c r="H1443">
        <v>6</v>
      </c>
      <c r="I1443" s="120" t="s">
        <v>57</v>
      </c>
      <c r="J1443">
        <v>0</v>
      </c>
      <c r="K1443">
        <v>1</v>
      </c>
      <c r="L1443" s="121">
        <v>68</v>
      </c>
      <c r="M1443" s="121">
        <v>408</v>
      </c>
      <c r="N1443" s="121">
        <v>408</v>
      </c>
    </row>
    <row r="1444" spans="1:14" x14ac:dyDescent="0.25">
      <c r="A1444" s="120" t="s">
        <v>3758</v>
      </c>
      <c r="B1444" s="120" t="s">
        <v>3759</v>
      </c>
      <c r="C1444" s="120" t="s">
        <v>69</v>
      </c>
      <c r="D1444" s="120" t="s">
        <v>3780</v>
      </c>
      <c r="E1444" s="120" t="s">
        <v>2992</v>
      </c>
      <c r="F1444" s="120" t="s">
        <v>18</v>
      </c>
      <c r="G1444" s="120">
        <v>6</v>
      </c>
      <c r="H1444">
        <v>0</v>
      </c>
      <c r="I1444" s="120" t="s">
        <v>57</v>
      </c>
      <c r="J1444">
        <v>6</v>
      </c>
      <c r="K1444">
        <v>0</v>
      </c>
      <c r="L1444">
        <v>0</v>
      </c>
      <c r="M1444">
        <v>0</v>
      </c>
      <c r="N1444">
        <v>0</v>
      </c>
    </row>
    <row r="1445" spans="1:14" hidden="1" x14ac:dyDescent="0.25">
      <c r="A1445" s="120" t="s">
        <v>3463</v>
      </c>
      <c r="B1445" s="120" t="s">
        <v>3464</v>
      </c>
      <c r="C1445" s="120" t="s">
        <v>301</v>
      </c>
      <c r="D1445" s="120" t="s">
        <v>3476</v>
      </c>
      <c r="E1445" s="120" t="s">
        <v>42</v>
      </c>
      <c r="F1445" s="120" t="s">
        <v>18</v>
      </c>
      <c r="G1445" s="120">
        <v>3</v>
      </c>
      <c r="H1445">
        <v>0</v>
      </c>
      <c r="I1445" s="120" t="s">
        <v>11</v>
      </c>
      <c r="J1445">
        <v>3</v>
      </c>
      <c r="K1445">
        <v>0</v>
      </c>
      <c r="L1445">
        <v>0</v>
      </c>
      <c r="M1445">
        <v>0</v>
      </c>
      <c r="N1445">
        <v>0</v>
      </c>
    </row>
    <row r="1446" spans="1:14" hidden="1" x14ac:dyDescent="0.25">
      <c r="A1446" s="120" t="s">
        <v>3591</v>
      </c>
      <c r="B1446" s="120" t="s">
        <v>3592</v>
      </c>
      <c r="C1446" s="120" t="s">
        <v>301</v>
      </c>
      <c r="D1446" s="120" t="s">
        <v>545</v>
      </c>
      <c r="E1446" s="120" t="s">
        <v>381</v>
      </c>
      <c r="F1446" s="120" t="s">
        <v>18</v>
      </c>
      <c r="G1446" s="120">
        <v>0</v>
      </c>
      <c r="H1446">
        <v>3</v>
      </c>
      <c r="I1446" s="120" t="s">
        <v>47</v>
      </c>
      <c r="J1446">
        <v>-3</v>
      </c>
      <c r="K1446">
        <v>0</v>
      </c>
      <c r="L1446">
        <v>32.5</v>
      </c>
      <c r="M1446">
        <v>0</v>
      </c>
      <c r="N1446">
        <v>97.5</v>
      </c>
    </row>
    <row r="1447" spans="1:14" hidden="1" x14ac:dyDescent="0.25">
      <c r="A1447" s="120" t="s">
        <v>3463</v>
      </c>
      <c r="B1447" s="120" t="s">
        <v>3464</v>
      </c>
      <c r="C1447" s="120" t="s">
        <v>69</v>
      </c>
      <c r="D1447" s="120" t="s">
        <v>588</v>
      </c>
      <c r="E1447" s="120" t="s">
        <v>70</v>
      </c>
      <c r="F1447" s="120" t="s">
        <v>71</v>
      </c>
      <c r="G1447" s="120">
        <v>6</v>
      </c>
      <c r="H1447">
        <v>0</v>
      </c>
      <c r="I1447" s="120" t="s">
        <v>57</v>
      </c>
      <c r="J1447">
        <v>6</v>
      </c>
      <c r="K1447">
        <v>0</v>
      </c>
      <c r="L1447">
        <v>45</v>
      </c>
      <c r="M1447">
        <v>270</v>
      </c>
      <c r="N1447">
        <v>0</v>
      </c>
    </row>
    <row r="1448" spans="1:14" hidden="1" x14ac:dyDescent="0.25">
      <c r="A1448" s="120" t="s">
        <v>3463</v>
      </c>
      <c r="B1448" s="120" t="s">
        <v>3528</v>
      </c>
      <c r="C1448" s="120" t="s">
        <v>301</v>
      </c>
      <c r="D1448" s="120" t="s">
        <v>546</v>
      </c>
      <c r="E1448" s="120" t="s">
        <v>15</v>
      </c>
      <c r="F1448" s="120" t="s">
        <v>10</v>
      </c>
      <c r="G1448" s="120">
        <v>2</v>
      </c>
      <c r="H1448">
        <v>1</v>
      </c>
      <c r="I1448" s="120" t="s">
        <v>47</v>
      </c>
      <c r="J1448">
        <v>1</v>
      </c>
      <c r="K1448">
        <v>0</v>
      </c>
      <c r="L1448">
        <v>27.99</v>
      </c>
      <c r="M1448">
        <v>55.98</v>
      </c>
      <c r="N1448">
        <v>27.99</v>
      </c>
    </row>
    <row r="1449" spans="1:14" hidden="1" x14ac:dyDescent="0.25">
      <c r="A1449" s="120" t="s">
        <v>3463</v>
      </c>
      <c r="B1449" s="120" t="s">
        <v>3464</v>
      </c>
      <c r="C1449" s="120" t="s">
        <v>69</v>
      </c>
      <c r="D1449" s="120" t="s">
        <v>3487</v>
      </c>
      <c r="E1449" s="120" t="s">
        <v>78</v>
      </c>
      <c r="F1449" s="120" t="s">
        <v>10</v>
      </c>
      <c r="G1449" s="120">
        <v>54</v>
      </c>
      <c r="H1449">
        <v>0</v>
      </c>
      <c r="I1449" s="120" t="s">
        <v>47</v>
      </c>
      <c r="J1449">
        <v>54</v>
      </c>
      <c r="K1449">
        <v>0</v>
      </c>
      <c r="L1449">
        <v>0</v>
      </c>
      <c r="M1449">
        <v>0</v>
      </c>
      <c r="N1449">
        <v>0</v>
      </c>
    </row>
    <row r="1450" spans="1:14" hidden="1" x14ac:dyDescent="0.25">
      <c r="A1450" s="120" t="s">
        <v>3463</v>
      </c>
      <c r="B1450" s="120" t="s">
        <v>3464</v>
      </c>
      <c r="C1450" s="120" t="s">
        <v>69</v>
      </c>
      <c r="D1450" s="120" t="s">
        <v>3491</v>
      </c>
      <c r="E1450" s="120" t="s">
        <v>85</v>
      </c>
      <c r="F1450" s="120" t="s">
        <v>18</v>
      </c>
      <c r="G1450" s="120">
        <v>5</v>
      </c>
      <c r="H1450">
        <v>0</v>
      </c>
      <c r="I1450" s="120" t="s">
        <v>11</v>
      </c>
      <c r="J1450">
        <v>5</v>
      </c>
      <c r="K1450">
        <v>0</v>
      </c>
      <c r="L1450">
        <v>0</v>
      </c>
      <c r="M1450">
        <v>0</v>
      </c>
      <c r="N1450">
        <v>0</v>
      </c>
    </row>
    <row r="1451" spans="1:14" hidden="1" x14ac:dyDescent="0.25">
      <c r="A1451" s="120" t="s">
        <v>3591</v>
      </c>
      <c r="B1451" s="120" t="s">
        <v>3698</v>
      </c>
      <c r="C1451" s="120" t="s">
        <v>301</v>
      </c>
      <c r="D1451" s="120" t="s">
        <v>549</v>
      </c>
      <c r="E1451" s="120" t="s">
        <v>46</v>
      </c>
      <c r="F1451" s="120" t="s">
        <v>10</v>
      </c>
      <c r="G1451" s="120">
        <v>0</v>
      </c>
      <c r="H1451">
        <v>5</v>
      </c>
      <c r="I1451" s="120" t="s">
        <v>11</v>
      </c>
      <c r="J1451">
        <v>-5</v>
      </c>
      <c r="K1451">
        <v>0</v>
      </c>
      <c r="L1451">
        <v>15</v>
      </c>
      <c r="M1451">
        <v>0</v>
      </c>
      <c r="N1451">
        <v>75</v>
      </c>
    </row>
    <row r="1452" spans="1:14" hidden="1" x14ac:dyDescent="0.25">
      <c r="A1452" s="120" t="s">
        <v>3772</v>
      </c>
      <c r="B1452" s="120" t="s">
        <v>3773</v>
      </c>
      <c r="C1452" s="120" t="s">
        <v>301</v>
      </c>
      <c r="D1452" s="120" t="s">
        <v>563</v>
      </c>
      <c r="E1452" s="120" t="s">
        <v>388</v>
      </c>
      <c r="F1452" s="120" t="s">
        <v>14</v>
      </c>
      <c r="G1452" s="120">
        <v>1</v>
      </c>
      <c r="H1452">
        <v>1</v>
      </c>
      <c r="I1452" s="120" t="s">
        <v>57</v>
      </c>
      <c r="J1452">
        <v>0</v>
      </c>
      <c r="K1452">
        <v>1</v>
      </c>
      <c r="L1452" s="121">
        <v>19</v>
      </c>
      <c r="M1452" s="121">
        <v>19</v>
      </c>
      <c r="N1452" s="121">
        <v>19</v>
      </c>
    </row>
    <row r="1453" spans="1:14" hidden="1" x14ac:dyDescent="0.25">
      <c r="A1453" s="120" t="s">
        <v>3463</v>
      </c>
      <c r="B1453" s="120" t="s">
        <v>3464</v>
      </c>
      <c r="C1453" s="120" t="s">
        <v>69</v>
      </c>
      <c r="D1453" s="120" t="s">
        <v>685</v>
      </c>
      <c r="E1453" s="120" t="s">
        <v>98</v>
      </c>
      <c r="F1453" s="120" t="s">
        <v>18</v>
      </c>
      <c r="G1453" s="120">
        <v>3</v>
      </c>
      <c r="H1453">
        <v>0</v>
      </c>
      <c r="I1453" s="120" t="s">
        <v>57</v>
      </c>
      <c r="J1453">
        <v>3</v>
      </c>
      <c r="K1453">
        <v>0</v>
      </c>
      <c r="L1453">
        <v>22.8</v>
      </c>
      <c r="M1453">
        <v>68.400000000000006</v>
      </c>
      <c r="N1453">
        <v>0</v>
      </c>
    </row>
    <row r="1454" spans="1:14" hidden="1" x14ac:dyDescent="0.25">
      <c r="A1454" s="120" t="s">
        <v>3772</v>
      </c>
      <c r="B1454" s="120" t="s">
        <v>3773</v>
      </c>
      <c r="C1454" s="120" t="s">
        <v>301</v>
      </c>
      <c r="D1454" s="120" t="s">
        <v>564</v>
      </c>
      <c r="E1454" s="120" t="s">
        <v>565</v>
      </c>
      <c r="F1454" s="120"/>
      <c r="G1454" s="120">
        <v>1</v>
      </c>
      <c r="H1454">
        <v>1</v>
      </c>
      <c r="I1454" s="120" t="s">
        <v>57</v>
      </c>
      <c r="J1454">
        <v>0</v>
      </c>
      <c r="K1454">
        <v>1</v>
      </c>
      <c r="L1454" s="121">
        <v>960</v>
      </c>
      <c r="M1454" s="121">
        <v>960</v>
      </c>
      <c r="N1454" s="121">
        <v>960</v>
      </c>
    </row>
    <row r="1455" spans="1:14" hidden="1" x14ac:dyDescent="0.25">
      <c r="A1455" s="120" t="s">
        <v>3772</v>
      </c>
      <c r="B1455" s="120" t="s">
        <v>3773</v>
      </c>
      <c r="C1455" s="120" t="s">
        <v>301</v>
      </c>
      <c r="D1455" s="120" t="s">
        <v>3839</v>
      </c>
      <c r="E1455" s="120" t="s">
        <v>1925</v>
      </c>
      <c r="F1455" s="120"/>
      <c r="G1455" s="120">
        <v>0</v>
      </c>
      <c r="H1455">
        <v>0</v>
      </c>
      <c r="I1455" s="120" t="s">
        <v>57</v>
      </c>
      <c r="J1455">
        <v>0</v>
      </c>
      <c r="K1455">
        <v>1</v>
      </c>
      <c r="L1455" s="121">
        <v>0</v>
      </c>
      <c r="M1455" s="121">
        <v>0</v>
      </c>
      <c r="N1455" s="121">
        <v>0</v>
      </c>
    </row>
    <row r="1456" spans="1:14" hidden="1" x14ac:dyDescent="0.25">
      <c r="A1456" s="120" t="s">
        <v>3772</v>
      </c>
      <c r="B1456" s="120" t="s">
        <v>3773</v>
      </c>
      <c r="C1456" s="120" t="s">
        <v>301</v>
      </c>
      <c r="D1456" s="120" t="s">
        <v>1116</v>
      </c>
      <c r="E1456" s="120" t="s">
        <v>152</v>
      </c>
      <c r="F1456" s="120" t="s">
        <v>14</v>
      </c>
      <c r="G1456" s="120">
        <v>0</v>
      </c>
      <c r="H1456">
        <v>0</v>
      </c>
      <c r="I1456" s="120" t="s">
        <v>47</v>
      </c>
      <c r="J1456">
        <v>0</v>
      </c>
      <c r="K1456">
        <v>1</v>
      </c>
      <c r="L1456" s="121">
        <v>227.3</v>
      </c>
      <c r="M1456" s="121">
        <v>0</v>
      </c>
      <c r="N1456" s="121">
        <v>0</v>
      </c>
    </row>
    <row r="1457" spans="1:14" hidden="1" x14ac:dyDescent="0.25">
      <c r="A1457" s="120" t="s">
        <v>3463</v>
      </c>
      <c r="B1457" s="120" t="s">
        <v>3464</v>
      </c>
      <c r="C1457" s="120" t="s">
        <v>69</v>
      </c>
      <c r="D1457" s="120" t="s">
        <v>3506</v>
      </c>
      <c r="E1457" s="120" t="s">
        <v>109</v>
      </c>
      <c r="F1457" s="120" t="s">
        <v>18</v>
      </c>
      <c r="G1457" s="120">
        <v>12</v>
      </c>
      <c r="H1457">
        <v>0</v>
      </c>
      <c r="I1457" s="120" t="s">
        <v>47</v>
      </c>
      <c r="J1457">
        <v>12</v>
      </c>
      <c r="K1457">
        <v>0</v>
      </c>
      <c r="L1457">
        <v>0</v>
      </c>
      <c r="M1457">
        <v>0</v>
      </c>
      <c r="N1457">
        <v>0</v>
      </c>
    </row>
    <row r="1458" spans="1:14" hidden="1" x14ac:dyDescent="0.25">
      <c r="A1458" s="120" t="s">
        <v>3463</v>
      </c>
      <c r="B1458" s="120" t="s">
        <v>3464</v>
      </c>
      <c r="C1458" s="120" t="s">
        <v>69</v>
      </c>
      <c r="D1458" s="120" t="s">
        <v>3507</v>
      </c>
      <c r="E1458" s="120" t="s">
        <v>110</v>
      </c>
      <c r="F1458" s="120" t="s">
        <v>18</v>
      </c>
      <c r="G1458" s="120">
        <v>12</v>
      </c>
      <c r="H1458">
        <v>0</v>
      </c>
      <c r="I1458" s="120" t="s">
        <v>47</v>
      </c>
      <c r="J1458">
        <v>12</v>
      </c>
      <c r="K1458">
        <v>0</v>
      </c>
      <c r="L1458">
        <v>0</v>
      </c>
      <c r="M1458">
        <v>0</v>
      </c>
      <c r="N1458">
        <v>0</v>
      </c>
    </row>
    <row r="1459" spans="1:14" hidden="1" x14ac:dyDescent="0.25">
      <c r="A1459" s="120" t="s">
        <v>3463</v>
      </c>
      <c r="B1459" s="120" t="s">
        <v>3464</v>
      </c>
      <c r="C1459" s="120" t="s">
        <v>69</v>
      </c>
      <c r="D1459" s="120" t="s">
        <v>3509</v>
      </c>
      <c r="E1459" s="120" t="s">
        <v>116</v>
      </c>
      <c r="F1459" s="120" t="s">
        <v>14</v>
      </c>
      <c r="G1459" s="120">
        <v>125</v>
      </c>
      <c r="H1459">
        <v>0</v>
      </c>
      <c r="I1459" s="120" t="s">
        <v>47</v>
      </c>
      <c r="J1459">
        <v>125</v>
      </c>
      <c r="K1459">
        <v>0</v>
      </c>
      <c r="L1459">
        <v>0</v>
      </c>
      <c r="M1459">
        <v>0</v>
      </c>
      <c r="N1459">
        <v>0</v>
      </c>
    </row>
    <row r="1460" spans="1:14" hidden="1" x14ac:dyDescent="0.25">
      <c r="A1460" s="120" t="s">
        <v>3463</v>
      </c>
      <c r="B1460" s="120" t="s">
        <v>3464</v>
      </c>
      <c r="C1460" s="120" t="s">
        <v>69</v>
      </c>
      <c r="D1460" s="120" t="s">
        <v>1218</v>
      </c>
      <c r="E1460" s="120" t="s">
        <v>118</v>
      </c>
      <c r="F1460" s="120" t="s">
        <v>18</v>
      </c>
      <c r="G1460" s="120">
        <v>57</v>
      </c>
      <c r="H1460">
        <v>0</v>
      </c>
      <c r="I1460" s="120" t="s">
        <v>11</v>
      </c>
      <c r="J1460">
        <v>57</v>
      </c>
      <c r="K1460">
        <v>0</v>
      </c>
      <c r="L1460">
        <v>42</v>
      </c>
      <c r="M1460">
        <v>2394</v>
      </c>
      <c r="N1460">
        <v>0</v>
      </c>
    </row>
    <row r="1461" spans="1:14" hidden="1" x14ac:dyDescent="0.25">
      <c r="A1461" s="120" t="s">
        <v>3772</v>
      </c>
      <c r="B1461" s="120" t="s">
        <v>3773</v>
      </c>
      <c r="C1461" s="120" t="s">
        <v>301</v>
      </c>
      <c r="D1461" s="120" t="s">
        <v>1777</v>
      </c>
      <c r="E1461" s="120" t="s">
        <v>497</v>
      </c>
      <c r="F1461" s="120" t="s">
        <v>10</v>
      </c>
      <c r="G1461" s="120">
        <v>0</v>
      </c>
      <c r="H1461">
        <v>0</v>
      </c>
      <c r="I1461" s="120" t="s">
        <v>57</v>
      </c>
      <c r="J1461">
        <v>0</v>
      </c>
      <c r="K1461">
        <v>1</v>
      </c>
      <c r="L1461" s="121">
        <v>200</v>
      </c>
      <c r="M1461" s="121">
        <v>0</v>
      </c>
      <c r="N1461" s="121">
        <v>0</v>
      </c>
    </row>
    <row r="1462" spans="1:14" hidden="1" x14ac:dyDescent="0.25">
      <c r="A1462" s="120" t="s">
        <v>3591</v>
      </c>
      <c r="B1462" s="120" t="s">
        <v>3698</v>
      </c>
      <c r="C1462" s="120" t="s">
        <v>301</v>
      </c>
      <c r="D1462" s="120" t="s">
        <v>563</v>
      </c>
      <c r="E1462" s="120" t="s">
        <v>388</v>
      </c>
      <c r="F1462" s="120" t="s">
        <v>14</v>
      </c>
      <c r="G1462" s="120">
        <v>0</v>
      </c>
      <c r="H1462">
        <v>3</v>
      </c>
      <c r="I1462" s="120" t="s">
        <v>47</v>
      </c>
      <c r="J1462">
        <v>-3</v>
      </c>
      <c r="K1462">
        <v>0</v>
      </c>
      <c r="L1462">
        <v>19</v>
      </c>
      <c r="M1462">
        <v>0</v>
      </c>
      <c r="N1462">
        <v>57</v>
      </c>
    </row>
    <row r="1463" spans="1:14" hidden="1" x14ac:dyDescent="0.25">
      <c r="A1463" s="120" t="s">
        <v>3772</v>
      </c>
      <c r="B1463" s="120" t="s">
        <v>3773</v>
      </c>
      <c r="C1463" s="120" t="s">
        <v>301</v>
      </c>
      <c r="D1463" s="120" t="s">
        <v>1222</v>
      </c>
      <c r="E1463" s="120" t="s">
        <v>1223</v>
      </c>
      <c r="F1463" s="120"/>
      <c r="G1463" s="120">
        <v>1</v>
      </c>
      <c r="H1463">
        <v>1</v>
      </c>
      <c r="I1463" s="120" t="s">
        <v>57</v>
      </c>
      <c r="J1463">
        <v>0</v>
      </c>
      <c r="K1463">
        <v>1</v>
      </c>
      <c r="L1463" s="121">
        <v>10</v>
      </c>
      <c r="M1463" s="121">
        <v>10</v>
      </c>
      <c r="N1463" s="121">
        <v>10</v>
      </c>
    </row>
    <row r="1464" spans="1:14" hidden="1" x14ac:dyDescent="0.25">
      <c r="A1464" s="120" t="s">
        <v>3463</v>
      </c>
      <c r="B1464" s="120" t="s">
        <v>3510</v>
      </c>
      <c r="C1464" s="120" t="s">
        <v>301</v>
      </c>
      <c r="D1464" s="120" t="s">
        <v>621</v>
      </c>
      <c r="E1464" s="120" t="s">
        <v>133</v>
      </c>
      <c r="F1464" s="120" t="s">
        <v>18</v>
      </c>
      <c r="G1464" s="120">
        <v>2</v>
      </c>
      <c r="H1464">
        <v>3</v>
      </c>
      <c r="I1464" s="120" t="s">
        <v>47</v>
      </c>
      <c r="J1464">
        <v>-1</v>
      </c>
      <c r="K1464">
        <v>0</v>
      </c>
      <c r="L1464">
        <v>11</v>
      </c>
      <c r="M1464">
        <v>22</v>
      </c>
      <c r="N1464">
        <v>33</v>
      </c>
    </row>
    <row r="1465" spans="1:14" hidden="1" x14ac:dyDescent="0.25">
      <c r="A1465" s="120" t="s">
        <v>3772</v>
      </c>
      <c r="B1465" s="120" t="s">
        <v>3773</v>
      </c>
      <c r="C1465" s="120" t="s">
        <v>301</v>
      </c>
      <c r="D1465" s="120" t="s">
        <v>1236</v>
      </c>
      <c r="E1465" s="120" t="s">
        <v>1237</v>
      </c>
      <c r="F1465" s="120"/>
      <c r="G1465" s="120">
        <v>20</v>
      </c>
      <c r="H1465">
        <v>20</v>
      </c>
      <c r="I1465" s="120" t="s">
        <v>57</v>
      </c>
      <c r="J1465">
        <v>0</v>
      </c>
      <c r="K1465">
        <v>1</v>
      </c>
      <c r="L1465" s="121">
        <v>35</v>
      </c>
      <c r="M1465" s="121">
        <v>700</v>
      </c>
      <c r="N1465" s="121">
        <v>700</v>
      </c>
    </row>
    <row r="1466" spans="1:14" hidden="1" x14ac:dyDescent="0.25">
      <c r="A1466" s="120" t="s">
        <v>3772</v>
      </c>
      <c r="B1466" s="120" t="s">
        <v>3773</v>
      </c>
      <c r="C1466" s="120" t="s">
        <v>301</v>
      </c>
      <c r="D1466" s="120" t="s">
        <v>536</v>
      </c>
      <c r="E1466" s="120" t="s">
        <v>537</v>
      </c>
      <c r="F1466" s="120"/>
      <c r="G1466" s="120">
        <v>0</v>
      </c>
      <c r="H1466">
        <v>0</v>
      </c>
      <c r="I1466" s="120" t="s">
        <v>57</v>
      </c>
      <c r="J1466">
        <v>0</v>
      </c>
      <c r="K1466">
        <v>1</v>
      </c>
      <c r="L1466" s="121">
        <v>67</v>
      </c>
      <c r="M1466" s="121">
        <v>0</v>
      </c>
      <c r="N1466" s="121">
        <v>0</v>
      </c>
    </row>
    <row r="1467" spans="1:14" hidden="1" x14ac:dyDescent="0.25">
      <c r="A1467" s="120" t="s">
        <v>3772</v>
      </c>
      <c r="B1467" s="120" t="s">
        <v>3773</v>
      </c>
      <c r="C1467" s="120" t="s">
        <v>301</v>
      </c>
      <c r="D1467" s="120" t="s">
        <v>3861</v>
      </c>
      <c r="E1467" s="120" t="s">
        <v>3828</v>
      </c>
      <c r="F1467" s="120"/>
      <c r="G1467" s="120">
        <v>0</v>
      </c>
      <c r="H1467">
        <v>0</v>
      </c>
      <c r="I1467" s="120" t="s">
        <v>57</v>
      </c>
      <c r="J1467">
        <v>0</v>
      </c>
      <c r="K1467">
        <v>1</v>
      </c>
      <c r="L1467" s="121">
        <v>0</v>
      </c>
      <c r="M1467" s="121">
        <v>0</v>
      </c>
      <c r="N1467" s="121">
        <v>0</v>
      </c>
    </row>
    <row r="1468" spans="1:14" hidden="1" x14ac:dyDescent="0.25">
      <c r="A1468" s="120" t="s">
        <v>3772</v>
      </c>
      <c r="B1468" s="120" t="s">
        <v>3773</v>
      </c>
      <c r="C1468" s="120" t="s">
        <v>301</v>
      </c>
      <c r="D1468" s="120" t="s">
        <v>3862</v>
      </c>
      <c r="E1468" s="120" t="s">
        <v>1906</v>
      </c>
      <c r="F1468" s="120"/>
      <c r="G1468" s="120">
        <v>0</v>
      </c>
      <c r="H1468">
        <v>0</v>
      </c>
      <c r="I1468" s="120" t="s">
        <v>57</v>
      </c>
      <c r="J1468">
        <v>0</v>
      </c>
      <c r="K1468">
        <v>1</v>
      </c>
      <c r="L1468" s="121">
        <v>0</v>
      </c>
      <c r="M1468" s="121">
        <v>0</v>
      </c>
      <c r="N1468" s="121">
        <v>0</v>
      </c>
    </row>
    <row r="1469" spans="1:14" hidden="1" x14ac:dyDescent="0.25">
      <c r="A1469" s="120" t="s">
        <v>3463</v>
      </c>
      <c r="B1469" s="120" t="s">
        <v>3510</v>
      </c>
      <c r="C1469" s="120" t="s">
        <v>301</v>
      </c>
      <c r="D1469" s="120" t="s">
        <v>3514</v>
      </c>
      <c r="E1469" s="120" t="s">
        <v>141</v>
      </c>
      <c r="F1469" s="120" t="s">
        <v>10</v>
      </c>
      <c r="G1469" s="120">
        <v>1</v>
      </c>
      <c r="H1469">
        <v>0</v>
      </c>
      <c r="I1469" s="120" t="s">
        <v>57</v>
      </c>
      <c r="J1469">
        <v>1</v>
      </c>
      <c r="K1469">
        <v>0</v>
      </c>
      <c r="L1469">
        <v>0</v>
      </c>
      <c r="M1469">
        <v>0</v>
      </c>
      <c r="N1469">
        <v>0</v>
      </c>
    </row>
    <row r="1470" spans="1:14" hidden="1" x14ac:dyDescent="0.25">
      <c r="A1470" s="120" t="s">
        <v>3772</v>
      </c>
      <c r="B1470" s="120" t="s">
        <v>3773</v>
      </c>
      <c r="C1470" s="120" t="s">
        <v>301</v>
      </c>
      <c r="D1470" s="120" t="s">
        <v>3863</v>
      </c>
      <c r="E1470" s="120" t="s">
        <v>1923</v>
      </c>
      <c r="F1470" s="120"/>
      <c r="G1470" s="120">
        <v>0</v>
      </c>
      <c r="H1470">
        <v>0</v>
      </c>
      <c r="I1470" s="120" t="s">
        <v>57</v>
      </c>
      <c r="J1470">
        <v>0</v>
      </c>
      <c r="K1470">
        <v>1</v>
      </c>
      <c r="L1470" s="121">
        <v>0</v>
      </c>
      <c r="M1470" s="121">
        <v>0</v>
      </c>
      <c r="N1470" s="121">
        <v>0</v>
      </c>
    </row>
    <row r="1471" spans="1:14" hidden="1" x14ac:dyDescent="0.25">
      <c r="A1471" s="120" t="s">
        <v>3463</v>
      </c>
      <c r="B1471" s="120" t="s">
        <v>3510</v>
      </c>
      <c r="C1471" s="120" t="s">
        <v>301</v>
      </c>
      <c r="D1471" s="120" t="s">
        <v>3471</v>
      </c>
      <c r="E1471" s="120" t="s">
        <v>30</v>
      </c>
      <c r="F1471" s="120" t="s">
        <v>10</v>
      </c>
      <c r="G1471" s="120">
        <v>3</v>
      </c>
      <c r="H1471">
        <v>0</v>
      </c>
      <c r="I1471" s="120" t="s">
        <v>47</v>
      </c>
      <c r="J1471">
        <v>3</v>
      </c>
      <c r="K1471">
        <v>0</v>
      </c>
      <c r="L1471">
        <v>0</v>
      </c>
      <c r="M1471">
        <v>0</v>
      </c>
      <c r="N1471">
        <v>0</v>
      </c>
    </row>
    <row r="1472" spans="1:14" hidden="1" x14ac:dyDescent="0.25">
      <c r="A1472" s="120" t="s">
        <v>3463</v>
      </c>
      <c r="B1472" s="120" t="s">
        <v>3510</v>
      </c>
      <c r="C1472" s="120" t="s">
        <v>301</v>
      </c>
      <c r="D1472" s="120" t="s">
        <v>721</v>
      </c>
      <c r="E1472" s="120" t="s">
        <v>143</v>
      </c>
      <c r="F1472" s="120" t="s">
        <v>18</v>
      </c>
      <c r="G1472" s="120">
        <v>5</v>
      </c>
      <c r="H1472">
        <v>4</v>
      </c>
      <c r="I1472" s="120" t="s">
        <v>47</v>
      </c>
      <c r="J1472">
        <v>1</v>
      </c>
      <c r="K1472">
        <v>0</v>
      </c>
      <c r="L1472">
        <v>60</v>
      </c>
      <c r="M1472">
        <v>300</v>
      </c>
      <c r="N1472">
        <v>240</v>
      </c>
    </row>
    <row r="1473" spans="1:14" hidden="1" x14ac:dyDescent="0.25">
      <c r="A1473" s="120" t="s">
        <v>3591</v>
      </c>
      <c r="B1473" s="120" t="s">
        <v>3592</v>
      </c>
      <c r="C1473" s="120" t="s">
        <v>69</v>
      </c>
      <c r="D1473" s="120" t="s">
        <v>572</v>
      </c>
      <c r="E1473" s="120" t="s">
        <v>502</v>
      </c>
      <c r="F1473" s="120" t="s">
        <v>18</v>
      </c>
      <c r="G1473" s="120">
        <v>1</v>
      </c>
      <c r="H1473">
        <v>1</v>
      </c>
      <c r="I1473" s="120" t="s">
        <v>57</v>
      </c>
      <c r="J1473">
        <v>0</v>
      </c>
      <c r="K1473">
        <v>1</v>
      </c>
      <c r="L1473" s="121">
        <v>33.979999999999997</v>
      </c>
      <c r="M1473" s="121">
        <v>33.979999999999997</v>
      </c>
      <c r="N1473" s="121">
        <v>33.979999999999997</v>
      </c>
    </row>
    <row r="1474" spans="1:14" hidden="1" x14ac:dyDescent="0.25">
      <c r="A1474" s="120" t="s">
        <v>3591</v>
      </c>
      <c r="B1474" s="120" t="s">
        <v>3592</v>
      </c>
      <c r="C1474" s="120" t="s">
        <v>69</v>
      </c>
      <c r="D1474" s="120" t="s">
        <v>576</v>
      </c>
      <c r="E1474" s="120" t="s">
        <v>503</v>
      </c>
      <c r="F1474" s="120" t="s">
        <v>18</v>
      </c>
      <c r="G1474" s="120">
        <v>3</v>
      </c>
      <c r="H1474">
        <v>1</v>
      </c>
      <c r="I1474" s="120" t="s">
        <v>57</v>
      </c>
      <c r="J1474">
        <v>2</v>
      </c>
      <c r="K1474">
        <v>0</v>
      </c>
      <c r="L1474" s="121">
        <v>33.979999999999997</v>
      </c>
      <c r="M1474" s="121">
        <v>101.94</v>
      </c>
      <c r="N1474" s="121">
        <v>33.979999999999997</v>
      </c>
    </row>
    <row r="1475" spans="1:14" hidden="1" x14ac:dyDescent="0.25">
      <c r="A1475" s="120" t="s">
        <v>3591</v>
      </c>
      <c r="B1475" s="120" t="s">
        <v>3701</v>
      </c>
      <c r="C1475" s="120" t="s">
        <v>69</v>
      </c>
      <c r="D1475" s="120" t="s">
        <v>576</v>
      </c>
      <c r="E1475" s="120" t="s">
        <v>577</v>
      </c>
      <c r="F1475" s="120" t="s">
        <v>233</v>
      </c>
      <c r="G1475" s="120">
        <v>0</v>
      </c>
      <c r="H1475">
        <v>2</v>
      </c>
      <c r="I1475" s="120" t="s">
        <v>57</v>
      </c>
      <c r="J1475">
        <v>-2</v>
      </c>
      <c r="K1475">
        <v>0</v>
      </c>
      <c r="L1475">
        <v>33.979999999999997</v>
      </c>
      <c r="M1475">
        <v>0</v>
      </c>
      <c r="N1475">
        <v>67.959999999999994</v>
      </c>
    </row>
    <row r="1476" spans="1:14" hidden="1" x14ac:dyDescent="0.25">
      <c r="A1476" s="120" t="s">
        <v>3772</v>
      </c>
      <c r="B1476" s="120" t="s">
        <v>3773</v>
      </c>
      <c r="C1476" s="120" t="s">
        <v>301</v>
      </c>
      <c r="D1476" s="120" t="s">
        <v>3864</v>
      </c>
      <c r="E1476" s="120" t="s">
        <v>3829</v>
      </c>
      <c r="F1476" s="120"/>
      <c r="G1476" s="120">
        <v>0</v>
      </c>
      <c r="H1476">
        <v>0</v>
      </c>
      <c r="I1476" s="120" t="s">
        <v>57</v>
      </c>
      <c r="J1476">
        <v>0</v>
      </c>
      <c r="K1476">
        <v>1</v>
      </c>
      <c r="L1476" s="121">
        <v>0</v>
      </c>
      <c r="M1476" s="121">
        <v>0</v>
      </c>
      <c r="N1476" s="121">
        <v>0</v>
      </c>
    </row>
    <row r="1477" spans="1:14" hidden="1" x14ac:dyDescent="0.25">
      <c r="A1477" s="120" t="s">
        <v>3772</v>
      </c>
      <c r="B1477" s="120" t="s">
        <v>3773</v>
      </c>
      <c r="C1477" s="120" t="s">
        <v>301</v>
      </c>
      <c r="D1477" s="120" t="s">
        <v>3865</v>
      </c>
      <c r="E1477" s="120" t="s">
        <v>3830</v>
      </c>
      <c r="F1477" s="120"/>
      <c r="G1477" s="120">
        <v>0</v>
      </c>
      <c r="H1477">
        <v>0</v>
      </c>
      <c r="I1477" s="120" t="s">
        <v>57</v>
      </c>
      <c r="J1477">
        <v>0</v>
      </c>
      <c r="K1477">
        <v>1</v>
      </c>
      <c r="L1477" s="121">
        <v>0</v>
      </c>
      <c r="M1477" s="121">
        <v>0</v>
      </c>
      <c r="N1477" s="121">
        <v>0</v>
      </c>
    </row>
    <row r="1478" spans="1:14" hidden="1" x14ac:dyDescent="0.25">
      <c r="A1478" s="120" t="s">
        <v>3772</v>
      </c>
      <c r="B1478" s="120" t="s">
        <v>3773</v>
      </c>
      <c r="C1478" s="120" t="s">
        <v>301</v>
      </c>
      <c r="D1478" s="120" t="s">
        <v>3715</v>
      </c>
      <c r="E1478" s="120" t="s">
        <v>2006</v>
      </c>
      <c r="F1478" s="120" t="s">
        <v>10</v>
      </c>
      <c r="G1478" s="120">
        <v>0</v>
      </c>
      <c r="H1478">
        <v>0</v>
      </c>
      <c r="I1478" s="120" t="s">
        <v>47</v>
      </c>
      <c r="J1478">
        <v>0</v>
      </c>
      <c r="K1478">
        <v>1</v>
      </c>
      <c r="L1478" s="121">
        <v>0</v>
      </c>
      <c r="M1478" s="121">
        <v>0</v>
      </c>
      <c r="N1478" s="121">
        <v>0</v>
      </c>
    </row>
    <row r="1479" spans="1:14" hidden="1" x14ac:dyDescent="0.25">
      <c r="A1479" s="120" t="s">
        <v>3463</v>
      </c>
      <c r="B1479" s="120" t="s">
        <v>3510</v>
      </c>
      <c r="C1479" s="120" t="s">
        <v>69</v>
      </c>
      <c r="D1479" s="120" t="s">
        <v>589</v>
      </c>
      <c r="E1479" s="120" t="s">
        <v>72</v>
      </c>
      <c r="F1479" s="120" t="s">
        <v>71</v>
      </c>
      <c r="G1479" s="120">
        <v>1</v>
      </c>
      <c r="H1479">
        <v>1</v>
      </c>
      <c r="I1479" s="120" t="s">
        <v>57</v>
      </c>
      <c r="J1479">
        <v>0</v>
      </c>
      <c r="K1479">
        <v>1</v>
      </c>
      <c r="L1479" s="121">
        <v>45</v>
      </c>
      <c r="M1479" s="121">
        <v>45</v>
      </c>
      <c r="N1479" s="121">
        <v>45</v>
      </c>
    </row>
    <row r="1480" spans="1:14" hidden="1" x14ac:dyDescent="0.25">
      <c r="A1480" s="120" t="s">
        <v>3591</v>
      </c>
      <c r="B1480" s="120" t="s">
        <v>3592</v>
      </c>
      <c r="C1480" s="120" t="s">
        <v>69</v>
      </c>
      <c r="D1480" s="120" t="s">
        <v>589</v>
      </c>
      <c r="E1480" s="120" t="s">
        <v>72</v>
      </c>
      <c r="F1480" s="120" t="s">
        <v>71</v>
      </c>
      <c r="G1480" s="120">
        <v>4</v>
      </c>
      <c r="H1480">
        <v>4</v>
      </c>
      <c r="I1480" s="120" t="s">
        <v>57</v>
      </c>
      <c r="J1480">
        <v>0</v>
      </c>
      <c r="K1480">
        <v>1</v>
      </c>
      <c r="L1480" s="121">
        <v>45</v>
      </c>
      <c r="M1480" s="121">
        <v>180</v>
      </c>
      <c r="N1480" s="121">
        <v>180</v>
      </c>
    </row>
    <row r="1481" spans="1:14" hidden="1" x14ac:dyDescent="0.25">
      <c r="A1481" s="120" t="s">
        <v>3463</v>
      </c>
      <c r="B1481" s="120" t="s">
        <v>3510</v>
      </c>
      <c r="C1481" s="120" t="s">
        <v>301</v>
      </c>
      <c r="D1481" s="120" t="s">
        <v>3485</v>
      </c>
      <c r="E1481" s="120" t="s">
        <v>66</v>
      </c>
      <c r="F1481" s="120" t="s">
        <v>14</v>
      </c>
      <c r="G1481" s="120">
        <v>3</v>
      </c>
      <c r="H1481">
        <v>0</v>
      </c>
      <c r="I1481" s="120" t="s">
        <v>57</v>
      </c>
      <c r="J1481">
        <v>3</v>
      </c>
      <c r="K1481">
        <v>0</v>
      </c>
      <c r="L1481">
        <v>0</v>
      </c>
      <c r="M1481">
        <v>0</v>
      </c>
      <c r="N1481">
        <v>0</v>
      </c>
    </row>
    <row r="1482" spans="1:14" hidden="1" x14ac:dyDescent="0.25">
      <c r="A1482" s="120" t="s">
        <v>3591</v>
      </c>
      <c r="B1482" s="120" t="s">
        <v>3709</v>
      </c>
      <c r="C1482" s="120" t="s">
        <v>69</v>
      </c>
      <c r="D1482" s="120" t="s">
        <v>589</v>
      </c>
      <c r="E1482" s="120" t="s">
        <v>72</v>
      </c>
      <c r="F1482" s="120" t="s">
        <v>71</v>
      </c>
      <c r="G1482" s="120">
        <v>0</v>
      </c>
      <c r="H1482">
        <v>1</v>
      </c>
      <c r="I1482" s="120" t="s">
        <v>57</v>
      </c>
      <c r="J1482">
        <v>-1</v>
      </c>
      <c r="K1482">
        <v>0</v>
      </c>
      <c r="L1482">
        <v>45</v>
      </c>
      <c r="M1482">
        <v>0</v>
      </c>
      <c r="N1482">
        <v>45</v>
      </c>
    </row>
    <row r="1483" spans="1:14" hidden="1" x14ac:dyDescent="0.25">
      <c r="A1483" s="120" t="s">
        <v>3772</v>
      </c>
      <c r="B1483" s="120" t="s">
        <v>3773</v>
      </c>
      <c r="C1483" s="120" t="s">
        <v>301</v>
      </c>
      <c r="D1483" s="120" t="s">
        <v>3866</v>
      </c>
      <c r="E1483" s="120" t="s">
        <v>3831</v>
      </c>
      <c r="F1483" s="120"/>
      <c r="G1483" s="120">
        <v>0</v>
      </c>
      <c r="H1483">
        <v>0</v>
      </c>
      <c r="I1483" s="120" t="s">
        <v>57</v>
      </c>
      <c r="J1483">
        <v>0</v>
      </c>
      <c r="K1483">
        <v>1</v>
      </c>
      <c r="L1483" s="121">
        <v>0</v>
      </c>
      <c r="M1483" s="121">
        <v>0</v>
      </c>
      <c r="N1483" s="121">
        <v>0</v>
      </c>
    </row>
    <row r="1484" spans="1:14" hidden="1" x14ac:dyDescent="0.25">
      <c r="A1484" s="120" t="s">
        <v>3772</v>
      </c>
      <c r="B1484" s="120" t="s">
        <v>3773</v>
      </c>
      <c r="C1484" s="120" t="s">
        <v>301</v>
      </c>
      <c r="D1484" s="120" t="s">
        <v>706</v>
      </c>
      <c r="E1484" s="120" t="s">
        <v>428</v>
      </c>
      <c r="F1484" s="120" t="s">
        <v>10</v>
      </c>
      <c r="G1484" s="120">
        <v>0</v>
      </c>
      <c r="H1484">
        <v>0</v>
      </c>
      <c r="I1484" s="120" t="s">
        <v>11</v>
      </c>
      <c r="J1484">
        <v>0</v>
      </c>
      <c r="K1484">
        <v>1</v>
      </c>
      <c r="L1484" s="121">
        <v>2.9</v>
      </c>
      <c r="M1484" s="121">
        <v>0</v>
      </c>
      <c r="N1484" s="121">
        <v>0</v>
      </c>
    </row>
    <row r="1485" spans="1:14" hidden="1" x14ac:dyDescent="0.25">
      <c r="A1485" s="120" t="s">
        <v>3772</v>
      </c>
      <c r="B1485" s="120" t="s">
        <v>3773</v>
      </c>
      <c r="C1485" s="120" t="s">
        <v>301</v>
      </c>
      <c r="D1485" s="120" t="s">
        <v>707</v>
      </c>
      <c r="E1485" s="120" t="s">
        <v>429</v>
      </c>
      <c r="F1485" s="120" t="s">
        <v>10</v>
      </c>
      <c r="G1485" s="120">
        <v>0</v>
      </c>
      <c r="H1485">
        <v>0</v>
      </c>
      <c r="I1485" s="120" t="s">
        <v>11</v>
      </c>
      <c r="J1485">
        <v>0</v>
      </c>
      <c r="K1485">
        <v>1</v>
      </c>
      <c r="L1485" s="121">
        <v>5.9</v>
      </c>
      <c r="M1485" s="121">
        <v>0</v>
      </c>
      <c r="N1485" s="121">
        <v>0</v>
      </c>
    </row>
    <row r="1486" spans="1:14" hidden="1" x14ac:dyDescent="0.25">
      <c r="A1486" s="120" t="s">
        <v>3463</v>
      </c>
      <c r="B1486" s="120" t="s">
        <v>3510</v>
      </c>
      <c r="C1486" s="120" t="s">
        <v>301</v>
      </c>
      <c r="D1486" s="120" t="s">
        <v>3517</v>
      </c>
      <c r="E1486" s="120" t="s">
        <v>156</v>
      </c>
      <c r="F1486" s="120" t="s">
        <v>157</v>
      </c>
      <c r="G1486" s="120">
        <v>1</v>
      </c>
      <c r="H1486">
        <v>0</v>
      </c>
      <c r="I1486" s="120" t="s">
        <v>57</v>
      </c>
      <c r="J1486">
        <v>1</v>
      </c>
      <c r="K1486">
        <v>0</v>
      </c>
      <c r="L1486">
        <v>0</v>
      </c>
      <c r="M1486">
        <v>0</v>
      </c>
      <c r="N1486">
        <v>0</v>
      </c>
    </row>
    <row r="1487" spans="1:14" hidden="1" x14ac:dyDescent="0.25">
      <c r="A1487" s="120" t="s">
        <v>3591</v>
      </c>
      <c r="B1487" s="120" t="s">
        <v>3709</v>
      </c>
      <c r="C1487" s="120" t="s">
        <v>69</v>
      </c>
      <c r="D1487" s="120" t="s">
        <v>590</v>
      </c>
      <c r="E1487" s="120" t="s">
        <v>73</v>
      </c>
      <c r="F1487" s="120" t="s">
        <v>71</v>
      </c>
      <c r="G1487" s="120">
        <v>1</v>
      </c>
      <c r="H1487">
        <v>1</v>
      </c>
      <c r="I1487" s="120" t="s">
        <v>57</v>
      </c>
      <c r="J1487">
        <v>0</v>
      </c>
      <c r="K1487">
        <v>1</v>
      </c>
      <c r="L1487" s="121">
        <v>54</v>
      </c>
      <c r="M1487" s="121">
        <v>54</v>
      </c>
      <c r="N1487" s="121">
        <v>54</v>
      </c>
    </row>
    <row r="1488" spans="1:14" hidden="1" x14ac:dyDescent="0.25">
      <c r="A1488" s="120" t="s">
        <v>3591</v>
      </c>
      <c r="B1488" s="120" t="s">
        <v>3693</v>
      </c>
      <c r="C1488" s="120" t="s">
        <v>69</v>
      </c>
      <c r="D1488" s="120" t="s">
        <v>591</v>
      </c>
      <c r="E1488" s="120" t="s">
        <v>74</v>
      </c>
      <c r="F1488" s="120" t="s">
        <v>71</v>
      </c>
      <c r="G1488" s="120">
        <v>2</v>
      </c>
      <c r="H1488">
        <v>2</v>
      </c>
      <c r="I1488" s="120" t="s">
        <v>57</v>
      </c>
      <c r="J1488">
        <v>0</v>
      </c>
      <c r="K1488">
        <v>1</v>
      </c>
      <c r="L1488" s="121">
        <v>54</v>
      </c>
      <c r="M1488" s="121">
        <v>108</v>
      </c>
      <c r="N1488" s="121">
        <v>108</v>
      </c>
    </row>
    <row r="1489" spans="1:14" hidden="1" x14ac:dyDescent="0.25">
      <c r="A1489" s="120" t="s">
        <v>3463</v>
      </c>
      <c r="B1489" s="120" t="s">
        <v>3510</v>
      </c>
      <c r="C1489" s="120" t="s">
        <v>69</v>
      </c>
      <c r="D1489" s="120" t="s">
        <v>3524</v>
      </c>
      <c r="E1489" s="120" t="s">
        <v>169</v>
      </c>
      <c r="F1489" s="120" t="s">
        <v>14</v>
      </c>
      <c r="G1489" s="120">
        <v>1</v>
      </c>
      <c r="H1489">
        <v>0</v>
      </c>
      <c r="I1489" s="120" t="s">
        <v>11</v>
      </c>
      <c r="J1489">
        <v>1</v>
      </c>
      <c r="K1489">
        <v>0</v>
      </c>
      <c r="L1489">
        <v>0</v>
      </c>
      <c r="M1489">
        <v>0</v>
      </c>
      <c r="N1489">
        <v>0</v>
      </c>
    </row>
    <row r="1490" spans="1:14" hidden="1" x14ac:dyDescent="0.25">
      <c r="A1490" s="120" t="s">
        <v>3463</v>
      </c>
      <c r="B1490" s="120" t="s">
        <v>3510</v>
      </c>
      <c r="C1490" s="120" t="s">
        <v>69</v>
      </c>
      <c r="D1490" s="120" t="s">
        <v>595</v>
      </c>
      <c r="E1490" s="120" t="s">
        <v>172</v>
      </c>
      <c r="F1490" s="120" t="s">
        <v>71</v>
      </c>
      <c r="G1490" s="120">
        <v>1</v>
      </c>
      <c r="H1490">
        <v>1</v>
      </c>
      <c r="I1490" s="120" t="s">
        <v>57</v>
      </c>
      <c r="J1490">
        <v>0</v>
      </c>
      <c r="K1490">
        <v>1</v>
      </c>
      <c r="L1490" s="121">
        <v>54</v>
      </c>
      <c r="M1490" s="121">
        <v>54</v>
      </c>
      <c r="N1490" s="121">
        <v>54</v>
      </c>
    </row>
    <row r="1491" spans="1:14" hidden="1" x14ac:dyDescent="0.25">
      <c r="A1491" s="120" t="s">
        <v>3463</v>
      </c>
      <c r="B1491" s="120" t="s">
        <v>3510</v>
      </c>
      <c r="C1491" s="120" t="s">
        <v>69</v>
      </c>
      <c r="D1491" s="120" t="s">
        <v>596</v>
      </c>
      <c r="E1491" s="120" t="s">
        <v>173</v>
      </c>
      <c r="F1491" s="120" t="s">
        <v>71</v>
      </c>
      <c r="G1491" s="120">
        <v>1</v>
      </c>
      <c r="H1491">
        <v>1</v>
      </c>
      <c r="I1491" s="120" t="s">
        <v>57</v>
      </c>
      <c r="J1491">
        <v>0</v>
      </c>
      <c r="K1491">
        <v>1</v>
      </c>
      <c r="L1491" s="121">
        <v>56</v>
      </c>
      <c r="M1491" s="121">
        <v>56</v>
      </c>
      <c r="N1491" s="121">
        <v>56</v>
      </c>
    </row>
    <row r="1492" spans="1:14" hidden="1" x14ac:dyDescent="0.25">
      <c r="A1492" s="120" t="s">
        <v>3463</v>
      </c>
      <c r="B1492" s="120" t="s">
        <v>3510</v>
      </c>
      <c r="C1492" s="120" t="s">
        <v>69</v>
      </c>
      <c r="D1492" s="120" t="s">
        <v>597</v>
      </c>
      <c r="E1492" s="120" t="s">
        <v>174</v>
      </c>
      <c r="F1492" s="120" t="s">
        <v>71</v>
      </c>
      <c r="G1492" s="120">
        <v>2</v>
      </c>
      <c r="H1492">
        <v>2</v>
      </c>
      <c r="I1492" s="120" t="s">
        <v>57</v>
      </c>
      <c r="J1492">
        <v>0</v>
      </c>
      <c r="K1492">
        <v>1</v>
      </c>
      <c r="L1492" s="121">
        <v>54</v>
      </c>
      <c r="M1492" s="121">
        <v>108</v>
      </c>
      <c r="N1492" s="121">
        <v>108</v>
      </c>
    </row>
    <row r="1493" spans="1:14" hidden="1" x14ac:dyDescent="0.25">
      <c r="A1493" s="120" t="s">
        <v>3463</v>
      </c>
      <c r="B1493" s="120" t="s">
        <v>3510</v>
      </c>
      <c r="C1493" s="120" t="s">
        <v>69</v>
      </c>
      <c r="D1493" s="120" t="s">
        <v>598</v>
      </c>
      <c r="E1493" s="120" t="s">
        <v>77</v>
      </c>
      <c r="F1493" s="120" t="s">
        <v>71</v>
      </c>
      <c r="G1493" s="120">
        <v>2</v>
      </c>
      <c r="H1493">
        <v>2</v>
      </c>
      <c r="I1493" s="120" t="s">
        <v>57</v>
      </c>
      <c r="J1493">
        <v>0</v>
      </c>
      <c r="K1493">
        <v>1</v>
      </c>
      <c r="L1493" s="121">
        <v>54</v>
      </c>
      <c r="M1493" s="121">
        <v>108</v>
      </c>
      <c r="N1493" s="121">
        <v>108</v>
      </c>
    </row>
    <row r="1494" spans="1:14" hidden="1" x14ac:dyDescent="0.25">
      <c r="A1494" s="120" t="s">
        <v>3463</v>
      </c>
      <c r="B1494" s="120" t="s">
        <v>3510</v>
      </c>
      <c r="C1494" s="120" t="s">
        <v>69</v>
      </c>
      <c r="D1494" s="120" t="s">
        <v>3525</v>
      </c>
      <c r="E1494" s="120" t="s">
        <v>175</v>
      </c>
      <c r="F1494" s="120" t="s">
        <v>14</v>
      </c>
      <c r="G1494" s="120">
        <v>4</v>
      </c>
      <c r="H1494">
        <v>0</v>
      </c>
      <c r="I1494" s="120" t="s">
        <v>57</v>
      </c>
      <c r="J1494">
        <v>4</v>
      </c>
      <c r="K1494">
        <v>0</v>
      </c>
      <c r="L1494">
        <v>0</v>
      </c>
      <c r="M1494">
        <v>0</v>
      </c>
      <c r="N1494">
        <v>0</v>
      </c>
    </row>
    <row r="1495" spans="1:14" hidden="1" x14ac:dyDescent="0.25">
      <c r="A1495" s="120" t="s">
        <v>3463</v>
      </c>
      <c r="B1495" s="120" t="s">
        <v>3510</v>
      </c>
      <c r="C1495" s="120" t="s">
        <v>69</v>
      </c>
      <c r="D1495" s="120" t="s">
        <v>3489</v>
      </c>
      <c r="E1495" s="120" t="s">
        <v>80</v>
      </c>
      <c r="F1495" s="120" t="s">
        <v>10</v>
      </c>
      <c r="G1495" s="120">
        <v>1</v>
      </c>
      <c r="H1495">
        <v>0</v>
      </c>
      <c r="I1495" s="120" t="s">
        <v>57</v>
      </c>
      <c r="J1495">
        <v>1</v>
      </c>
      <c r="K1495">
        <v>0</v>
      </c>
      <c r="L1495">
        <v>0</v>
      </c>
      <c r="M1495">
        <v>0</v>
      </c>
      <c r="N1495">
        <v>0</v>
      </c>
    </row>
    <row r="1496" spans="1:14" hidden="1" x14ac:dyDescent="0.25">
      <c r="A1496" s="120" t="s">
        <v>3463</v>
      </c>
      <c r="B1496" s="120" t="s">
        <v>3510</v>
      </c>
      <c r="C1496" s="120" t="s">
        <v>69</v>
      </c>
      <c r="D1496" s="120" t="s">
        <v>3526</v>
      </c>
      <c r="E1496" s="120" t="s">
        <v>177</v>
      </c>
      <c r="F1496" s="120" t="s">
        <v>14</v>
      </c>
      <c r="G1496" s="120">
        <v>1</v>
      </c>
      <c r="H1496">
        <v>0</v>
      </c>
      <c r="I1496" s="120" t="s">
        <v>57</v>
      </c>
      <c r="J1496">
        <v>1</v>
      </c>
      <c r="K1496">
        <v>0</v>
      </c>
      <c r="L1496">
        <v>0</v>
      </c>
      <c r="M1496">
        <v>0</v>
      </c>
      <c r="N1496">
        <v>0</v>
      </c>
    </row>
    <row r="1497" spans="1:14" hidden="1" x14ac:dyDescent="0.25">
      <c r="A1497" s="120" t="s">
        <v>3463</v>
      </c>
      <c r="B1497" s="120" t="s">
        <v>3510</v>
      </c>
      <c r="C1497" s="120" t="s">
        <v>69</v>
      </c>
      <c r="D1497" s="120" t="s">
        <v>741</v>
      </c>
      <c r="E1497" s="120" t="s">
        <v>179</v>
      </c>
      <c r="F1497" s="120" t="s">
        <v>14</v>
      </c>
      <c r="G1497" s="120">
        <v>16</v>
      </c>
      <c r="H1497">
        <v>18</v>
      </c>
      <c r="I1497" s="120" t="s">
        <v>57</v>
      </c>
      <c r="J1497">
        <v>-2</v>
      </c>
      <c r="K1497">
        <v>0</v>
      </c>
      <c r="L1497">
        <v>24.5</v>
      </c>
      <c r="M1497">
        <v>392</v>
      </c>
      <c r="N1497">
        <v>441</v>
      </c>
    </row>
    <row r="1498" spans="1:14" hidden="1" x14ac:dyDescent="0.25">
      <c r="A1498" s="120" t="s">
        <v>3591</v>
      </c>
      <c r="B1498" s="120" t="s">
        <v>3701</v>
      </c>
      <c r="C1498" s="120" t="s">
        <v>69</v>
      </c>
      <c r="D1498" s="120" t="s">
        <v>593</v>
      </c>
      <c r="E1498" s="120" t="s">
        <v>76</v>
      </c>
      <c r="F1498" s="120" t="s">
        <v>71</v>
      </c>
      <c r="G1498" s="120">
        <v>1</v>
      </c>
      <c r="H1498">
        <v>1</v>
      </c>
      <c r="I1498" s="120" t="s">
        <v>57</v>
      </c>
      <c r="J1498">
        <v>0</v>
      </c>
      <c r="K1498">
        <v>1</v>
      </c>
      <c r="L1498" s="121">
        <v>54</v>
      </c>
      <c r="M1498" s="121">
        <v>54</v>
      </c>
      <c r="N1498" s="121">
        <v>54</v>
      </c>
    </row>
    <row r="1499" spans="1:14" hidden="1" x14ac:dyDescent="0.25">
      <c r="A1499" s="120" t="s">
        <v>3463</v>
      </c>
      <c r="B1499" s="120" t="s">
        <v>3510</v>
      </c>
      <c r="C1499" s="120" t="s">
        <v>69</v>
      </c>
      <c r="D1499" s="120" t="s">
        <v>1194</v>
      </c>
      <c r="E1499" s="120" t="s">
        <v>186</v>
      </c>
      <c r="F1499" s="120" t="s">
        <v>10</v>
      </c>
      <c r="G1499" s="120">
        <v>0</v>
      </c>
      <c r="H1499">
        <v>3</v>
      </c>
      <c r="I1499" s="120" t="s">
        <v>57</v>
      </c>
      <c r="J1499">
        <v>-3</v>
      </c>
      <c r="K1499">
        <v>0</v>
      </c>
      <c r="L1499">
        <v>3.5</v>
      </c>
      <c r="M1499">
        <v>0</v>
      </c>
      <c r="N1499">
        <v>10.5</v>
      </c>
    </row>
    <row r="1500" spans="1:14" hidden="1" x14ac:dyDescent="0.25">
      <c r="A1500" s="120" t="s">
        <v>3463</v>
      </c>
      <c r="B1500" s="120" t="s">
        <v>3528</v>
      </c>
      <c r="C1500" s="120" t="s">
        <v>301</v>
      </c>
      <c r="D1500" s="120" t="s">
        <v>3529</v>
      </c>
      <c r="E1500" s="120" t="s">
        <v>195</v>
      </c>
      <c r="F1500" s="120" t="s">
        <v>10</v>
      </c>
      <c r="G1500" s="120">
        <v>1</v>
      </c>
      <c r="H1500">
        <v>0</v>
      </c>
      <c r="I1500" s="120" t="s">
        <v>57</v>
      </c>
      <c r="J1500">
        <v>1</v>
      </c>
      <c r="K1500">
        <v>0</v>
      </c>
      <c r="L1500">
        <v>0</v>
      </c>
      <c r="M1500">
        <v>0</v>
      </c>
      <c r="N1500">
        <v>0</v>
      </c>
    </row>
    <row r="1501" spans="1:14" hidden="1" x14ac:dyDescent="0.25">
      <c r="A1501" s="120" t="s">
        <v>3463</v>
      </c>
      <c r="B1501" s="120" t="s">
        <v>3528</v>
      </c>
      <c r="C1501" s="120" t="s">
        <v>69</v>
      </c>
      <c r="D1501" s="120" t="s">
        <v>596</v>
      </c>
      <c r="E1501" s="120" t="s">
        <v>173</v>
      </c>
      <c r="F1501" s="120" t="s">
        <v>71</v>
      </c>
      <c r="G1501" s="120">
        <v>0</v>
      </c>
      <c r="H1501">
        <v>2</v>
      </c>
      <c r="I1501" s="120" t="s">
        <v>57</v>
      </c>
      <c r="J1501">
        <v>-2</v>
      </c>
      <c r="K1501">
        <v>0</v>
      </c>
      <c r="L1501">
        <v>56</v>
      </c>
      <c r="M1501">
        <v>0</v>
      </c>
      <c r="N1501">
        <v>112</v>
      </c>
    </row>
    <row r="1502" spans="1:14" hidden="1" x14ac:dyDescent="0.25">
      <c r="A1502" s="120" t="s">
        <v>3463</v>
      </c>
      <c r="B1502" s="120" t="s">
        <v>3528</v>
      </c>
      <c r="C1502" s="120" t="s">
        <v>301</v>
      </c>
      <c r="D1502" s="120" t="s">
        <v>3525</v>
      </c>
      <c r="E1502" s="120" t="s">
        <v>196</v>
      </c>
      <c r="F1502" s="120" t="s">
        <v>18</v>
      </c>
      <c r="G1502" s="120">
        <v>39</v>
      </c>
      <c r="H1502">
        <v>0</v>
      </c>
      <c r="I1502" s="120" t="s">
        <v>57</v>
      </c>
      <c r="J1502">
        <v>39</v>
      </c>
      <c r="K1502">
        <v>0</v>
      </c>
      <c r="L1502">
        <v>0</v>
      </c>
      <c r="M1502">
        <v>0</v>
      </c>
      <c r="N1502">
        <v>0</v>
      </c>
    </row>
    <row r="1503" spans="1:14" hidden="1" x14ac:dyDescent="0.25">
      <c r="A1503" s="120" t="s">
        <v>3463</v>
      </c>
      <c r="B1503" s="120" t="s">
        <v>3528</v>
      </c>
      <c r="C1503" s="120" t="s">
        <v>301</v>
      </c>
      <c r="D1503" s="120" t="s">
        <v>610</v>
      </c>
      <c r="E1503" s="120" t="s">
        <v>197</v>
      </c>
      <c r="F1503" s="120" t="s">
        <v>18</v>
      </c>
      <c r="G1503" s="120">
        <v>2</v>
      </c>
      <c r="H1503">
        <v>0</v>
      </c>
      <c r="I1503" s="120" t="s">
        <v>57</v>
      </c>
      <c r="J1503">
        <v>2</v>
      </c>
      <c r="K1503">
        <v>0</v>
      </c>
      <c r="L1503">
        <v>17.333300000000001</v>
      </c>
      <c r="M1503">
        <v>34.666600000000003</v>
      </c>
      <c r="N1503">
        <v>0</v>
      </c>
    </row>
    <row r="1504" spans="1:14" hidden="1" x14ac:dyDescent="0.25">
      <c r="A1504" s="120" t="s">
        <v>3591</v>
      </c>
      <c r="B1504" s="120" t="s">
        <v>3693</v>
      </c>
      <c r="C1504" s="120" t="s">
        <v>69</v>
      </c>
      <c r="D1504" s="120" t="s">
        <v>596</v>
      </c>
      <c r="E1504" s="120" t="s">
        <v>173</v>
      </c>
      <c r="F1504" s="120" t="s">
        <v>71</v>
      </c>
      <c r="G1504" s="120">
        <v>1</v>
      </c>
      <c r="H1504">
        <v>1</v>
      </c>
      <c r="I1504" s="120" t="s">
        <v>57</v>
      </c>
      <c r="J1504">
        <v>0</v>
      </c>
      <c r="K1504">
        <v>1</v>
      </c>
      <c r="L1504" s="121">
        <v>56</v>
      </c>
      <c r="M1504" s="121">
        <v>56</v>
      </c>
      <c r="N1504" s="121">
        <v>56</v>
      </c>
    </row>
    <row r="1505" spans="1:14" hidden="1" x14ac:dyDescent="0.25">
      <c r="A1505" s="120" t="s">
        <v>3591</v>
      </c>
      <c r="B1505" s="120" t="s">
        <v>3698</v>
      </c>
      <c r="C1505" s="120" t="s">
        <v>69</v>
      </c>
      <c r="D1505" s="120" t="s">
        <v>596</v>
      </c>
      <c r="E1505" s="120" t="s">
        <v>173</v>
      </c>
      <c r="F1505" s="120" t="s">
        <v>71</v>
      </c>
      <c r="G1505" s="120">
        <v>3</v>
      </c>
      <c r="H1505">
        <v>2</v>
      </c>
      <c r="I1505" s="120" t="s">
        <v>57</v>
      </c>
      <c r="J1505">
        <v>1</v>
      </c>
      <c r="K1505">
        <v>0</v>
      </c>
      <c r="L1505">
        <v>56</v>
      </c>
      <c r="M1505">
        <v>168</v>
      </c>
      <c r="N1505">
        <v>112</v>
      </c>
    </row>
    <row r="1506" spans="1:14" hidden="1" x14ac:dyDescent="0.25">
      <c r="A1506" s="120" t="s">
        <v>3591</v>
      </c>
      <c r="B1506" s="120" t="s">
        <v>3701</v>
      </c>
      <c r="C1506" s="120" t="s">
        <v>69</v>
      </c>
      <c r="D1506" s="120" t="s">
        <v>596</v>
      </c>
      <c r="E1506" s="120" t="s">
        <v>173</v>
      </c>
      <c r="F1506" s="120" t="s">
        <v>71</v>
      </c>
      <c r="G1506" s="120">
        <v>3</v>
      </c>
      <c r="H1506">
        <v>3</v>
      </c>
      <c r="I1506" s="120" t="s">
        <v>57</v>
      </c>
      <c r="J1506">
        <v>0</v>
      </c>
      <c r="K1506">
        <v>1</v>
      </c>
      <c r="L1506" s="121">
        <v>56</v>
      </c>
      <c r="M1506" s="121">
        <v>168</v>
      </c>
      <c r="N1506" s="121">
        <v>168</v>
      </c>
    </row>
    <row r="1507" spans="1:14" hidden="1" x14ac:dyDescent="0.25">
      <c r="A1507" s="120" t="s">
        <v>3591</v>
      </c>
      <c r="B1507" s="120" t="s">
        <v>3709</v>
      </c>
      <c r="C1507" s="120" t="s">
        <v>69</v>
      </c>
      <c r="D1507" s="120" t="s">
        <v>597</v>
      </c>
      <c r="E1507" s="120" t="s">
        <v>174</v>
      </c>
      <c r="F1507" s="120" t="s">
        <v>71</v>
      </c>
      <c r="G1507" s="120">
        <v>0</v>
      </c>
      <c r="H1507">
        <v>1</v>
      </c>
      <c r="I1507" s="120" t="s">
        <v>57</v>
      </c>
      <c r="J1507">
        <v>-1</v>
      </c>
      <c r="K1507">
        <v>0</v>
      </c>
      <c r="L1507">
        <v>54</v>
      </c>
      <c r="M1507">
        <v>0</v>
      </c>
      <c r="N1507">
        <v>54</v>
      </c>
    </row>
    <row r="1508" spans="1:14" hidden="1" x14ac:dyDescent="0.25">
      <c r="A1508" s="120" t="s">
        <v>3591</v>
      </c>
      <c r="B1508" s="120" t="s">
        <v>3698</v>
      </c>
      <c r="C1508" s="120" t="s">
        <v>69</v>
      </c>
      <c r="D1508" s="120" t="s">
        <v>597</v>
      </c>
      <c r="E1508" s="120" t="s">
        <v>174</v>
      </c>
      <c r="F1508" s="120" t="s">
        <v>71</v>
      </c>
      <c r="G1508" s="120">
        <v>1</v>
      </c>
      <c r="H1508">
        <v>1</v>
      </c>
      <c r="I1508" s="120" t="s">
        <v>57</v>
      </c>
      <c r="J1508">
        <v>0</v>
      </c>
      <c r="K1508">
        <v>1</v>
      </c>
      <c r="L1508" s="121">
        <v>54</v>
      </c>
      <c r="M1508" s="121">
        <v>54</v>
      </c>
      <c r="N1508" s="121">
        <v>54</v>
      </c>
    </row>
    <row r="1509" spans="1:14" hidden="1" x14ac:dyDescent="0.25">
      <c r="A1509" s="120" t="s">
        <v>3591</v>
      </c>
      <c r="B1509" s="120" t="s">
        <v>3592</v>
      </c>
      <c r="C1509" s="120" t="s">
        <v>69</v>
      </c>
      <c r="D1509" s="120" t="s">
        <v>599</v>
      </c>
      <c r="E1509" s="120" t="s">
        <v>505</v>
      </c>
      <c r="F1509" s="120" t="s">
        <v>18</v>
      </c>
      <c r="G1509" s="120">
        <v>10</v>
      </c>
      <c r="H1509">
        <v>10</v>
      </c>
      <c r="I1509" s="120" t="s">
        <v>57</v>
      </c>
      <c r="J1509">
        <v>0</v>
      </c>
      <c r="K1509">
        <v>1</v>
      </c>
      <c r="L1509" s="121">
        <v>45</v>
      </c>
      <c r="M1509" s="121">
        <v>450</v>
      </c>
      <c r="N1509" s="121">
        <v>450</v>
      </c>
    </row>
    <row r="1510" spans="1:14" hidden="1" x14ac:dyDescent="0.25">
      <c r="A1510" s="120" t="s">
        <v>3463</v>
      </c>
      <c r="B1510" s="120" t="s">
        <v>3528</v>
      </c>
      <c r="C1510" s="120" t="s">
        <v>301</v>
      </c>
      <c r="D1510" s="120" t="s">
        <v>3485</v>
      </c>
      <c r="E1510" s="120" t="s">
        <v>203</v>
      </c>
      <c r="F1510" s="120" t="s">
        <v>18</v>
      </c>
      <c r="G1510" s="120">
        <v>12</v>
      </c>
      <c r="H1510">
        <v>0</v>
      </c>
      <c r="I1510" s="120" t="s">
        <v>57</v>
      </c>
      <c r="J1510">
        <v>12</v>
      </c>
      <c r="K1510">
        <v>0</v>
      </c>
      <c r="L1510">
        <v>0</v>
      </c>
      <c r="M1510">
        <v>0</v>
      </c>
      <c r="N1510">
        <v>0</v>
      </c>
    </row>
    <row r="1511" spans="1:14" hidden="1" x14ac:dyDescent="0.25">
      <c r="A1511" s="120" t="s">
        <v>3463</v>
      </c>
      <c r="B1511" s="120" t="s">
        <v>3528</v>
      </c>
      <c r="C1511" s="120" t="s">
        <v>301</v>
      </c>
      <c r="D1511" s="120" t="s">
        <v>1116</v>
      </c>
      <c r="E1511" s="120" t="s">
        <v>204</v>
      </c>
      <c r="F1511" s="120" t="s">
        <v>18</v>
      </c>
      <c r="G1511" s="120">
        <v>0</v>
      </c>
      <c r="H1511">
        <v>3</v>
      </c>
      <c r="I1511" s="120" t="s">
        <v>57</v>
      </c>
      <c r="J1511">
        <v>-3</v>
      </c>
      <c r="K1511">
        <v>0</v>
      </c>
      <c r="L1511">
        <v>227.3</v>
      </c>
      <c r="M1511">
        <v>0</v>
      </c>
      <c r="N1511">
        <v>681.90000000000009</v>
      </c>
    </row>
    <row r="1512" spans="1:14" hidden="1" x14ac:dyDescent="0.25">
      <c r="A1512" s="120" t="s">
        <v>3463</v>
      </c>
      <c r="B1512" s="120" t="s">
        <v>3528</v>
      </c>
      <c r="C1512" s="120" t="s">
        <v>301</v>
      </c>
      <c r="D1512" s="120" t="s">
        <v>3508</v>
      </c>
      <c r="E1512" s="120" t="s">
        <v>158</v>
      </c>
      <c r="F1512" s="120" t="s">
        <v>18</v>
      </c>
      <c r="G1512" s="120">
        <v>500</v>
      </c>
      <c r="H1512">
        <v>0</v>
      </c>
      <c r="I1512" s="120" t="s">
        <v>47</v>
      </c>
      <c r="J1512">
        <v>500</v>
      </c>
      <c r="K1512">
        <v>0</v>
      </c>
      <c r="L1512">
        <v>0</v>
      </c>
      <c r="M1512">
        <v>0</v>
      </c>
      <c r="N1512">
        <v>0</v>
      </c>
    </row>
    <row r="1513" spans="1:14" hidden="1" x14ac:dyDescent="0.25">
      <c r="A1513" s="120" t="s">
        <v>3463</v>
      </c>
      <c r="B1513" s="120" t="s">
        <v>3528</v>
      </c>
      <c r="C1513" s="120" t="s">
        <v>69</v>
      </c>
      <c r="D1513" s="120" t="s">
        <v>3531</v>
      </c>
      <c r="E1513" s="120" t="s">
        <v>213</v>
      </c>
      <c r="F1513" s="120" t="s">
        <v>18</v>
      </c>
      <c r="G1513" s="120">
        <v>0</v>
      </c>
      <c r="H1513">
        <v>0</v>
      </c>
      <c r="I1513" s="120" t="s">
        <v>57</v>
      </c>
      <c r="J1513">
        <v>0</v>
      </c>
      <c r="K1513">
        <v>1</v>
      </c>
      <c r="L1513" s="121">
        <v>0</v>
      </c>
      <c r="M1513" s="121">
        <v>0</v>
      </c>
      <c r="N1513" s="121">
        <v>0</v>
      </c>
    </row>
    <row r="1514" spans="1:14" hidden="1" x14ac:dyDescent="0.25">
      <c r="A1514" s="120" t="s">
        <v>3463</v>
      </c>
      <c r="B1514" s="120" t="s">
        <v>3528</v>
      </c>
      <c r="C1514" s="120" t="s">
        <v>69</v>
      </c>
      <c r="D1514" s="120" t="s">
        <v>3532</v>
      </c>
      <c r="E1514" s="120" t="s">
        <v>214</v>
      </c>
      <c r="F1514" s="120" t="s">
        <v>18</v>
      </c>
      <c r="G1514" s="120">
        <v>0</v>
      </c>
      <c r="H1514">
        <v>0</v>
      </c>
      <c r="I1514" s="120" t="s">
        <v>57</v>
      </c>
      <c r="J1514">
        <v>0</v>
      </c>
      <c r="K1514">
        <v>1</v>
      </c>
      <c r="L1514" s="121">
        <v>0</v>
      </c>
      <c r="M1514" s="121">
        <v>0</v>
      </c>
      <c r="N1514" s="121">
        <v>0</v>
      </c>
    </row>
    <row r="1515" spans="1:14" hidden="1" x14ac:dyDescent="0.25">
      <c r="A1515" s="120" t="s">
        <v>3463</v>
      </c>
      <c r="B1515" s="120" t="s">
        <v>3528</v>
      </c>
      <c r="C1515" s="120" t="s">
        <v>69</v>
      </c>
      <c r="D1515" s="120" t="s">
        <v>3533</v>
      </c>
      <c r="E1515" s="120" t="s">
        <v>215</v>
      </c>
      <c r="F1515" s="120" t="s">
        <v>18</v>
      </c>
      <c r="G1515" s="120">
        <v>0</v>
      </c>
      <c r="H1515">
        <v>0</v>
      </c>
      <c r="I1515" s="120" t="s">
        <v>57</v>
      </c>
      <c r="J1515">
        <v>0</v>
      </c>
      <c r="K1515">
        <v>1</v>
      </c>
      <c r="L1515" s="121">
        <v>0</v>
      </c>
      <c r="M1515" s="121">
        <v>0</v>
      </c>
      <c r="N1515" s="121">
        <v>0</v>
      </c>
    </row>
    <row r="1516" spans="1:14" hidden="1" x14ac:dyDescent="0.25">
      <c r="A1516" s="120" t="s">
        <v>3463</v>
      </c>
      <c r="B1516" s="120" t="s">
        <v>3528</v>
      </c>
      <c r="C1516" s="120" t="s">
        <v>69</v>
      </c>
      <c r="D1516" s="120" t="s">
        <v>3534</v>
      </c>
      <c r="E1516" s="120" t="s">
        <v>216</v>
      </c>
      <c r="F1516" s="120" t="s">
        <v>18</v>
      </c>
      <c r="G1516" s="120">
        <v>0</v>
      </c>
      <c r="H1516">
        <v>0</v>
      </c>
      <c r="I1516" s="120" t="s">
        <v>57</v>
      </c>
      <c r="J1516">
        <v>0</v>
      </c>
      <c r="K1516">
        <v>1</v>
      </c>
      <c r="L1516" s="121">
        <v>0</v>
      </c>
      <c r="M1516" s="121">
        <v>0</v>
      </c>
      <c r="N1516" s="121">
        <v>0</v>
      </c>
    </row>
    <row r="1517" spans="1:14" hidden="1" x14ac:dyDescent="0.25">
      <c r="A1517" s="120" t="s">
        <v>3463</v>
      </c>
      <c r="B1517" s="120" t="s">
        <v>3528</v>
      </c>
      <c r="C1517" s="120" t="s">
        <v>69</v>
      </c>
      <c r="D1517" s="120" t="s">
        <v>3535</v>
      </c>
      <c r="E1517" s="120" t="s">
        <v>217</v>
      </c>
      <c r="F1517" s="120" t="s">
        <v>18</v>
      </c>
      <c r="G1517" s="120">
        <v>0</v>
      </c>
      <c r="H1517">
        <v>0</v>
      </c>
      <c r="I1517" s="120" t="s">
        <v>57</v>
      </c>
      <c r="J1517">
        <v>0</v>
      </c>
      <c r="K1517">
        <v>1</v>
      </c>
      <c r="L1517" s="121">
        <v>0</v>
      </c>
      <c r="M1517" s="121">
        <v>0</v>
      </c>
      <c r="N1517" s="121">
        <v>0</v>
      </c>
    </row>
    <row r="1518" spans="1:14" hidden="1" x14ac:dyDescent="0.25">
      <c r="A1518" s="120" t="s">
        <v>3463</v>
      </c>
      <c r="B1518" s="120" t="s">
        <v>3528</v>
      </c>
      <c r="C1518" s="120" t="s">
        <v>69</v>
      </c>
      <c r="D1518" s="120" t="s">
        <v>3536</v>
      </c>
      <c r="E1518" s="120" t="s">
        <v>218</v>
      </c>
      <c r="F1518" s="120" t="s">
        <v>18</v>
      </c>
      <c r="G1518" s="120">
        <v>0</v>
      </c>
      <c r="H1518">
        <v>0</v>
      </c>
      <c r="I1518" s="120" t="s">
        <v>57</v>
      </c>
      <c r="J1518">
        <v>0</v>
      </c>
      <c r="K1518">
        <v>1</v>
      </c>
      <c r="L1518" s="121">
        <v>0</v>
      </c>
      <c r="M1518" s="121">
        <v>0</v>
      </c>
      <c r="N1518" s="121">
        <v>0</v>
      </c>
    </row>
    <row r="1519" spans="1:14" hidden="1" x14ac:dyDescent="0.25">
      <c r="A1519" s="120" t="s">
        <v>3463</v>
      </c>
      <c r="B1519" s="120" t="s">
        <v>3528</v>
      </c>
      <c r="C1519" s="120" t="s">
        <v>69</v>
      </c>
      <c r="D1519" s="120" t="s">
        <v>3537</v>
      </c>
      <c r="E1519" s="120" t="s">
        <v>219</v>
      </c>
      <c r="F1519" s="120" t="s">
        <v>18</v>
      </c>
      <c r="G1519" s="120">
        <v>0</v>
      </c>
      <c r="H1519">
        <v>0</v>
      </c>
      <c r="I1519" s="120" t="s">
        <v>57</v>
      </c>
      <c r="J1519">
        <v>0</v>
      </c>
      <c r="K1519">
        <v>1</v>
      </c>
      <c r="L1519" s="121">
        <v>0</v>
      </c>
      <c r="M1519" s="121">
        <v>0</v>
      </c>
      <c r="N1519" s="121">
        <v>0</v>
      </c>
    </row>
    <row r="1520" spans="1:14" hidden="1" x14ac:dyDescent="0.25">
      <c r="A1520" s="120" t="s">
        <v>3463</v>
      </c>
      <c r="B1520" s="120" t="s">
        <v>3528</v>
      </c>
      <c r="C1520" s="120" t="s">
        <v>69</v>
      </c>
      <c r="D1520" s="120" t="s">
        <v>574</v>
      </c>
      <c r="E1520" s="120" t="s">
        <v>222</v>
      </c>
      <c r="F1520" s="120" t="s">
        <v>18</v>
      </c>
      <c r="G1520" s="120">
        <v>0</v>
      </c>
      <c r="H1520">
        <v>0</v>
      </c>
      <c r="I1520" s="120" t="s">
        <v>57</v>
      </c>
      <c r="J1520">
        <v>0</v>
      </c>
      <c r="K1520">
        <v>1</v>
      </c>
      <c r="L1520" s="121">
        <v>54</v>
      </c>
      <c r="M1520" s="121">
        <v>0</v>
      </c>
      <c r="N1520" s="121">
        <v>0</v>
      </c>
    </row>
    <row r="1521" spans="1:14" hidden="1" x14ac:dyDescent="0.25">
      <c r="A1521" s="120" t="s">
        <v>3463</v>
      </c>
      <c r="B1521" s="120" t="s">
        <v>3528</v>
      </c>
      <c r="C1521" s="120" t="s">
        <v>69</v>
      </c>
      <c r="D1521" s="120" t="s">
        <v>578</v>
      </c>
      <c r="E1521" s="120" t="s">
        <v>223</v>
      </c>
      <c r="F1521" s="120" t="s">
        <v>18</v>
      </c>
      <c r="G1521" s="120">
        <v>0</v>
      </c>
      <c r="H1521">
        <v>0</v>
      </c>
      <c r="I1521" s="120" t="s">
        <v>57</v>
      </c>
      <c r="J1521">
        <v>0</v>
      </c>
      <c r="K1521">
        <v>1</v>
      </c>
      <c r="L1521" s="121">
        <v>54</v>
      </c>
      <c r="M1521" s="121">
        <v>0</v>
      </c>
      <c r="N1521" s="121">
        <v>0</v>
      </c>
    </row>
    <row r="1522" spans="1:14" hidden="1" x14ac:dyDescent="0.25">
      <c r="A1522" s="120" t="s">
        <v>3463</v>
      </c>
      <c r="B1522" s="120" t="s">
        <v>3528</v>
      </c>
      <c r="C1522" s="120" t="s">
        <v>69</v>
      </c>
      <c r="D1522" s="120" t="s">
        <v>580</v>
      </c>
      <c r="E1522" s="120" t="s">
        <v>224</v>
      </c>
      <c r="F1522" s="120" t="s">
        <v>18</v>
      </c>
      <c r="G1522" s="120">
        <v>0</v>
      </c>
      <c r="H1522">
        <v>0</v>
      </c>
      <c r="I1522" s="120" t="s">
        <v>57</v>
      </c>
      <c r="J1522">
        <v>0</v>
      </c>
      <c r="K1522">
        <v>1</v>
      </c>
      <c r="L1522" s="121">
        <v>54</v>
      </c>
      <c r="M1522" s="121">
        <v>0</v>
      </c>
      <c r="N1522" s="121">
        <v>0</v>
      </c>
    </row>
    <row r="1523" spans="1:14" hidden="1" x14ac:dyDescent="0.25">
      <c r="A1523" s="120" t="s">
        <v>3463</v>
      </c>
      <c r="B1523" s="120" t="s">
        <v>3528</v>
      </c>
      <c r="C1523" s="120" t="s">
        <v>69</v>
      </c>
      <c r="D1523" s="120" t="s">
        <v>584</v>
      </c>
      <c r="E1523" s="120" t="s">
        <v>225</v>
      </c>
      <c r="F1523" s="120" t="s">
        <v>18</v>
      </c>
      <c r="G1523" s="120">
        <v>0</v>
      </c>
      <c r="H1523">
        <v>0</v>
      </c>
      <c r="I1523" s="120" t="s">
        <v>57</v>
      </c>
      <c r="J1523">
        <v>0</v>
      </c>
      <c r="K1523">
        <v>1</v>
      </c>
      <c r="L1523" s="121">
        <v>54</v>
      </c>
      <c r="M1523" s="121">
        <v>0</v>
      </c>
      <c r="N1523" s="121">
        <v>0</v>
      </c>
    </row>
    <row r="1524" spans="1:14" hidden="1" x14ac:dyDescent="0.25">
      <c r="A1524" s="120" t="s">
        <v>3463</v>
      </c>
      <c r="B1524" s="120" t="s">
        <v>3528</v>
      </c>
      <c r="C1524" s="120" t="s">
        <v>69</v>
      </c>
      <c r="D1524" s="120" t="s">
        <v>586</v>
      </c>
      <c r="E1524" s="120" t="s">
        <v>226</v>
      </c>
      <c r="F1524" s="120" t="s">
        <v>18</v>
      </c>
      <c r="G1524" s="120">
        <v>0</v>
      </c>
      <c r="H1524">
        <v>0</v>
      </c>
      <c r="I1524" s="120" t="s">
        <v>57</v>
      </c>
      <c r="J1524">
        <v>0</v>
      </c>
      <c r="K1524">
        <v>1</v>
      </c>
      <c r="L1524" s="121">
        <v>54</v>
      </c>
      <c r="M1524" s="121">
        <v>0</v>
      </c>
      <c r="N1524" s="121">
        <v>0</v>
      </c>
    </row>
    <row r="1525" spans="1:14" hidden="1" x14ac:dyDescent="0.25">
      <c r="A1525" s="120" t="s">
        <v>3463</v>
      </c>
      <c r="B1525" s="120" t="s">
        <v>3528</v>
      </c>
      <c r="C1525" s="120" t="s">
        <v>69</v>
      </c>
      <c r="D1525" s="120" t="s">
        <v>588</v>
      </c>
      <c r="E1525" s="120" t="s">
        <v>70</v>
      </c>
      <c r="F1525" s="120" t="s">
        <v>71</v>
      </c>
      <c r="G1525" s="120">
        <v>0</v>
      </c>
      <c r="H1525">
        <v>0</v>
      </c>
      <c r="I1525" s="120" t="s">
        <v>57</v>
      </c>
      <c r="J1525">
        <v>0</v>
      </c>
      <c r="K1525">
        <v>1</v>
      </c>
      <c r="L1525" s="121">
        <v>45</v>
      </c>
      <c r="M1525" s="121">
        <v>0</v>
      </c>
      <c r="N1525" s="121">
        <v>0</v>
      </c>
    </row>
    <row r="1526" spans="1:14" hidden="1" x14ac:dyDescent="0.25">
      <c r="A1526" s="120" t="s">
        <v>3463</v>
      </c>
      <c r="B1526" s="120" t="s">
        <v>3528</v>
      </c>
      <c r="C1526" s="120" t="s">
        <v>69</v>
      </c>
      <c r="D1526" s="120" t="s">
        <v>589</v>
      </c>
      <c r="E1526" s="120" t="s">
        <v>72</v>
      </c>
      <c r="F1526" s="120" t="s">
        <v>71</v>
      </c>
      <c r="G1526" s="120">
        <v>0</v>
      </c>
      <c r="H1526">
        <v>0</v>
      </c>
      <c r="I1526" s="120" t="s">
        <v>57</v>
      </c>
      <c r="J1526">
        <v>0</v>
      </c>
      <c r="K1526">
        <v>1</v>
      </c>
      <c r="L1526" s="121">
        <v>45</v>
      </c>
      <c r="M1526" s="121">
        <v>0</v>
      </c>
      <c r="N1526" s="121">
        <v>0</v>
      </c>
    </row>
    <row r="1527" spans="1:14" hidden="1" x14ac:dyDescent="0.25">
      <c r="A1527" s="120" t="s">
        <v>3463</v>
      </c>
      <c r="B1527" s="120" t="s">
        <v>3528</v>
      </c>
      <c r="C1527" s="120" t="s">
        <v>69</v>
      </c>
      <c r="D1527" s="120" t="s">
        <v>600</v>
      </c>
      <c r="E1527" s="120" t="s">
        <v>227</v>
      </c>
      <c r="F1527" s="120" t="s">
        <v>228</v>
      </c>
      <c r="G1527" s="120">
        <v>0</v>
      </c>
      <c r="H1527">
        <v>0</v>
      </c>
      <c r="I1527" s="120" t="s">
        <v>57</v>
      </c>
      <c r="J1527">
        <v>0</v>
      </c>
      <c r="K1527">
        <v>1</v>
      </c>
      <c r="L1527" s="121">
        <v>54</v>
      </c>
      <c r="M1527" s="121">
        <v>0</v>
      </c>
      <c r="N1527" s="121">
        <v>0</v>
      </c>
    </row>
    <row r="1528" spans="1:14" hidden="1" x14ac:dyDescent="0.25">
      <c r="A1528" s="120" t="s">
        <v>3463</v>
      </c>
      <c r="B1528" s="120" t="s">
        <v>3528</v>
      </c>
      <c r="C1528" s="120" t="s">
        <v>69</v>
      </c>
      <c r="D1528" s="120" t="s">
        <v>601</v>
      </c>
      <c r="E1528" s="120" t="s">
        <v>229</v>
      </c>
      <c r="F1528" s="120" t="s">
        <v>18</v>
      </c>
      <c r="G1528" s="120">
        <v>0</v>
      </c>
      <c r="H1528">
        <v>0</v>
      </c>
      <c r="I1528" s="120" t="s">
        <v>57</v>
      </c>
      <c r="J1528">
        <v>0</v>
      </c>
      <c r="K1528">
        <v>1</v>
      </c>
      <c r="L1528" s="121">
        <v>54</v>
      </c>
      <c r="M1528" s="121">
        <v>0</v>
      </c>
      <c r="N1528" s="121">
        <v>0</v>
      </c>
    </row>
    <row r="1529" spans="1:14" hidden="1" x14ac:dyDescent="0.25">
      <c r="A1529" s="120" t="s">
        <v>3463</v>
      </c>
      <c r="B1529" s="120" t="s">
        <v>3528</v>
      </c>
      <c r="C1529" s="120" t="s">
        <v>69</v>
      </c>
      <c r="D1529" s="120" t="s">
        <v>3487</v>
      </c>
      <c r="E1529" s="120" t="s">
        <v>78</v>
      </c>
      <c r="F1529" s="120" t="s">
        <v>10</v>
      </c>
      <c r="G1529" s="120">
        <v>0</v>
      </c>
      <c r="H1529">
        <v>0</v>
      </c>
      <c r="I1529" s="120" t="s">
        <v>57</v>
      </c>
      <c r="J1529">
        <v>0</v>
      </c>
      <c r="K1529">
        <v>1</v>
      </c>
      <c r="L1529" s="121">
        <v>0</v>
      </c>
      <c r="M1529" s="121">
        <v>0</v>
      </c>
      <c r="N1529" s="121">
        <v>0</v>
      </c>
    </row>
    <row r="1530" spans="1:14" hidden="1" x14ac:dyDescent="0.25">
      <c r="A1530" s="120" t="s">
        <v>3463</v>
      </c>
      <c r="B1530" s="120" t="s">
        <v>3528</v>
      </c>
      <c r="C1530" s="120" t="s">
        <v>69</v>
      </c>
      <c r="D1530" s="120" t="s">
        <v>650</v>
      </c>
      <c r="E1530" s="120" t="s">
        <v>230</v>
      </c>
      <c r="F1530" s="120" t="s">
        <v>18</v>
      </c>
      <c r="G1530" s="120">
        <v>0</v>
      </c>
      <c r="H1530">
        <v>0</v>
      </c>
      <c r="I1530" s="120" t="s">
        <v>57</v>
      </c>
      <c r="J1530">
        <v>0</v>
      </c>
      <c r="K1530">
        <v>1</v>
      </c>
      <c r="L1530" s="121">
        <v>68</v>
      </c>
      <c r="M1530" s="121">
        <v>0</v>
      </c>
      <c r="N1530" s="121">
        <v>0</v>
      </c>
    </row>
    <row r="1531" spans="1:14" hidden="1" x14ac:dyDescent="0.25">
      <c r="A1531" s="120" t="s">
        <v>3463</v>
      </c>
      <c r="B1531" s="120" t="s">
        <v>3528</v>
      </c>
      <c r="C1531" s="120" t="s">
        <v>69</v>
      </c>
      <c r="D1531" s="120" t="s">
        <v>3538</v>
      </c>
      <c r="E1531" s="120" t="s">
        <v>231</v>
      </c>
      <c r="F1531" s="120" t="s">
        <v>18</v>
      </c>
      <c r="G1531" s="120">
        <v>0</v>
      </c>
      <c r="H1531">
        <v>0</v>
      </c>
      <c r="I1531" s="120" t="s">
        <v>57</v>
      </c>
      <c r="J1531">
        <v>0</v>
      </c>
      <c r="K1531">
        <v>1</v>
      </c>
      <c r="L1531" s="121">
        <v>0</v>
      </c>
      <c r="M1531" s="121">
        <v>0</v>
      </c>
      <c r="N1531" s="121">
        <v>0</v>
      </c>
    </row>
    <row r="1532" spans="1:14" hidden="1" x14ac:dyDescent="0.25">
      <c r="A1532" s="120" t="s">
        <v>3463</v>
      </c>
      <c r="B1532" s="120" t="s">
        <v>3528</v>
      </c>
      <c r="C1532" s="120" t="s">
        <v>69</v>
      </c>
      <c r="D1532" s="120" t="s">
        <v>3539</v>
      </c>
      <c r="E1532" s="120" t="s">
        <v>232</v>
      </c>
      <c r="F1532" s="120" t="s">
        <v>233</v>
      </c>
      <c r="G1532" s="120">
        <v>0</v>
      </c>
      <c r="H1532">
        <v>0</v>
      </c>
      <c r="I1532" s="120" t="s">
        <v>57</v>
      </c>
      <c r="J1532">
        <v>0</v>
      </c>
      <c r="K1532">
        <v>1</v>
      </c>
      <c r="L1532" s="121">
        <v>0</v>
      </c>
      <c r="M1532" s="121">
        <v>0</v>
      </c>
      <c r="N1532" s="121">
        <v>0</v>
      </c>
    </row>
    <row r="1533" spans="1:14" hidden="1" x14ac:dyDescent="0.25">
      <c r="A1533" s="120" t="s">
        <v>3463</v>
      </c>
      <c r="B1533" s="120" t="s">
        <v>3528</v>
      </c>
      <c r="C1533" s="120" t="s">
        <v>69</v>
      </c>
      <c r="D1533" s="120" t="s">
        <v>3540</v>
      </c>
      <c r="E1533" s="120" t="s">
        <v>234</v>
      </c>
      <c r="F1533" s="120" t="s">
        <v>233</v>
      </c>
      <c r="G1533" s="120">
        <v>0</v>
      </c>
      <c r="H1533">
        <v>0</v>
      </c>
      <c r="I1533" s="120" t="s">
        <v>57</v>
      </c>
      <c r="J1533">
        <v>0</v>
      </c>
      <c r="K1533">
        <v>1</v>
      </c>
      <c r="L1533" s="121">
        <v>0</v>
      </c>
      <c r="M1533" s="121">
        <v>0</v>
      </c>
      <c r="N1533" s="121">
        <v>0</v>
      </c>
    </row>
    <row r="1534" spans="1:14" hidden="1" x14ac:dyDescent="0.25">
      <c r="A1534" s="120" t="s">
        <v>3463</v>
      </c>
      <c r="B1534" s="120" t="s">
        <v>3528</v>
      </c>
      <c r="C1534" s="120" t="s">
        <v>69</v>
      </c>
      <c r="D1534" s="120" t="s">
        <v>3541</v>
      </c>
      <c r="E1534" s="120" t="s">
        <v>235</v>
      </c>
      <c r="F1534" s="120" t="s">
        <v>233</v>
      </c>
      <c r="G1534" s="120">
        <v>0</v>
      </c>
      <c r="H1534">
        <v>0</v>
      </c>
      <c r="I1534" s="120" t="s">
        <v>57</v>
      </c>
      <c r="J1534">
        <v>0</v>
      </c>
      <c r="K1534">
        <v>1</v>
      </c>
      <c r="L1534" s="121">
        <v>0</v>
      </c>
      <c r="M1534" s="121">
        <v>0</v>
      </c>
      <c r="N1534" s="121">
        <v>0</v>
      </c>
    </row>
    <row r="1535" spans="1:14" hidden="1" x14ac:dyDescent="0.25">
      <c r="A1535" s="120" t="s">
        <v>3463</v>
      </c>
      <c r="B1535" s="120" t="s">
        <v>3528</v>
      </c>
      <c r="C1535" s="120" t="s">
        <v>69</v>
      </c>
      <c r="D1535" s="120" t="s">
        <v>3542</v>
      </c>
      <c r="E1535" s="120" t="s">
        <v>236</v>
      </c>
      <c r="F1535" s="120" t="s">
        <v>10</v>
      </c>
      <c r="G1535" s="120">
        <v>0</v>
      </c>
      <c r="H1535">
        <v>0</v>
      </c>
      <c r="I1535" s="120" t="s">
        <v>57</v>
      </c>
      <c r="J1535">
        <v>0</v>
      </c>
      <c r="K1535">
        <v>1</v>
      </c>
      <c r="L1535" s="121">
        <v>0</v>
      </c>
      <c r="M1535" s="121">
        <v>0</v>
      </c>
      <c r="N1535" s="121">
        <v>0</v>
      </c>
    </row>
    <row r="1536" spans="1:14" hidden="1" x14ac:dyDescent="0.25">
      <c r="A1536" s="120" t="s">
        <v>3463</v>
      </c>
      <c r="B1536" s="120" t="s">
        <v>3528</v>
      </c>
      <c r="C1536" s="120" t="s">
        <v>69</v>
      </c>
      <c r="D1536" s="120" t="s">
        <v>3543</v>
      </c>
      <c r="E1536" s="120" t="s">
        <v>237</v>
      </c>
      <c r="F1536" s="120" t="s">
        <v>233</v>
      </c>
      <c r="G1536" s="120">
        <v>0</v>
      </c>
      <c r="H1536">
        <v>0</v>
      </c>
      <c r="I1536" s="120" t="s">
        <v>57</v>
      </c>
      <c r="J1536">
        <v>0</v>
      </c>
      <c r="K1536">
        <v>1</v>
      </c>
      <c r="L1536" s="121">
        <v>0</v>
      </c>
      <c r="M1536" s="121">
        <v>0</v>
      </c>
      <c r="N1536" s="121">
        <v>0</v>
      </c>
    </row>
    <row r="1537" spans="1:14" hidden="1" x14ac:dyDescent="0.25">
      <c r="A1537" s="120" t="s">
        <v>3463</v>
      </c>
      <c r="B1537" s="120" t="s">
        <v>3528</v>
      </c>
      <c r="C1537" s="120" t="s">
        <v>69</v>
      </c>
      <c r="D1537" s="120" t="s">
        <v>3544</v>
      </c>
      <c r="E1537" s="120" t="s">
        <v>238</v>
      </c>
      <c r="F1537" s="120" t="s">
        <v>14</v>
      </c>
      <c r="G1537" s="120">
        <v>0</v>
      </c>
      <c r="H1537">
        <v>0</v>
      </c>
      <c r="I1537" s="120" t="s">
        <v>57</v>
      </c>
      <c r="J1537">
        <v>0</v>
      </c>
      <c r="K1537">
        <v>1</v>
      </c>
      <c r="L1537" s="121">
        <v>0</v>
      </c>
      <c r="M1537" s="121">
        <v>0</v>
      </c>
      <c r="N1537" s="121">
        <v>0</v>
      </c>
    </row>
    <row r="1538" spans="1:14" hidden="1" x14ac:dyDescent="0.25">
      <c r="A1538" s="120" t="s">
        <v>3463</v>
      </c>
      <c r="B1538" s="120" t="s">
        <v>3528</v>
      </c>
      <c r="C1538" s="120" t="s">
        <v>69</v>
      </c>
      <c r="D1538" s="120" t="s">
        <v>3488</v>
      </c>
      <c r="E1538" s="120" t="s">
        <v>79</v>
      </c>
      <c r="F1538" s="120" t="s">
        <v>10</v>
      </c>
      <c r="G1538" s="120">
        <v>0</v>
      </c>
      <c r="H1538">
        <v>0</v>
      </c>
      <c r="I1538" s="120" t="s">
        <v>57</v>
      </c>
      <c r="J1538">
        <v>0</v>
      </c>
      <c r="K1538">
        <v>1</v>
      </c>
      <c r="L1538" s="121">
        <v>0</v>
      </c>
      <c r="M1538" s="121">
        <v>0</v>
      </c>
      <c r="N1538" s="121">
        <v>0</v>
      </c>
    </row>
    <row r="1539" spans="1:14" hidden="1" x14ac:dyDescent="0.25">
      <c r="A1539" s="120" t="s">
        <v>3463</v>
      </c>
      <c r="B1539" s="120" t="s">
        <v>3528</v>
      </c>
      <c r="C1539" s="120" t="s">
        <v>69</v>
      </c>
      <c r="D1539" s="120" t="s">
        <v>3489</v>
      </c>
      <c r="E1539" s="120" t="s">
        <v>80</v>
      </c>
      <c r="F1539" s="120" t="s">
        <v>10</v>
      </c>
      <c r="G1539" s="120">
        <v>0</v>
      </c>
      <c r="H1539">
        <v>0</v>
      </c>
      <c r="I1539" s="120" t="s">
        <v>57</v>
      </c>
      <c r="J1539">
        <v>0</v>
      </c>
      <c r="K1539">
        <v>1</v>
      </c>
      <c r="L1539" s="121">
        <v>0</v>
      </c>
      <c r="M1539" s="121">
        <v>0</v>
      </c>
      <c r="N1539" s="121">
        <v>0</v>
      </c>
    </row>
    <row r="1540" spans="1:14" hidden="1" x14ac:dyDescent="0.25">
      <c r="A1540" s="120" t="s">
        <v>3591</v>
      </c>
      <c r="B1540" s="120" t="s">
        <v>3592</v>
      </c>
      <c r="C1540" s="120" t="s">
        <v>301</v>
      </c>
      <c r="D1540" s="120" t="s">
        <v>624</v>
      </c>
      <c r="E1540" s="120" t="s">
        <v>392</v>
      </c>
      <c r="F1540" s="120" t="s">
        <v>18</v>
      </c>
      <c r="G1540" s="120">
        <v>0</v>
      </c>
      <c r="H1540">
        <v>1</v>
      </c>
      <c r="I1540" s="120" t="s">
        <v>57</v>
      </c>
      <c r="J1540">
        <v>-1</v>
      </c>
      <c r="K1540">
        <v>0</v>
      </c>
      <c r="L1540">
        <v>8</v>
      </c>
      <c r="M1540">
        <v>0</v>
      </c>
      <c r="N1540">
        <v>8</v>
      </c>
    </row>
    <row r="1541" spans="1:14" hidden="1" x14ac:dyDescent="0.25">
      <c r="A1541" s="120" t="s">
        <v>3463</v>
      </c>
      <c r="B1541" s="120" t="s">
        <v>3528</v>
      </c>
      <c r="C1541" s="120" t="s">
        <v>69</v>
      </c>
      <c r="D1541" s="120" t="s">
        <v>3549</v>
      </c>
      <c r="E1541" s="120" t="s">
        <v>241</v>
      </c>
      <c r="F1541" s="120" t="s">
        <v>10</v>
      </c>
      <c r="G1541" s="120">
        <v>0</v>
      </c>
      <c r="H1541">
        <v>0</v>
      </c>
      <c r="I1541" s="120" t="s">
        <v>57</v>
      </c>
      <c r="J1541">
        <v>0</v>
      </c>
      <c r="K1541">
        <v>1</v>
      </c>
      <c r="L1541" s="121">
        <v>0</v>
      </c>
      <c r="M1541" s="121">
        <v>0</v>
      </c>
      <c r="N1541" s="121">
        <v>0</v>
      </c>
    </row>
    <row r="1542" spans="1:14" hidden="1" x14ac:dyDescent="0.25">
      <c r="A1542" s="120" t="s">
        <v>3463</v>
      </c>
      <c r="B1542" s="120" t="s">
        <v>3528</v>
      </c>
      <c r="C1542" s="120" t="s">
        <v>69</v>
      </c>
      <c r="D1542" s="120" t="s">
        <v>3550</v>
      </c>
      <c r="E1542" s="120" t="s">
        <v>242</v>
      </c>
      <c r="F1542" s="120" t="s">
        <v>18</v>
      </c>
      <c r="G1542" s="120">
        <v>0</v>
      </c>
      <c r="H1542">
        <v>0</v>
      </c>
      <c r="I1542" s="120" t="s">
        <v>57</v>
      </c>
      <c r="J1542">
        <v>0</v>
      </c>
      <c r="K1542">
        <v>1</v>
      </c>
      <c r="L1542" s="121">
        <v>0</v>
      </c>
      <c r="M1542" s="121">
        <v>0</v>
      </c>
      <c r="N1542" s="121">
        <v>0</v>
      </c>
    </row>
    <row r="1543" spans="1:14" hidden="1" x14ac:dyDescent="0.25">
      <c r="A1543" s="120" t="s">
        <v>3463</v>
      </c>
      <c r="B1543" s="120" t="s">
        <v>3528</v>
      </c>
      <c r="C1543" s="120" t="s">
        <v>69</v>
      </c>
      <c r="D1543" s="120" t="s">
        <v>3551</v>
      </c>
      <c r="E1543" s="120" t="s">
        <v>242</v>
      </c>
      <c r="F1543" s="120" t="s">
        <v>18</v>
      </c>
      <c r="G1543" s="120">
        <v>0</v>
      </c>
      <c r="H1543">
        <v>0</v>
      </c>
      <c r="I1543" s="120" t="s">
        <v>57</v>
      </c>
      <c r="J1543">
        <v>0</v>
      </c>
      <c r="K1543">
        <v>1</v>
      </c>
      <c r="L1543" s="121">
        <v>0</v>
      </c>
      <c r="M1543" s="121">
        <v>0</v>
      </c>
      <c r="N1543" s="121">
        <v>0</v>
      </c>
    </row>
    <row r="1544" spans="1:14" hidden="1" x14ac:dyDescent="0.25">
      <c r="A1544" s="120" t="s">
        <v>3463</v>
      </c>
      <c r="B1544" s="120" t="s">
        <v>3528</v>
      </c>
      <c r="C1544" s="120" t="s">
        <v>69</v>
      </c>
      <c r="D1544" s="120" t="s">
        <v>3552</v>
      </c>
      <c r="E1544" s="120" t="s">
        <v>242</v>
      </c>
      <c r="F1544" s="120" t="s">
        <v>18</v>
      </c>
      <c r="G1544" s="120">
        <v>0</v>
      </c>
      <c r="H1544">
        <v>0</v>
      </c>
      <c r="I1544" s="120" t="s">
        <v>57</v>
      </c>
      <c r="J1544">
        <v>0</v>
      </c>
      <c r="K1544">
        <v>1</v>
      </c>
      <c r="L1544" s="121">
        <v>0</v>
      </c>
      <c r="M1544" s="121">
        <v>0</v>
      </c>
      <c r="N1544" s="121">
        <v>0</v>
      </c>
    </row>
    <row r="1545" spans="1:14" hidden="1" x14ac:dyDescent="0.25">
      <c r="A1545" s="120" t="s">
        <v>3463</v>
      </c>
      <c r="B1545" s="120" t="s">
        <v>3528</v>
      </c>
      <c r="C1545" s="120" t="s">
        <v>69</v>
      </c>
      <c r="D1545" s="120" t="s">
        <v>3553</v>
      </c>
      <c r="E1545" s="120" t="s">
        <v>242</v>
      </c>
      <c r="F1545" s="120" t="s">
        <v>18</v>
      </c>
      <c r="G1545" s="120">
        <v>0</v>
      </c>
      <c r="H1545">
        <v>0</v>
      </c>
      <c r="I1545" s="120" t="s">
        <v>57</v>
      </c>
      <c r="J1545">
        <v>0</v>
      </c>
      <c r="K1545">
        <v>1</v>
      </c>
      <c r="L1545" s="121">
        <v>0</v>
      </c>
      <c r="M1545" s="121">
        <v>0</v>
      </c>
      <c r="N1545" s="121">
        <v>0</v>
      </c>
    </row>
    <row r="1546" spans="1:14" hidden="1" x14ac:dyDescent="0.25">
      <c r="A1546" s="120" t="s">
        <v>3463</v>
      </c>
      <c r="B1546" s="120" t="s">
        <v>3528</v>
      </c>
      <c r="C1546" s="120" t="s">
        <v>69</v>
      </c>
      <c r="D1546" s="120" t="s">
        <v>3554</v>
      </c>
      <c r="E1546" s="120" t="s">
        <v>242</v>
      </c>
      <c r="F1546" s="120" t="s">
        <v>18</v>
      </c>
      <c r="G1546" s="120">
        <v>0</v>
      </c>
      <c r="H1546">
        <v>0</v>
      </c>
      <c r="I1546" s="120" t="s">
        <v>57</v>
      </c>
      <c r="J1546">
        <v>0</v>
      </c>
      <c r="K1546">
        <v>1</v>
      </c>
      <c r="L1546" s="121">
        <v>0</v>
      </c>
      <c r="M1546" s="121">
        <v>0</v>
      </c>
      <c r="N1546" s="121">
        <v>0</v>
      </c>
    </row>
    <row r="1547" spans="1:14" hidden="1" x14ac:dyDescent="0.25">
      <c r="A1547" s="120" t="s">
        <v>3463</v>
      </c>
      <c r="B1547" s="120" t="s">
        <v>3528</v>
      </c>
      <c r="C1547" s="120" t="s">
        <v>69</v>
      </c>
      <c r="D1547" s="120" t="s">
        <v>3555</v>
      </c>
      <c r="E1547" s="120" t="s">
        <v>243</v>
      </c>
      <c r="F1547" s="120" t="s">
        <v>18</v>
      </c>
      <c r="G1547" s="120">
        <v>0</v>
      </c>
      <c r="H1547">
        <v>0</v>
      </c>
      <c r="I1547" s="120" t="s">
        <v>57</v>
      </c>
      <c r="J1547">
        <v>0</v>
      </c>
      <c r="K1547">
        <v>1</v>
      </c>
      <c r="L1547" s="121">
        <v>0</v>
      </c>
      <c r="M1547" s="121">
        <v>0</v>
      </c>
      <c r="N1547" s="121">
        <v>0</v>
      </c>
    </row>
    <row r="1548" spans="1:14" hidden="1" x14ac:dyDescent="0.25">
      <c r="A1548" s="120" t="s">
        <v>3463</v>
      </c>
      <c r="B1548" s="120" t="s">
        <v>3528</v>
      </c>
      <c r="C1548" s="120" t="s">
        <v>69</v>
      </c>
      <c r="D1548" s="120" t="s">
        <v>3556</v>
      </c>
      <c r="E1548" s="120" t="s">
        <v>244</v>
      </c>
      <c r="F1548" s="120" t="s">
        <v>18</v>
      </c>
      <c r="G1548" s="120">
        <v>0</v>
      </c>
      <c r="H1548">
        <v>0</v>
      </c>
      <c r="I1548" s="120" t="s">
        <v>57</v>
      </c>
      <c r="J1548">
        <v>0</v>
      </c>
      <c r="K1548">
        <v>1</v>
      </c>
      <c r="L1548" s="121">
        <v>0</v>
      </c>
      <c r="M1548" s="121">
        <v>0</v>
      </c>
      <c r="N1548" s="121">
        <v>0</v>
      </c>
    </row>
    <row r="1549" spans="1:14" hidden="1" x14ac:dyDescent="0.25">
      <c r="A1549" s="120" t="s">
        <v>3463</v>
      </c>
      <c r="B1549" s="120" t="s">
        <v>3528</v>
      </c>
      <c r="C1549" s="120" t="s">
        <v>69</v>
      </c>
      <c r="D1549" s="120" t="s">
        <v>3557</v>
      </c>
      <c r="E1549" s="120" t="s">
        <v>245</v>
      </c>
      <c r="F1549" s="120" t="s">
        <v>14</v>
      </c>
      <c r="G1549" s="120">
        <v>0</v>
      </c>
      <c r="H1549">
        <v>0</v>
      </c>
      <c r="I1549" s="120" t="s">
        <v>57</v>
      </c>
      <c r="J1549">
        <v>0</v>
      </c>
      <c r="K1549">
        <v>1</v>
      </c>
      <c r="L1549" s="121">
        <v>0</v>
      </c>
      <c r="M1549" s="121">
        <v>0</v>
      </c>
      <c r="N1549" s="121">
        <v>0</v>
      </c>
    </row>
    <row r="1550" spans="1:14" hidden="1" x14ac:dyDescent="0.25">
      <c r="A1550" s="120" t="s">
        <v>3463</v>
      </c>
      <c r="B1550" s="120" t="s">
        <v>3528</v>
      </c>
      <c r="C1550" s="120" t="s">
        <v>69</v>
      </c>
      <c r="D1550" s="120" t="s">
        <v>3558</v>
      </c>
      <c r="E1550" s="120" t="s">
        <v>246</v>
      </c>
      <c r="F1550" s="120" t="s">
        <v>18</v>
      </c>
      <c r="G1550" s="120">
        <v>0</v>
      </c>
      <c r="H1550">
        <v>0</v>
      </c>
      <c r="I1550" s="120" t="s">
        <v>57</v>
      </c>
      <c r="J1550">
        <v>0</v>
      </c>
      <c r="K1550">
        <v>1</v>
      </c>
      <c r="L1550" s="121">
        <v>0</v>
      </c>
      <c r="M1550" s="121">
        <v>0</v>
      </c>
      <c r="N1550" s="121">
        <v>0</v>
      </c>
    </row>
    <row r="1551" spans="1:14" hidden="1" x14ac:dyDescent="0.25">
      <c r="A1551" s="120" t="s">
        <v>3591</v>
      </c>
      <c r="B1551" s="120" t="s">
        <v>3592</v>
      </c>
      <c r="C1551" s="120" t="s">
        <v>301</v>
      </c>
      <c r="D1551" s="120" t="s">
        <v>626</v>
      </c>
      <c r="E1551" s="120" t="s">
        <v>135</v>
      </c>
      <c r="F1551" s="120" t="s">
        <v>10</v>
      </c>
      <c r="G1551" s="120">
        <v>0</v>
      </c>
      <c r="H1551">
        <v>1</v>
      </c>
      <c r="I1551" s="120" t="s">
        <v>11</v>
      </c>
      <c r="J1551">
        <v>-1</v>
      </c>
      <c r="K1551">
        <v>0</v>
      </c>
      <c r="L1551">
        <v>14.9</v>
      </c>
      <c r="M1551">
        <v>0</v>
      </c>
      <c r="N1551">
        <v>14.9</v>
      </c>
    </row>
    <row r="1552" spans="1:14" hidden="1" x14ac:dyDescent="0.25">
      <c r="A1552" s="120" t="s">
        <v>3463</v>
      </c>
      <c r="B1552" s="120" t="s">
        <v>3528</v>
      </c>
      <c r="C1552" s="120" t="s">
        <v>69</v>
      </c>
      <c r="D1552" s="120" t="s">
        <v>3559</v>
      </c>
      <c r="E1552" s="120" t="s">
        <v>247</v>
      </c>
      <c r="F1552" s="120" t="s">
        <v>18</v>
      </c>
      <c r="G1552" s="120">
        <v>0</v>
      </c>
      <c r="H1552">
        <v>0</v>
      </c>
      <c r="I1552" s="120" t="s">
        <v>57</v>
      </c>
      <c r="J1552">
        <v>0</v>
      </c>
      <c r="K1552">
        <v>1</v>
      </c>
      <c r="L1552" s="121">
        <v>0</v>
      </c>
      <c r="M1552" s="121">
        <v>0</v>
      </c>
      <c r="N1552" s="121">
        <v>0</v>
      </c>
    </row>
    <row r="1553" spans="1:14" hidden="1" x14ac:dyDescent="0.25">
      <c r="A1553" s="120" t="s">
        <v>3463</v>
      </c>
      <c r="B1553" s="120" t="s">
        <v>3528</v>
      </c>
      <c r="C1553" s="120" t="s">
        <v>69</v>
      </c>
      <c r="D1553" s="120" t="s">
        <v>3560</v>
      </c>
      <c r="E1553" s="120" t="s">
        <v>248</v>
      </c>
      <c r="F1553" s="120" t="s">
        <v>18</v>
      </c>
      <c r="G1553" s="120">
        <v>0</v>
      </c>
      <c r="H1553">
        <v>0</v>
      </c>
      <c r="I1553" s="120" t="s">
        <v>57</v>
      </c>
      <c r="J1553">
        <v>0</v>
      </c>
      <c r="K1553">
        <v>1</v>
      </c>
      <c r="L1553" s="121">
        <v>0</v>
      </c>
      <c r="M1553" s="121">
        <v>0</v>
      </c>
      <c r="N1553" s="121">
        <v>0</v>
      </c>
    </row>
    <row r="1554" spans="1:14" hidden="1" x14ac:dyDescent="0.25">
      <c r="A1554" s="120" t="s">
        <v>3463</v>
      </c>
      <c r="B1554" s="120" t="s">
        <v>3528</v>
      </c>
      <c r="C1554" s="120" t="s">
        <v>69</v>
      </c>
      <c r="D1554" s="120" t="s">
        <v>3490</v>
      </c>
      <c r="E1554" s="120" t="s">
        <v>84</v>
      </c>
      <c r="F1554" s="120" t="s">
        <v>18</v>
      </c>
      <c r="G1554" s="120">
        <v>0</v>
      </c>
      <c r="H1554">
        <v>0</v>
      </c>
      <c r="I1554" s="120" t="s">
        <v>57</v>
      </c>
      <c r="J1554">
        <v>0</v>
      </c>
      <c r="K1554">
        <v>1</v>
      </c>
      <c r="L1554" s="121">
        <v>0</v>
      </c>
      <c r="M1554" s="121">
        <v>0</v>
      </c>
      <c r="N1554" s="121">
        <v>0</v>
      </c>
    </row>
    <row r="1555" spans="1:14" hidden="1" x14ac:dyDescent="0.25">
      <c r="A1555" s="120" t="s">
        <v>3463</v>
      </c>
      <c r="B1555" s="120" t="s">
        <v>3528</v>
      </c>
      <c r="C1555" s="120" t="s">
        <v>69</v>
      </c>
      <c r="D1555" s="120" t="s">
        <v>3561</v>
      </c>
      <c r="E1555" s="120" t="s">
        <v>249</v>
      </c>
      <c r="F1555" s="120" t="s">
        <v>18</v>
      </c>
      <c r="G1555" s="120">
        <v>0</v>
      </c>
      <c r="H1555">
        <v>0</v>
      </c>
      <c r="I1555" s="120" t="s">
        <v>57</v>
      </c>
      <c r="J1555">
        <v>0</v>
      </c>
      <c r="K1555">
        <v>1</v>
      </c>
      <c r="L1555" s="121">
        <v>0</v>
      </c>
      <c r="M1555" s="121">
        <v>0</v>
      </c>
      <c r="N1555" s="121">
        <v>0</v>
      </c>
    </row>
    <row r="1556" spans="1:14" hidden="1" x14ac:dyDescent="0.25">
      <c r="A1556" s="120" t="s">
        <v>3463</v>
      </c>
      <c r="B1556" s="120" t="s">
        <v>3528</v>
      </c>
      <c r="C1556" s="120" t="s">
        <v>69</v>
      </c>
      <c r="D1556" s="120" t="s">
        <v>3562</v>
      </c>
      <c r="E1556" s="120" t="s">
        <v>250</v>
      </c>
      <c r="F1556" s="120" t="s">
        <v>18</v>
      </c>
      <c r="G1556" s="120">
        <v>0</v>
      </c>
      <c r="H1556">
        <v>0</v>
      </c>
      <c r="I1556" s="120" t="s">
        <v>57</v>
      </c>
      <c r="J1556">
        <v>0</v>
      </c>
      <c r="K1556">
        <v>1</v>
      </c>
      <c r="L1556" s="121">
        <v>0</v>
      </c>
      <c r="M1556" s="121">
        <v>0</v>
      </c>
      <c r="N1556" s="121">
        <v>0</v>
      </c>
    </row>
    <row r="1557" spans="1:14" hidden="1" x14ac:dyDescent="0.25">
      <c r="A1557" s="120" t="s">
        <v>3463</v>
      </c>
      <c r="B1557" s="120" t="s">
        <v>3528</v>
      </c>
      <c r="C1557" s="120" t="s">
        <v>69</v>
      </c>
      <c r="D1557" s="120" t="s">
        <v>3563</v>
      </c>
      <c r="E1557" s="120" t="s">
        <v>251</v>
      </c>
      <c r="F1557" s="120" t="s">
        <v>18</v>
      </c>
      <c r="G1557" s="120">
        <v>0</v>
      </c>
      <c r="H1557">
        <v>0</v>
      </c>
      <c r="I1557" s="120" t="s">
        <v>57</v>
      </c>
      <c r="J1557">
        <v>0</v>
      </c>
      <c r="K1557">
        <v>1</v>
      </c>
      <c r="L1557" s="121">
        <v>0</v>
      </c>
      <c r="M1557" s="121">
        <v>0</v>
      </c>
      <c r="N1557" s="121">
        <v>0</v>
      </c>
    </row>
    <row r="1558" spans="1:14" hidden="1" x14ac:dyDescent="0.25">
      <c r="A1558" s="120" t="s">
        <v>3463</v>
      </c>
      <c r="B1558" s="120" t="s">
        <v>3528</v>
      </c>
      <c r="C1558" s="120" t="s">
        <v>69</v>
      </c>
      <c r="D1558" s="120" t="s">
        <v>3564</v>
      </c>
      <c r="E1558" s="120" t="s">
        <v>252</v>
      </c>
      <c r="F1558" s="120" t="s">
        <v>18</v>
      </c>
      <c r="G1558" s="120">
        <v>0</v>
      </c>
      <c r="H1558">
        <v>0</v>
      </c>
      <c r="I1558" s="120" t="s">
        <v>57</v>
      </c>
      <c r="J1558">
        <v>0</v>
      </c>
      <c r="K1558">
        <v>1</v>
      </c>
      <c r="L1558" s="121">
        <v>0</v>
      </c>
      <c r="M1558" s="121">
        <v>0</v>
      </c>
      <c r="N1558" s="121">
        <v>0</v>
      </c>
    </row>
    <row r="1559" spans="1:14" hidden="1" x14ac:dyDescent="0.25">
      <c r="A1559" s="120" t="s">
        <v>3463</v>
      </c>
      <c r="B1559" s="120" t="s">
        <v>3528</v>
      </c>
      <c r="C1559" s="120" t="s">
        <v>69</v>
      </c>
      <c r="D1559" s="120" t="s">
        <v>3565</v>
      </c>
      <c r="E1559" s="120" t="s">
        <v>253</v>
      </c>
      <c r="F1559" s="120" t="s">
        <v>18</v>
      </c>
      <c r="G1559" s="120">
        <v>0</v>
      </c>
      <c r="H1559">
        <v>0</v>
      </c>
      <c r="I1559" s="120" t="s">
        <v>57</v>
      </c>
      <c r="J1559">
        <v>0</v>
      </c>
      <c r="K1559">
        <v>1</v>
      </c>
      <c r="L1559" s="121">
        <v>0</v>
      </c>
      <c r="M1559" s="121">
        <v>0</v>
      </c>
      <c r="N1559" s="121">
        <v>0</v>
      </c>
    </row>
    <row r="1560" spans="1:14" hidden="1" x14ac:dyDescent="0.25">
      <c r="A1560" s="120" t="s">
        <v>3591</v>
      </c>
      <c r="B1560" s="120" t="s">
        <v>3592</v>
      </c>
      <c r="C1560" s="120" t="s">
        <v>301</v>
      </c>
      <c r="D1560" s="120" t="s">
        <v>627</v>
      </c>
      <c r="E1560" s="120" t="s">
        <v>58</v>
      </c>
      <c r="F1560" s="120" t="s">
        <v>18</v>
      </c>
      <c r="G1560" s="120">
        <v>0</v>
      </c>
      <c r="H1560">
        <v>1</v>
      </c>
      <c r="I1560" s="120" t="s">
        <v>11</v>
      </c>
      <c r="J1560">
        <v>-1</v>
      </c>
      <c r="K1560">
        <v>0</v>
      </c>
      <c r="L1560">
        <v>3.8</v>
      </c>
      <c r="M1560">
        <v>0</v>
      </c>
      <c r="N1560">
        <v>3.8</v>
      </c>
    </row>
    <row r="1561" spans="1:14" hidden="1" x14ac:dyDescent="0.25">
      <c r="A1561" s="120" t="s">
        <v>3463</v>
      </c>
      <c r="B1561" s="120" t="s">
        <v>3528</v>
      </c>
      <c r="C1561" s="120" t="s">
        <v>69</v>
      </c>
      <c r="D1561" s="120" t="s">
        <v>3491</v>
      </c>
      <c r="E1561" s="120" t="s">
        <v>254</v>
      </c>
      <c r="F1561" s="120" t="s">
        <v>18</v>
      </c>
      <c r="G1561" s="120">
        <v>0</v>
      </c>
      <c r="H1561">
        <v>0</v>
      </c>
      <c r="I1561" s="120" t="s">
        <v>57</v>
      </c>
      <c r="J1561">
        <v>0</v>
      </c>
      <c r="K1561">
        <v>1</v>
      </c>
      <c r="L1561" s="121">
        <v>0</v>
      </c>
      <c r="M1561" s="121">
        <v>0</v>
      </c>
      <c r="N1561" s="121">
        <v>0</v>
      </c>
    </row>
    <row r="1562" spans="1:14" hidden="1" x14ac:dyDescent="0.25">
      <c r="A1562" s="120" t="s">
        <v>3463</v>
      </c>
      <c r="B1562" s="120" t="s">
        <v>3528</v>
      </c>
      <c r="C1562" s="120" t="s">
        <v>69</v>
      </c>
      <c r="D1562" s="120" t="s">
        <v>3566</v>
      </c>
      <c r="E1562" s="120" t="s">
        <v>254</v>
      </c>
      <c r="F1562" s="120" t="s">
        <v>18</v>
      </c>
      <c r="G1562" s="120">
        <v>0</v>
      </c>
      <c r="H1562">
        <v>0</v>
      </c>
      <c r="I1562" s="120" t="s">
        <v>57</v>
      </c>
      <c r="J1562">
        <v>0</v>
      </c>
      <c r="K1562">
        <v>1</v>
      </c>
      <c r="L1562" s="121">
        <v>0</v>
      </c>
      <c r="M1562" s="121">
        <v>0</v>
      </c>
      <c r="N1562" s="121">
        <v>0</v>
      </c>
    </row>
    <row r="1563" spans="1:14" hidden="1" x14ac:dyDescent="0.25">
      <c r="A1563" s="120" t="s">
        <v>3463</v>
      </c>
      <c r="B1563" s="120" t="s">
        <v>3528</v>
      </c>
      <c r="C1563" s="120" t="s">
        <v>69</v>
      </c>
      <c r="D1563" s="120" t="s">
        <v>3492</v>
      </c>
      <c r="E1563" s="120" t="s">
        <v>86</v>
      </c>
      <c r="F1563" s="120" t="s">
        <v>18</v>
      </c>
      <c r="G1563" s="120">
        <v>0</v>
      </c>
      <c r="H1563">
        <v>0</v>
      </c>
      <c r="I1563" s="120" t="s">
        <v>57</v>
      </c>
      <c r="J1563">
        <v>0</v>
      </c>
      <c r="K1563">
        <v>1</v>
      </c>
      <c r="L1563" s="121">
        <v>0</v>
      </c>
      <c r="M1563" s="121">
        <v>0</v>
      </c>
      <c r="N1563" s="121">
        <v>0</v>
      </c>
    </row>
    <row r="1564" spans="1:14" hidden="1" x14ac:dyDescent="0.25">
      <c r="A1564" s="120" t="s">
        <v>3463</v>
      </c>
      <c r="B1564" s="120" t="s">
        <v>3528</v>
      </c>
      <c r="C1564" s="120" t="s">
        <v>69</v>
      </c>
      <c r="D1564" s="120" t="s">
        <v>3567</v>
      </c>
      <c r="E1564" s="120" t="s">
        <v>255</v>
      </c>
      <c r="F1564" s="120" t="s">
        <v>18</v>
      </c>
      <c r="G1564" s="120">
        <v>0</v>
      </c>
      <c r="H1564">
        <v>0</v>
      </c>
      <c r="I1564" s="120" t="s">
        <v>57</v>
      </c>
      <c r="J1564">
        <v>0</v>
      </c>
      <c r="K1564">
        <v>1</v>
      </c>
      <c r="L1564" s="121">
        <v>0</v>
      </c>
      <c r="M1564" s="121">
        <v>0</v>
      </c>
      <c r="N1564" s="121">
        <v>0</v>
      </c>
    </row>
    <row r="1565" spans="1:14" hidden="1" x14ac:dyDescent="0.25">
      <c r="A1565" s="120" t="s">
        <v>3463</v>
      </c>
      <c r="B1565" s="120" t="s">
        <v>3528</v>
      </c>
      <c r="C1565" s="120" t="s">
        <v>69</v>
      </c>
      <c r="D1565" s="120" t="s">
        <v>3493</v>
      </c>
      <c r="E1565" s="120" t="s">
        <v>87</v>
      </c>
      <c r="F1565" s="120" t="s">
        <v>233</v>
      </c>
      <c r="G1565" s="120">
        <v>0</v>
      </c>
      <c r="H1565">
        <v>0</v>
      </c>
      <c r="I1565" s="120" t="s">
        <v>57</v>
      </c>
      <c r="J1565">
        <v>0</v>
      </c>
      <c r="K1565">
        <v>1</v>
      </c>
      <c r="L1565" s="121">
        <v>0</v>
      </c>
      <c r="M1565" s="121">
        <v>0</v>
      </c>
      <c r="N1565" s="121">
        <v>0</v>
      </c>
    </row>
    <row r="1566" spans="1:14" hidden="1" x14ac:dyDescent="0.25">
      <c r="A1566" s="120" t="s">
        <v>3463</v>
      </c>
      <c r="B1566" s="120" t="s">
        <v>3528</v>
      </c>
      <c r="C1566" s="120" t="s">
        <v>69</v>
      </c>
      <c r="D1566" s="120" t="s">
        <v>3494</v>
      </c>
      <c r="E1566" s="120" t="s">
        <v>88</v>
      </c>
      <c r="F1566" s="120" t="s">
        <v>233</v>
      </c>
      <c r="G1566" s="120">
        <v>0</v>
      </c>
      <c r="H1566">
        <v>0</v>
      </c>
      <c r="I1566" s="120" t="s">
        <v>57</v>
      </c>
      <c r="J1566">
        <v>0</v>
      </c>
      <c r="K1566">
        <v>1</v>
      </c>
      <c r="L1566" s="121">
        <v>0</v>
      </c>
      <c r="M1566" s="121">
        <v>0</v>
      </c>
      <c r="N1566" s="121">
        <v>0</v>
      </c>
    </row>
    <row r="1567" spans="1:14" hidden="1" x14ac:dyDescent="0.25">
      <c r="A1567" s="120" t="s">
        <v>3463</v>
      </c>
      <c r="B1567" s="120" t="s">
        <v>3528</v>
      </c>
      <c r="C1567" s="120" t="s">
        <v>69</v>
      </c>
      <c r="D1567" s="120" t="s">
        <v>3495</v>
      </c>
      <c r="E1567" s="120" t="s">
        <v>89</v>
      </c>
      <c r="F1567" s="120" t="s">
        <v>18</v>
      </c>
      <c r="G1567" s="120">
        <v>0</v>
      </c>
      <c r="H1567">
        <v>0</v>
      </c>
      <c r="I1567" s="120" t="s">
        <v>57</v>
      </c>
      <c r="J1567">
        <v>0</v>
      </c>
      <c r="K1567">
        <v>1</v>
      </c>
      <c r="L1567" s="121">
        <v>0</v>
      </c>
      <c r="M1567" s="121">
        <v>0</v>
      </c>
      <c r="N1567" s="121">
        <v>0</v>
      </c>
    </row>
    <row r="1568" spans="1:14" hidden="1" x14ac:dyDescent="0.25">
      <c r="A1568" s="120" t="s">
        <v>3463</v>
      </c>
      <c r="B1568" s="120" t="s">
        <v>3528</v>
      </c>
      <c r="C1568" s="120" t="s">
        <v>69</v>
      </c>
      <c r="D1568" s="120" t="s">
        <v>3568</v>
      </c>
      <c r="E1568" s="120" t="s">
        <v>256</v>
      </c>
      <c r="F1568" s="120" t="s">
        <v>233</v>
      </c>
      <c r="G1568" s="120">
        <v>0</v>
      </c>
      <c r="H1568">
        <v>0</v>
      </c>
      <c r="I1568" s="120" t="s">
        <v>57</v>
      </c>
      <c r="J1568">
        <v>0</v>
      </c>
      <c r="K1568">
        <v>1</v>
      </c>
      <c r="L1568" s="121">
        <v>0</v>
      </c>
      <c r="M1568" s="121">
        <v>0</v>
      </c>
      <c r="N1568" s="121">
        <v>0</v>
      </c>
    </row>
    <row r="1569" spans="1:14" hidden="1" x14ac:dyDescent="0.25">
      <c r="A1569" s="120" t="s">
        <v>3463</v>
      </c>
      <c r="B1569" s="120" t="s">
        <v>3528</v>
      </c>
      <c r="C1569" s="120" t="s">
        <v>69</v>
      </c>
      <c r="D1569" s="120" t="s">
        <v>3569</v>
      </c>
      <c r="E1569" s="120" t="s">
        <v>257</v>
      </c>
      <c r="F1569" s="120" t="s">
        <v>233</v>
      </c>
      <c r="G1569" s="120">
        <v>0</v>
      </c>
      <c r="H1569">
        <v>0</v>
      </c>
      <c r="I1569" s="120" t="s">
        <v>57</v>
      </c>
      <c r="J1569">
        <v>0</v>
      </c>
      <c r="K1569">
        <v>1</v>
      </c>
      <c r="L1569" s="121">
        <v>0</v>
      </c>
      <c r="M1569" s="121">
        <v>0</v>
      </c>
      <c r="N1569" s="121">
        <v>0</v>
      </c>
    </row>
    <row r="1570" spans="1:14" hidden="1" x14ac:dyDescent="0.25">
      <c r="A1570" s="120" t="s">
        <v>3463</v>
      </c>
      <c r="B1570" s="120" t="s">
        <v>3528</v>
      </c>
      <c r="C1570" s="120" t="s">
        <v>69</v>
      </c>
      <c r="D1570" s="120" t="s">
        <v>3570</v>
      </c>
      <c r="E1570" s="120" t="s">
        <v>257</v>
      </c>
      <c r="F1570" s="120" t="s">
        <v>233</v>
      </c>
      <c r="G1570" s="120">
        <v>0</v>
      </c>
      <c r="H1570">
        <v>0</v>
      </c>
      <c r="I1570" s="120" t="s">
        <v>57</v>
      </c>
      <c r="J1570">
        <v>0</v>
      </c>
      <c r="K1570">
        <v>1</v>
      </c>
      <c r="L1570" s="121">
        <v>0</v>
      </c>
      <c r="M1570" s="121">
        <v>0</v>
      </c>
      <c r="N1570" s="121">
        <v>0</v>
      </c>
    </row>
    <row r="1571" spans="1:14" hidden="1" x14ac:dyDescent="0.25">
      <c r="A1571" s="120" t="s">
        <v>3463</v>
      </c>
      <c r="B1571" s="120" t="s">
        <v>3528</v>
      </c>
      <c r="C1571" s="120" t="s">
        <v>69</v>
      </c>
      <c r="D1571" s="120" t="s">
        <v>3496</v>
      </c>
      <c r="E1571" s="120" t="s">
        <v>90</v>
      </c>
      <c r="F1571" s="120" t="s">
        <v>14</v>
      </c>
      <c r="G1571" s="120">
        <v>0</v>
      </c>
      <c r="H1571">
        <v>0</v>
      </c>
      <c r="I1571" s="120" t="s">
        <v>57</v>
      </c>
      <c r="J1571">
        <v>0</v>
      </c>
      <c r="K1571">
        <v>1</v>
      </c>
      <c r="L1571" s="121">
        <v>0</v>
      </c>
      <c r="M1571" s="121">
        <v>0</v>
      </c>
      <c r="N1571" s="121">
        <v>0</v>
      </c>
    </row>
    <row r="1572" spans="1:14" hidden="1" x14ac:dyDescent="0.25">
      <c r="A1572" s="120" t="s">
        <v>3463</v>
      </c>
      <c r="B1572" s="120" t="s">
        <v>3528</v>
      </c>
      <c r="C1572" s="120" t="s">
        <v>69</v>
      </c>
      <c r="D1572" s="120" t="s">
        <v>3497</v>
      </c>
      <c r="E1572" s="120" t="s">
        <v>91</v>
      </c>
      <c r="F1572" s="120" t="s">
        <v>18</v>
      </c>
      <c r="G1572" s="120">
        <v>0</v>
      </c>
      <c r="H1572">
        <v>0</v>
      </c>
      <c r="I1572" s="120" t="s">
        <v>57</v>
      </c>
      <c r="J1572">
        <v>0</v>
      </c>
      <c r="K1572">
        <v>1</v>
      </c>
      <c r="L1572" s="121">
        <v>0</v>
      </c>
      <c r="M1572" s="121">
        <v>0</v>
      </c>
      <c r="N1572" s="121">
        <v>0</v>
      </c>
    </row>
    <row r="1573" spans="1:14" hidden="1" x14ac:dyDescent="0.25">
      <c r="A1573" s="120" t="s">
        <v>3591</v>
      </c>
      <c r="B1573" s="120" t="s">
        <v>3592</v>
      </c>
      <c r="C1573" s="120" t="s">
        <v>301</v>
      </c>
      <c r="D1573" s="120" t="s">
        <v>637</v>
      </c>
      <c r="E1573" s="120" t="s">
        <v>393</v>
      </c>
      <c r="F1573" s="120" t="s">
        <v>18</v>
      </c>
      <c r="G1573" s="120">
        <v>0</v>
      </c>
      <c r="H1573">
        <v>1</v>
      </c>
      <c r="I1573" s="120" t="s">
        <v>57</v>
      </c>
      <c r="J1573">
        <v>-1</v>
      </c>
      <c r="K1573">
        <v>0</v>
      </c>
      <c r="L1573">
        <v>1.82</v>
      </c>
      <c r="M1573">
        <v>0</v>
      </c>
      <c r="N1573">
        <v>1.82</v>
      </c>
    </row>
    <row r="1574" spans="1:14" hidden="1" x14ac:dyDescent="0.25">
      <c r="A1574" s="120" t="s">
        <v>3463</v>
      </c>
      <c r="B1574" s="120" t="s">
        <v>3528</v>
      </c>
      <c r="C1574" s="120" t="s">
        <v>69</v>
      </c>
      <c r="D1574" s="120" t="s">
        <v>3573</v>
      </c>
      <c r="E1574" s="120" t="s">
        <v>260</v>
      </c>
      <c r="F1574" s="120" t="s">
        <v>14</v>
      </c>
      <c r="G1574" s="120">
        <v>0</v>
      </c>
      <c r="H1574">
        <v>0</v>
      </c>
      <c r="I1574" s="120" t="s">
        <v>57</v>
      </c>
      <c r="J1574">
        <v>0</v>
      </c>
      <c r="K1574">
        <v>1</v>
      </c>
      <c r="L1574" s="121">
        <v>0</v>
      </c>
      <c r="M1574" s="121">
        <v>0</v>
      </c>
      <c r="N1574" s="121">
        <v>0</v>
      </c>
    </row>
    <row r="1575" spans="1:14" hidden="1" x14ac:dyDescent="0.25">
      <c r="A1575" s="120" t="s">
        <v>3463</v>
      </c>
      <c r="B1575" s="120" t="s">
        <v>3528</v>
      </c>
      <c r="C1575" s="120" t="s">
        <v>69</v>
      </c>
      <c r="D1575" s="120" t="s">
        <v>3574</v>
      </c>
      <c r="E1575" s="120" t="s">
        <v>261</v>
      </c>
      <c r="F1575" s="120" t="s">
        <v>18</v>
      </c>
      <c r="G1575" s="120">
        <v>0</v>
      </c>
      <c r="H1575">
        <v>0</v>
      </c>
      <c r="I1575" s="120" t="s">
        <v>57</v>
      </c>
      <c r="J1575">
        <v>0</v>
      </c>
      <c r="K1575">
        <v>1</v>
      </c>
      <c r="L1575" s="121">
        <v>0</v>
      </c>
      <c r="M1575" s="121">
        <v>0</v>
      </c>
      <c r="N1575" s="121">
        <v>0</v>
      </c>
    </row>
    <row r="1576" spans="1:14" hidden="1" x14ac:dyDescent="0.25">
      <c r="A1576" s="120" t="s">
        <v>3463</v>
      </c>
      <c r="B1576" s="120" t="s">
        <v>3528</v>
      </c>
      <c r="C1576" s="120" t="s">
        <v>69</v>
      </c>
      <c r="D1576" s="120" t="s">
        <v>3576</v>
      </c>
      <c r="E1576" s="120" t="s">
        <v>263</v>
      </c>
      <c r="F1576" s="120" t="s">
        <v>18</v>
      </c>
      <c r="G1576" s="120">
        <v>0</v>
      </c>
      <c r="H1576">
        <v>0</v>
      </c>
      <c r="I1576" s="120" t="s">
        <v>57</v>
      </c>
      <c r="J1576">
        <v>0</v>
      </c>
      <c r="K1576">
        <v>1</v>
      </c>
      <c r="L1576" s="121">
        <v>0</v>
      </c>
      <c r="M1576" s="121">
        <v>0</v>
      </c>
      <c r="N1576" s="121">
        <v>0</v>
      </c>
    </row>
    <row r="1577" spans="1:14" hidden="1" x14ac:dyDescent="0.25">
      <c r="A1577" s="120" t="s">
        <v>3463</v>
      </c>
      <c r="B1577" s="120" t="s">
        <v>3528</v>
      </c>
      <c r="C1577" s="120" t="s">
        <v>69</v>
      </c>
      <c r="D1577" s="120" t="s">
        <v>3577</v>
      </c>
      <c r="E1577" s="120" t="s">
        <v>264</v>
      </c>
      <c r="F1577" s="120" t="s">
        <v>18</v>
      </c>
      <c r="G1577" s="120">
        <v>0</v>
      </c>
      <c r="H1577">
        <v>0</v>
      </c>
      <c r="I1577" s="120" t="s">
        <v>57</v>
      </c>
      <c r="J1577">
        <v>0</v>
      </c>
      <c r="K1577">
        <v>1</v>
      </c>
      <c r="L1577" s="121">
        <v>0</v>
      </c>
      <c r="M1577" s="121">
        <v>0</v>
      </c>
      <c r="N1577" s="121">
        <v>0</v>
      </c>
    </row>
    <row r="1578" spans="1:14" hidden="1" x14ac:dyDescent="0.25">
      <c r="A1578" s="120" t="s">
        <v>3463</v>
      </c>
      <c r="B1578" s="120" t="s">
        <v>3528</v>
      </c>
      <c r="C1578" s="120" t="s">
        <v>69</v>
      </c>
      <c r="D1578" s="120" t="s">
        <v>3499</v>
      </c>
      <c r="E1578" s="120" t="s">
        <v>265</v>
      </c>
      <c r="F1578" s="120" t="s">
        <v>18</v>
      </c>
      <c r="G1578" s="120">
        <v>0</v>
      </c>
      <c r="H1578">
        <v>0</v>
      </c>
      <c r="I1578" s="120" t="s">
        <v>57</v>
      </c>
      <c r="J1578">
        <v>0</v>
      </c>
      <c r="K1578">
        <v>1</v>
      </c>
      <c r="L1578" s="121">
        <v>0</v>
      </c>
      <c r="M1578" s="121">
        <v>0</v>
      </c>
      <c r="N1578" s="121">
        <v>0</v>
      </c>
    </row>
    <row r="1579" spans="1:14" hidden="1" x14ac:dyDescent="0.25">
      <c r="A1579" s="120" t="s">
        <v>3463</v>
      </c>
      <c r="B1579" s="120" t="s">
        <v>3528</v>
      </c>
      <c r="C1579" s="120" t="s">
        <v>69</v>
      </c>
      <c r="D1579" s="120" t="s">
        <v>3498</v>
      </c>
      <c r="E1579" s="120" t="s">
        <v>265</v>
      </c>
      <c r="F1579" s="120" t="s">
        <v>18</v>
      </c>
      <c r="G1579" s="120">
        <v>0</v>
      </c>
      <c r="H1579">
        <v>0</v>
      </c>
      <c r="I1579" s="120" t="s">
        <v>57</v>
      </c>
      <c r="J1579">
        <v>0</v>
      </c>
      <c r="K1579">
        <v>1</v>
      </c>
      <c r="L1579" s="121">
        <v>0</v>
      </c>
      <c r="M1579" s="121">
        <v>0</v>
      </c>
      <c r="N1579" s="121">
        <v>0</v>
      </c>
    </row>
    <row r="1580" spans="1:14" hidden="1" x14ac:dyDescent="0.25">
      <c r="A1580" s="120" t="s">
        <v>3463</v>
      </c>
      <c r="B1580" s="120" t="s">
        <v>3528</v>
      </c>
      <c r="C1580" s="120" t="s">
        <v>69</v>
      </c>
      <c r="D1580" s="120" t="s">
        <v>3501</v>
      </c>
      <c r="E1580" s="120" t="s">
        <v>265</v>
      </c>
      <c r="F1580" s="120" t="s">
        <v>18</v>
      </c>
      <c r="G1580" s="120">
        <v>0</v>
      </c>
      <c r="H1580">
        <v>0</v>
      </c>
      <c r="I1580" s="120" t="s">
        <v>57</v>
      </c>
      <c r="J1580">
        <v>0</v>
      </c>
      <c r="K1580">
        <v>1</v>
      </c>
      <c r="L1580" s="121">
        <v>0</v>
      </c>
      <c r="M1580" s="121">
        <v>0</v>
      </c>
      <c r="N1580" s="121">
        <v>0</v>
      </c>
    </row>
    <row r="1581" spans="1:14" hidden="1" x14ac:dyDescent="0.25">
      <c r="A1581" s="120" t="s">
        <v>3463</v>
      </c>
      <c r="B1581" s="120" t="s">
        <v>3528</v>
      </c>
      <c r="C1581" s="120" t="s">
        <v>69</v>
      </c>
      <c r="D1581" s="120" t="s">
        <v>3500</v>
      </c>
      <c r="E1581" s="120" t="s">
        <v>265</v>
      </c>
      <c r="F1581" s="120" t="s">
        <v>18</v>
      </c>
      <c r="G1581" s="120">
        <v>0</v>
      </c>
      <c r="H1581">
        <v>0</v>
      </c>
      <c r="I1581" s="120" t="s">
        <v>57</v>
      </c>
      <c r="J1581">
        <v>0</v>
      </c>
      <c r="K1581">
        <v>1</v>
      </c>
      <c r="L1581" s="121">
        <v>0</v>
      </c>
      <c r="M1581" s="121">
        <v>0</v>
      </c>
      <c r="N1581" s="121">
        <v>0</v>
      </c>
    </row>
    <row r="1582" spans="1:14" hidden="1" x14ac:dyDescent="0.25">
      <c r="A1582" s="120" t="s">
        <v>3463</v>
      </c>
      <c r="B1582" s="120" t="s">
        <v>3528</v>
      </c>
      <c r="C1582" s="120" t="s">
        <v>69</v>
      </c>
      <c r="D1582" s="120" t="s">
        <v>3578</v>
      </c>
      <c r="E1582" s="120" t="s">
        <v>267</v>
      </c>
      <c r="F1582" s="120" t="s">
        <v>10</v>
      </c>
      <c r="G1582" s="120">
        <v>0</v>
      </c>
      <c r="H1582">
        <v>0</v>
      </c>
      <c r="I1582" s="120" t="s">
        <v>57</v>
      </c>
      <c r="J1582">
        <v>0</v>
      </c>
      <c r="K1582">
        <v>1</v>
      </c>
      <c r="L1582" s="121">
        <v>0</v>
      </c>
      <c r="M1582" s="121">
        <v>0</v>
      </c>
      <c r="N1582" s="121">
        <v>0</v>
      </c>
    </row>
    <row r="1583" spans="1:14" hidden="1" x14ac:dyDescent="0.25">
      <c r="A1583" s="120" t="s">
        <v>3463</v>
      </c>
      <c r="B1583" s="120" t="s">
        <v>3528</v>
      </c>
      <c r="C1583" s="120" t="s">
        <v>69</v>
      </c>
      <c r="D1583" s="120" t="s">
        <v>679</v>
      </c>
      <c r="E1583" s="120" t="s">
        <v>268</v>
      </c>
      <c r="F1583" s="120" t="s">
        <v>14</v>
      </c>
      <c r="G1583" s="120">
        <v>0</v>
      </c>
      <c r="H1583">
        <v>0</v>
      </c>
      <c r="I1583" s="120" t="s">
        <v>57</v>
      </c>
      <c r="J1583">
        <v>0</v>
      </c>
      <c r="K1583">
        <v>1</v>
      </c>
      <c r="L1583" s="121">
        <v>38</v>
      </c>
      <c r="M1583" s="121">
        <v>0</v>
      </c>
      <c r="N1583" s="121">
        <v>0</v>
      </c>
    </row>
    <row r="1584" spans="1:14" hidden="1" x14ac:dyDescent="0.25">
      <c r="A1584" s="120" t="s">
        <v>3463</v>
      </c>
      <c r="B1584" s="120" t="s">
        <v>3528</v>
      </c>
      <c r="C1584" s="120" t="s">
        <v>69</v>
      </c>
      <c r="D1584" s="120" t="s">
        <v>680</v>
      </c>
      <c r="E1584" s="120" t="s">
        <v>269</v>
      </c>
      <c r="F1584" s="120" t="s">
        <v>10</v>
      </c>
      <c r="G1584" s="120">
        <v>5</v>
      </c>
      <c r="H1584">
        <v>0</v>
      </c>
      <c r="I1584" s="120" t="s">
        <v>57</v>
      </c>
      <c r="J1584">
        <v>5</v>
      </c>
      <c r="K1584">
        <v>0</v>
      </c>
      <c r="L1584">
        <v>18</v>
      </c>
      <c r="M1584">
        <v>90</v>
      </c>
      <c r="N1584">
        <v>0</v>
      </c>
    </row>
    <row r="1585" spans="1:14" hidden="1" x14ac:dyDescent="0.25">
      <c r="A1585" s="120" t="s">
        <v>3463</v>
      </c>
      <c r="B1585" s="120" t="s">
        <v>3528</v>
      </c>
      <c r="C1585" s="120" t="s">
        <v>69</v>
      </c>
      <c r="D1585" s="120" t="s">
        <v>685</v>
      </c>
      <c r="E1585" s="120" t="s">
        <v>98</v>
      </c>
      <c r="F1585" s="120" t="s">
        <v>18</v>
      </c>
      <c r="G1585" s="120">
        <v>0</v>
      </c>
      <c r="H1585">
        <v>0</v>
      </c>
      <c r="I1585" s="120" t="s">
        <v>57</v>
      </c>
      <c r="J1585">
        <v>0</v>
      </c>
      <c r="K1585">
        <v>1</v>
      </c>
      <c r="L1585" s="121">
        <v>22.8</v>
      </c>
      <c r="M1585" s="121">
        <v>0</v>
      </c>
      <c r="N1585" s="121">
        <v>0</v>
      </c>
    </row>
    <row r="1586" spans="1:14" hidden="1" x14ac:dyDescent="0.25">
      <c r="A1586" s="120" t="s">
        <v>3463</v>
      </c>
      <c r="B1586" s="120" t="s">
        <v>3528</v>
      </c>
      <c r="C1586" s="120" t="s">
        <v>69</v>
      </c>
      <c r="D1586" s="120" t="s">
        <v>686</v>
      </c>
      <c r="E1586" s="120" t="s">
        <v>270</v>
      </c>
      <c r="F1586" s="120" t="s">
        <v>10</v>
      </c>
      <c r="G1586" s="120">
        <v>0</v>
      </c>
      <c r="H1586">
        <v>0</v>
      </c>
      <c r="I1586" s="120" t="s">
        <v>57</v>
      </c>
      <c r="J1586">
        <v>0</v>
      </c>
      <c r="K1586">
        <v>1</v>
      </c>
      <c r="L1586" s="121">
        <v>18</v>
      </c>
      <c r="M1586" s="121">
        <v>0</v>
      </c>
      <c r="N1586" s="121">
        <v>0</v>
      </c>
    </row>
    <row r="1587" spans="1:14" hidden="1" x14ac:dyDescent="0.25">
      <c r="A1587" s="120" t="s">
        <v>3463</v>
      </c>
      <c r="B1587" s="120" t="s">
        <v>3528</v>
      </c>
      <c r="C1587" s="120" t="s">
        <v>69</v>
      </c>
      <c r="D1587" s="120" t="s">
        <v>726</v>
      </c>
      <c r="E1587" s="120" t="s">
        <v>178</v>
      </c>
      <c r="F1587" s="120" t="s">
        <v>18</v>
      </c>
      <c r="G1587" s="120">
        <v>4</v>
      </c>
      <c r="H1587">
        <v>0</v>
      </c>
      <c r="I1587" s="120" t="s">
        <v>57</v>
      </c>
      <c r="J1587">
        <v>4</v>
      </c>
      <c r="K1587">
        <v>0</v>
      </c>
      <c r="L1587">
        <v>85</v>
      </c>
      <c r="M1587">
        <v>340</v>
      </c>
      <c r="N1587">
        <v>0</v>
      </c>
    </row>
    <row r="1588" spans="1:14" hidden="1" x14ac:dyDescent="0.25">
      <c r="A1588" s="120" t="s">
        <v>3463</v>
      </c>
      <c r="B1588" s="120" t="s">
        <v>3528</v>
      </c>
      <c r="C1588" s="120" t="s">
        <v>69</v>
      </c>
      <c r="D1588" s="120" t="s">
        <v>728</v>
      </c>
      <c r="E1588" s="120" t="s">
        <v>178</v>
      </c>
      <c r="F1588" s="120" t="s">
        <v>101</v>
      </c>
      <c r="G1588" s="120">
        <v>0</v>
      </c>
      <c r="H1588">
        <v>0</v>
      </c>
      <c r="I1588" s="120" t="s">
        <v>57</v>
      </c>
      <c r="J1588">
        <v>0</v>
      </c>
      <c r="K1588">
        <v>1</v>
      </c>
      <c r="L1588" s="121">
        <v>165</v>
      </c>
      <c r="M1588" s="121">
        <v>0</v>
      </c>
      <c r="N1588" s="121">
        <v>0</v>
      </c>
    </row>
    <row r="1589" spans="1:14" hidden="1" x14ac:dyDescent="0.25">
      <c r="A1589" s="120" t="s">
        <v>3463</v>
      </c>
      <c r="B1589" s="120" t="s">
        <v>3528</v>
      </c>
      <c r="C1589" s="120" t="s">
        <v>69</v>
      </c>
      <c r="D1589" s="120" t="s">
        <v>739</v>
      </c>
      <c r="E1589" s="120" t="s">
        <v>271</v>
      </c>
      <c r="F1589" s="120" t="s">
        <v>14</v>
      </c>
      <c r="G1589" s="120">
        <v>0</v>
      </c>
      <c r="H1589">
        <v>0</v>
      </c>
      <c r="I1589" s="120" t="s">
        <v>57</v>
      </c>
      <c r="J1589">
        <v>0</v>
      </c>
      <c r="K1589">
        <v>1</v>
      </c>
      <c r="L1589" s="121">
        <v>24.5</v>
      </c>
      <c r="M1589" s="121">
        <v>0</v>
      </c>
      <c r="N1589" s="121">
        <v>0</v>
      </c>
    </row>
    <row r="1590" spans="1:14" hidden="1" x14ac:dyDescent="0.25">
      <c r="A1590" s="120" t="s">
        <v>3463</v>
      </c>
      <c r="B1590" s="120" t="s">
        <v>3528</v>
      </c>
      <c r="C1590" s="120" t="s">
        <v>69</v>
      </c>
      <c r="D1590" s="120" t="s">
        <v>741</v>
      </c>
      <c r="E1590" s="120" t="s">
        <v>179</v>
      </c>
      <c r="F1590" s="120" t="s">
        <v>14</v>
      </c>
      <c r="G1590" s="120">
        <v>0</v>
      </c>
      <c r="H1590">
        <v>3</v>
      </c>
      <c r="I1590" s="120" t="s">
        <v>57</v>
      </c>
      <c r="J1590">
        <v>-3</v>
      </c>
      <c r="K1590">
        <v>0</v>
      </c>
      <c r="L1590">
        <v>24.5</v>
      </c>
      <c r="M1590">
        <v>0</v>
      </c>
      <c r="N1590">
        <v>73.5</v>
      </c>
    </row>
    <row r="1591" spans="1:14" hidden="1" x14ac:dyDescent="0.25">
      <c r="A1591" s="120" t="s">
        <v>3463</v>
      </c>
      <c r="B1591" s="120" t="s">
        <v>3528</v>
      </c>
      <c r="C1591" s="120" t="s">
        <v>69</v>
      </c>
      <c r="D1591" s="120" t="s">
        <v>3579</v>
      </c>
      <c r="E1591" s="120" t="s">
        <v>272</v>
      </c>
      <c r="F1591" s="120" t="s">
        <v>273</v>
      </c>
      <c r="G1591" s="120">
        <v>0</v>
      </c>
      <c r="H1591">
        <v>0</v>
      </c>
      <c r="I1591" s="120" t="s">
        <v>57</v>
      </c>
      <c r="J1591">
        <v>0</v>
      </c>
      <c r="K1591">
        <v>1</v>
      </c>
      <c r="L1591" s="121">
        <v>0</v>
      </c>
      <c r="M1591" s="121">
        <v>0</v>
      </c>
      <c r="N1591" s="121">
        <v>0</v>
      </c>
    </row>
    <row r="1592" spans="1:14" hidden="1" x14ac:dyDescent="0.25">
      <c r="A1592" s="120" t="s">
        <v>3463</v>
      </c>
      <c r="B1592" s="120" t="s">
        <v>3528</v>
      </c>
      <c r="C1592" s="120" t="s">
        <v>69</v>
      </c>
      <c r="D1592" s="120" t="s">
        <v>3580</v>
      </c>
      <c r="E1592" s="120" t="s">
        <v>274</v>
      </c>
      <c r="F1592" s="120" t="s">
        <v>273</v>
      </c>
      <c r="G1592" s="120">
        <v>2</v>
      </c>
      <c r="H1592">
        <v>0</v>
      </c>
      <c r="I1592" s="120" t="s">
        <v>47</v>
      </c>
      <c r="J1592">
        <v>2</v>
      </c>
      <c r="K1592">
        <v>0</v>
      </c>
      <c r="L1592">
        <v>0</v>
      </c>
      <c r="M1592">
        <v>0</v>
      </c>
      <c r="N1592">
        <v>0</v>
      </c>
    </row>
    <row r="1593" spans="1:14" hidden="1" x14ac:dyDescent="0.25">
      <c r="A1593" s="120" t="s">
        <v>3463</v>
      </c>
      <c r="B1593" s="120" t="s">
        <v>3528</v>
      </c>
      <c r="C1593" s="120" t="s">
        <v>69</v>
      </c>
      <c r="D1593" s="120" t="s">
        <v>3581</v>
      </c>
      <c r="E1593" s="120" t="s">
        <v>275</v>
      </c>
      <c r="F1593" s="120" t="s">
        <v>273</v>
      </c>
      <c r="G1593" s="120">
        <v>0</v>
      </c>
      <c r="H1593">
        <v>0</v>
      </c>
      <c r="I1593" s="120" t="s">
        <v>57</v>
      </c>
      <c r="J1593">
        <v>0</v>
      </c>
      <c r="K1593">
        <v>1</v>
      </c>
      <c r="L1593" s="121">
        <v>0</v>
      </c>
      <c r="M1593" s="121">
        <v>0</v>
      </c>
      <c r="N1593" s="121">
        <v>0</v>
      </c>
    </row>
    <row r="1594" spans="1:14" hidden="1" x14ac:dyDescent="0.25">
      <c r="A1594" s="120" t="s">
        <v>3463</v>
      </c>
      <c r="B1594" s="120" t="s">
        <v>3528</v>
      </c>
      <c r="C1594" s="120" t="s">
        <v>69</v>
      </c>
      <c r="D1594" s="120" t="s">
        <v>745</v>
      </c>
      <c r="E1594" s="120" t="s">
        <v>276</v>
      </c>
      <c r="F1594" s="120" t="s">
        <v>18</v>
      </c>
      <c r="G1594" s="120">
        <v>0</v>
      </c>
      <c r="H1594">
        <v>0</v>
      </c>
      <c r="I1594" s="120" t="s">
        <v>57</v>
      </c>
      <c r="J1594">
        <v>0</v>
      </c>
      <c r="K1594">
        <v>1</v>
      </c>
      <c r="L1594" s="121">
        <v>45.3</v>
      </c>
      <c r="M1594" s="121">
        <v>0</v>
      </c>
      <c r="N1594" s="121">
        <v>0</v>
      </c>
    </row>
    <row r="1595" spans="1:14" hidden="1" x14ac:dyDescent="0.25">
      <c r="A1595" s="120" t="s">
        <v>3463</v>
      </c>
      <c r="B1595" s="120" t="s">
        <v>3528</v>
      </c>
      <c r="C1595" s="120" t="s">
        <v>69</v>
      </c>
      <c r="D1595" s="120" t="s">
        <v>1089</v>
      </c>
      <c r="E1595" s="120" t="s">
        <v>278</v>
      </c>
      <c r="F1595" s="120" t="s">
        <v>18</v>
      </c>
      <c r="G1595" s="120">
        <v>0</v>
      </c>
      <c r="H1595">
        <v>0</v>
      </c>
      <c r="I1595" s="120" t="s">
        <v>57</v>
      </c>
      <c r="J1595">
        <v>0</v>
      </c>
      <c r="K1595">
        <v>1</v>
      </c>
      <c r="L1595" s="121">
        <v>7</v>
      </c>
      <c r="M1595" s="121">
        <v>0</v>
      </c>
      <c r="N1595" s="121">
        <v>0</v>
      </c>
    </row>
    <row r="1596" spans="1:14" hidden="1" x14ac:dyDescent="0.25">
      <c r="A1596" s="120" t="s">
        <v>3463</v>
      </c>
      <c r="B1596" s="120" t="s">
        <v>3528</v>
      </c>
      <c r="C1596" s="120" t="s">
        <v>69</v>
      </c>
      <c r="D1596" s="120" t="s">
        <v>1112</v>
      </c>
      <c r="E1596" s="120" t="s">
        <v>281</v>
      </c>
      <c r="F1596" s="120" t="s">
        <v>18</v>
      </c>
      <c r="G1596" s="120">
        <v>3</v>
      </c>
      <c r="H1596">
        <v>0</v>
      </c>
      <c r="I1596" s="120" t="s">
        <v>57</v>
      </c>
      <c r="J1596">
        <v>3</v>
      </c>
      <c r="K1596">
        <v>0</v>
      </c>
      <c r="L1596">
        <v>125.6</v>
      </c>
      <c r="M1596">
        <v>376.79999999999995</v>
      </c>
      <c r="N1596">
        <v>0</v>
      </c>
    </row>
    <row r="1597" spans="1:14" hidden="1" x14ac:dyDescent="0.25">
      <c r="A1597" s="120" t="s">
        <v>3463</v>
      </c>
      <c r="B1597" s="120" t="s">
        <v>3528</v>
      </c>
      <c r="C1597" s="120" t="s">
        <v>69</v>
      </c>
      <c r="D1597" s="120" t="s">
        <v>3582</v>
      </c>
      <c r="E1597" s="120" t="s">
        <v>282</v>
      </c>
      <c r="F1597" s="120" t="s">
        <v>18</v>
      </c>
      <c r="G1597" s="120">
        <v>0</v>
      </c>
      <c r="H1597">
        <v>0</v>
      </c>
      <c r="I1597" s="120" t="s">
        <v>57</v>
      </c>
      <c r="J1597">
        <v>0</v>
      </c>
      <c r="K1597">
        <v>1</v>
      </c>
      <c r="L1597" s="121">
        <v>0</v>
      </c>
      <c r="M1597" s="121">
        <v>0</v>
      </c>
      <c r="N1597" s="121">
        <v>0</v>
      </c>
    </row>
    <row r="1598" spans="1:14" hidden="1" x14ac:dyDescent="0.25">
      <c r="A1598" s="120" t="s">
        <v>3463</v>
      </c>
      <c r="B1598" s="120" t="s">
        <v>3528</v>
      </c>
      <c r="C1598" s="120" t="s">
        <v>69</v>
      </c>
      <c r="D1598" s="120" t="s">
        <v>3504</v>
      </c>
      <c r="E1598" s="120" t="s">
        <v>107</v>
      </c>
      <c r="F1598" s="120" t="s">
        <v>18</v>
      </c>
      <c r="G1598" s="120">
        <v>0</v>
      </c>
      <c r="H1598">
        <v>0</v>
      </c>
      <c r="I1598" s="120" t="s">
        <v>57</v>
      </c>
      <c r="J1598">
        <v>0</v>
      </c>
      <c r="K1598">
        <v>1</v>
      </c>
      <c r="L1598" s="121">
        <v>0</v>
      </c>
      <c r="M1598" s="121">
        <v>0</v>
      </c>
      <c r="N1598" s="121">
        <v>0</v>
      </c>
    </row>
    <row r="1599" spans="1:14" hidden="1" x14ac:dyDescent="0.25">
      <c r="A1599" s="120" t="s">
        <v>3463</v>
      </c>
      <c r="B1599" s="120" t="s">
        <v>3528</v>
      </c>
      <c r="C1599" s="120" t="s">
        <v>69</v>
      </c>
      <c r="D1599" s="120" t="s">
        <v>3583</v>
      </c>
      <c r="E1599" s="120" t="s">
        <v>283</v>
      </c>
      <c r="F1599" s="120" t="s">
        <v>18</v>
      </c>
      <c r="G1599" s="120">
        <v>0</v>
      </c>
      <c r="H1599">
        <v>0</v>
      </c>
      <c r="I1599" s="120" t="s">
        <v>57</v>
      </c>
      <c r="J1599">
        <v>0</v>
      </c>
      <c r="K1599">
        <v>1</v>
      </c>
      <c r="L1599" s="121">
        <v>0</v>
      </c>
      <c r="M1599" s="121">
        <v>0</v>
      </c>
      <c r="N1599" s="121">
        <v>0</v>
      </c>
    </row>
    <row r="1600" spans="1:14" hidden="1" x14ac:dyDescent="0.25">
      <c r="A1600" s="120" t="s">
        <v>3463</v>
      </c>
      <c r="B1600" s="120" t="s">
        <v>3528</v>
      </c>
      <c r="C1600" s="120" t="s">
        <v>69</v>
      </c>
      <c r="D1600" s="120" t="s">
        <v>3505</v>
      </c>
      <c r="E1600" s="120" t="s">
        <v>108</v>
      </c>
      <c r="F1600" s="120" t="s">
        <v>18</v>
      </c>
      <c r="G1600" s="120">
        <v>0</v>
      </c>
      <c r="H1600">
        <v>0</v>
      </c>
      <c r="I1600" s="120" t="s">
        <v>57</v>
      </c>
      <c r="J1600">
        <v>0</v>
      </c>
      <c r="K1600">
        <v>1</v>
      </c>
      <c r="L1600" s="121">
        <v>0</v>
      </c>
      <c r="M1600" s="121">
        <v>0</v>
      </c>
      <c r="N1600" s="121">
        <v>0</v>
      </c>
    </row>
    <row r="1601" spans="1:14" hidden="1" x14ac:dyDescent="0.25">
      <c r="A1601" s="120" t="s">
        <v>3463</v>
      </c>
      <c r="B1601" s="120" t="s">
        <v>3528</v>
      </c>
      <c r="C1601" s="120" t="s">
        <v>69</v>
      </c>
      <c r="D1601" s="120" t="s">
        <v>3506</v>
      </c>
      <c r="E1601" s="120" t="s">
        <v>109</v>
      </c>
      <c r="F1601" s="120" t="s">
        <v>18</v>
      </c>
      <c r="G1601" s="120">
        <v>0</v>
      </c>
      <c r="H1601">
        <v>0</v>
      </c>
      <c r="I1601" s="120" t="s">
        <v>57</v>
      </c>
      <c r="J1601">
        <v>0</v>
      </c>
      <c r="K1601">
        <v>1</v>
      </c>
      <c r="L1601" s="121">
        <v>0</v>
      </c>
      <c r="M1601" s="121">
        <v>0</v>
      </c>
      <c r="N1601" s="121">
        <v>0</v>
      </c>
    </row>
    <row r="1602" spans="1:14" hidden="1" x14ac:dyDescent="0.25">
      <c r="A1602" s="120" t="s">
        <v>3463</v>
      </c>
      <c r="B1602" s="120" t="s">
        <v>3528</v>
      </c>
      <c r="C1602" s="120" t="s">
        <v>69</v>
      </c>
      <c r="D1602" s="120" t="s">
        <v>3507</v>
      </c>
      <c r="E1602" s="120" t="s">
        <v>110</v>
      </c>
      <c r="F1602" s="120" t="s">
        <v>18</v>
      </c>
      <c r="G1602" s="120">
        <v>0</v>
      </c>
      <c r="H1602">
        <v>0</v>
      </c>
      <c r="I1602" s="120" t="s">
        <v>57</v>
      </c>
      <c r="J1602">
        <v>0</v>
      </c>
      <c r="K1602">
        <v>1</v>
      </c>
      <c r="L1602" s="121">
        <v>0</v>
      </c>
      <c r="M1602" s="121">
        <v>0</v>
      </c>
      <c r="N1602" s="121">
        <v>0</v>
      </c>
    </row>
    <row r="1603" spans="1:14" hidden="1" x14ac:dyDescent="0.25">
      <c r="A1603" s="120" t="s">
        <v>3463</v>
      </c>
      <c r="B1603" s="120" t="s">
        <v>3528</v>
      </c>
      <c r="C1603" s="120" t="s">
        <v>69</v>
      </c>
      <c r="D1603" s="120" t="s">
        <v>3584</v>
      </c>
      <c r="E1603" s="120" t="s">
        <v>284</v>
      </c>
      <c r="F1603" s="120" t="s">
        <v>18</v>
      </c>
      <c r="G1603" s="120">
        <v>0</v>
      </c>
      <c r="H1603">
        <v>0</v>
      </c>
      <c r="I1603" s="120" t="s">
        <v>57</v>
      </c>
      <c r="J1603">
        <v>0</v>
      </c>
      <c r="K1603">
        <v>1</v>
      </c>
      <c r="L1603" s="121">
        <v>0</v>
      </c>
      <c r="M1603" s="121">
        <v>0</v>
      </c>
      <c r="N1603" s="121">
        <v>0</v>
      </c>
    </row>
    <row r="1604" spans="1:14" hidden="1" x14ac:dyDescent="0.25">
      <c r="A1604" s="120" t="s">
        <v>3463</v>
      </c>
      <c r="B1604" s="120" t="s">
        <v>3528</v>
      </c>
      <c r="C1604" s="120" t="s">
        <v>69</v>
      </c>
      <c r="D1604" s="120" t="s">
        <v>3585</v>
      </c>
      <c r="E1604" s="120" t="s">
        <v>285</v>
      </c>
      <c r="F1604" s="120" t="s">
        <v>18</v>
      </c>
      <c r="G1604" s="120">
        <v>0</v>
      </c>
      <c r="H1604">
        <v>0</v>
      </c>
      <c r="I1604" s="120" t="s">
        <v>57</v>
      </c>
      <c r="J1604">
        <v>0</v>
      </c>
      <c r="K1604">
        <v>1</v>
      </c>
      <c r="L1604" s="121">
        <v>0</v>
      </c>
      <c r="M1604" s="121">
        <v>0</v>
      </c>
      <c r="N1604" s="121">
        <v>0</v>
      </c>
    </row>
    <row r="1605" spans="1:14" hidden="1" x14ac:dyDescent="0.25">
      <c r="A1605" s="120" t="s">
        <v>3463</v>
      </c>
      <c r="B1605" s="120" t="s">
        <v>3528</v>
      </c>
      <c r="C1605" s="120" t="s">
        <v>69</v>
      </c>
      <c r="D1605" s="120" t="s">
        <v>1144</v>
      </c>
      <c r="E1605" s="120" t="s">
        <v>286</v>
      </c>
      <c r="F1605" s="120" t="s">
        <v>14</v>
      </c>
      <c r="G1605" s="120">
        <v>0</v>
      </c>
      <c r="H1605">
        <v>0</v>
      </c>
      <c r="I1605" s="120" t="s">
        <v>57</v>
      </c>
      <c r="J1605">
        <v>0</v>
      </c>
      <c r="K1605">
        <v>1</v>
      </c>
      <c r="L1605" s="121">
        <v>25</v>
      </c>
      <c r="M1605" s="121">
        <v>0</v>
      </c>
      <c r="N1605" s="121">
        <v>0</v>
      </c>
    </row>
    <row r="1606" spans="1:14" hidden="1" x14ac:dyDescent="0.25">
      <c r="A1606" s="120" t="s">
        <v>3463</v>
      </c>
      <c r="B1606" s="120" t="s">
        <v>3528</v>
      </c>
      <c r="C1606" s="120" t="s">
        <v>69</v>
      </c>
      <c r="D1606" s="120" t="s">
        <v>1158</v>
      </c>
      <c r="E1606" s="120" t="s">
        <v>287</v>
      </c>
      <c r="F1606" s="120" t="s">
        <v>10</v>
      </c>
      <c r="G1606" s="120">
        <v>0</v>
      </c>
      <c r="H1606">
        <v>0</v>
      </c>
      <c r="I1606" s="120" t="s">
        <v>57</v>
      </c>
      <c r="J1606">
        <v>0</v>
      </c>
      <c r="K1606">
        <v>1</v>
      </c>
      <c r="L1606" s="121">
        <v>10.1</v>
      </c>
      <c r="M1606" s="121">
        <v>0</v>
      </c>
      <c r="N1606" s="121">
        <v>0</v>
      </c>
    </row>
    <row r="1607" spans="1:14" hidden="1" x14ac:dyDescent="0.25">
      <c r="A1607" s="120" t="s">
        <v>3463</v>
      </c>
      <c r="B1607" s="120" t="s">
        <v>3528</v>
      </c>
      <c r="C1607" s="120" t="s">
        <v>69</v>
      </c>
      <c r="D1607" s="120" t="s">
        <v>1160</v>
      </c>
      <c r="E1607" s="120" t="s">
        <v>288</v>
      </c>
      <c r="F1607" s="120" t="s">
        <v>71</v>
      </c>
      <c r="G1607" s="120">
        <v>0</v>
      </c>
      <c r="H1607">
        <v>0</v>
      </c>
      <c r="I1607" s="120" t="s">
        <v>57</v>
      </c>
      <c r="J1607">
        <v>0</v>
      </c>
      <c r="K1607">
        <v>1</v>
      </c>
      <c r="L1607" s="121">
        <v>16.899999999999999</v>
      </c>
      <c r="M1607" s="121">
        <v>0</v>
      </c>
      <c r="N1607" s="121">
        <v>0</v>
      </c>
    </row>
    <row r="1608" spans="1:14" hidden="1" x14ac:dyDescent="0.25">
      <c r="A1608" s="120" t="s">
        <v>3463</v>
      </c>
      <c r="B1608" s="120" t="s">
        <v>3528</v>
      </c>
      <c r="C1608" s="120" t="s">
        <v>69</v>
      </c>
      <c r="D1608" s="120" t="s">
        <v>1161</v>
      </c>
      <c r="E1608" s="120" t="s">
        <v>184</v>
      </c>
      <c r="F1608" s="120" t="s">
        <v>71</v>
      </c>
      <c r="G1608" s="120">
        <v>1</v>
      </c>
      <c r="H1608">
        <v>0</v>
      </c>
      <c r="I1608" s="120" t="s">
        <v>57</v>
      </c>
      <c r="J1608">
        <v>1</v>
      </c>
      <c r="K1608">
        <v>0</v>
      </c>
      <c r="L1608">
        <v>10.4</v>
      </c>
      <c r="M1608">
        <v>10.4</v>
      </c>
      <c r="N1608">
        <v>0</v>
      </c>
    </row>
    <row r="1609" spans="1:14" hidden="1" x14ac:dyDescent="0.25">
      <c r="A1609" s="120" t="s">
        <v>3463</v>
      </c>
      <c r="B1609" s="120" t="s">
        <v>3528</v>
      </c>
      <c r="C1609" s="120" t="s">
        <v>69</v>
      </c>
      <c r="D1609" s="120" t="s">
        <v>1179</v>
      </c>
      <c r="E1609" s="120" t="s">
        <v>289</v>
      </c>
      <c r="F1609" s="120" t="s">
        <v>101</v>
      </c>
      <c r="G1609" s="120">
        <v>0</v>
      </c>
      <c r="H1609">
        <v>0</v>
      </c>
      <c r="I1609" s="120" t="s">
        <v>57</v>
      </c>
      <c r="J1609">
        <v>0</v>
      </c>
      <c r="K1609">
        <v>1</v>
      </c>
      <c r="L1609" s="121">
        <v>23</v>
      </c>
      <c r="M1609" s="121">
        <v>0</v>
      </c>
      <c r="N1609" s="121">
        <v>0</v>
      </c>
    </row>
    <row r="1610" spans="1:14" hidden="1" x14ac:dyDescent="0.25">
      <c r="A1610" s="120" t="s">
        <v>3463</v>
      </c>
      <c r="B1610" s="120" t="s">
        <v>3528</v>
      </c>
      <c r="C1610" s="120" t="s">
        <v>69</v>
      </c>
      <c r="D1610" s="120" t="s">
        <v>3509</v>
      </c>
      <c r="E1610" s="120" t="s">
        <v>116</v>
      </c>
      <c r="F1610" s="120" t="s">
        <v>14</v>
      </c>
      <c r="G1610" s="120">
        <v>9</v>
      </c>
      <c r="H1610">
        <v>0</v>
      </c>
      <c r="I1610" s="120" t="s">
        <v>57</v>
      </c>
      <c r="J1610">
        <v>9</v>
      </c>
      <c r="K1610">
        <v>0</v>
      </c>
      <c r="L1610">
        <v>0</v>
      </c>
      <c r="M1610">
        <v>0</v>
      </c>
      <c r="N1610">
        <v>0</v>
      </c>
    </row>
    <row r="1611" spans="1:14" hidden="1" x14ac:dyDescent="0.25">
      <c r="A1611" s="120" t="s">
        <v>3463</v>
      </c>
      <c r="B1611" s="120" t="s">
        <v>3528</v>
      </c>
      <c r="C1611" s="120" t="s">
        <v>69</v>
      </c>
      <c r="D1611" s="120" t="s">
        <v>1184</v>
      </c>
      <c r="E1611" s="120" t="s">
        <v>290</v>
      </c>
      <c r="F1611" s="120" t="s">
        <v>18</v>
      </c>
      <c r="G1611" s="120">
        <v>0</v>
      </c>
      <c r="H1611">
        <v>0</v>
      </c>
      <c r="I1611" s="120" t="s">
        <v>57</v>
      </c>
      <c r="J1611">
        <v>0</v>
      </c>
      <c r="K1611">
        <v>1</v>
      </c>
      <c r="L1611" s="121">
        <v>39</v>
      </c>
      <c r="M1611" s="121">
        <v>0</v>
      </c>
      <c r="N1611" s="121">
        <v>0</v>
      </c>
    </row>
    <row r="1612" spans="1:14" hidden="1" x14ac:dyDescent="0.25">
      <c r="A1612" s="120" t="s">
        <v>3463</v>
      </c>
      <c r="B1612" s="120" t="s">
        <v>3528</v>
      </c>
      <c r="C1612" s="120" t="s">
        <v>69</v>
      </c>
      <c r="D1612" s="120" t="s">
        <v>1193</v>
      </c>
      <c r="E1612" s="120" t="s">
        <v>291</v>
      </c>
      <c r="F1612" s="120" t="s">
        <v>14</v>
      </c>
      <c r="G1612" s="120">
        <v>0</v>
      </c>
      <c r="H1612">
        <v>0</v>
      </c>
      <c r="I1612" s="120" t="s">
        <v>57</v>
      </c>
      <c r="J1612">
        <v>0</v>
      </c>
      <c r="K1612">
        <v>1</v>
      </c>
      <c r="L1612" s="121">
        <v>3.5</v>
      </c>
      <c r="M1612" s="121">
        <v>0</v>
      </c>
      <c r="N1612" s="121">
        <v>0</v>
      </c>
    </row>
    <row r="1613" spans="1:14" hidden="1" x14ac:dyDescent="0.25">
      <c r="A1613" s="120" t="s">
        <v>3463</v>
      </c>
      <c r="B1613" s="120" t="s">
        <v>3528</v>
      </c>
      <c r="C1613" s="120" t="s">
        <v>69</v>
      </c>
      <c r="D1613" s="120" t="s">
        <v>1194</v>
      </c>
      <c r="E1613" s="120" t="s">
        <v>186</v>
      </c>
      <c r="F1613" s="120" t="s">
        <v>10</v>
      </c>
      <c r="G1613" s="120">
        <v>0</v>
      </c>
      <c r="H1613">
        <v>0</v>
      </c>
      <c r="I1613" s="120" t="s">
        <v>57</v>
      </c>
      <c r="J1613">
        <v>0</v>
      </c>
      <c r="K1613">
        <v>1</v>
      </c>
      <c r="L1613" s="121">
        <v>3.5</v>
      </c>
      <c r="M1613" s="121">
        <v>0</v>
      </c>
      <c r="N1613" s="121">
        <v>0</v>
      </c>
    </row>
    <row r="1614" spans="1:14" hidden="1" x14ac:dyDescent="0.25">
      <c r="A1614" s="120" t="s">
        <v>3463</v>
      </c>
      <c r="B1614" s="120" t="s">
        <v>3528</v>
      </c>
      <c r="C1614" s="120" t="s">
        <v>69</v>
      </c>
      <c r="D1614" s="120" t="s">
        <v>1238</v>
      </c>
      <c r="E1614" s="120" t="s">
        <v>292</v>
      </c>
      <c r="F1614" s="120" t="s">
        <v>14</v>
      </c>
      <c r="G1614" s="120">
        <v>0</v>
      </c>
      <c r="H1614">
        <v>0</v>
      </c>
      <c r="I1614" s="120" t="s">
        <v>57</v>
      </c>
      <c r="J1614">
        <v>0</v>
      </c>
      <c r="K1614">
        <v>1</v>
      </c>
      <c r="L1614" s="121">
        <v>0.92</v>
      </c>
      <c r="M1614" s="121">
        <v>0</v>
      </c>
      <c r="N1614" s="121">
        <v>0</v>
      </c>
    </row>
    <row r="1615" spans="1:14" hidden="1" x14ac:dyDescent="0.25">
      <c r="A1615" s="120" t="s">
        <v>3463</v>
      </c>
      <c r="B1615" s="120" t="s">
        <v>3528</v>
      </c>
      <c r="C1615" s="120" t="s">
        <v>69</v>
      </c>
      <c r="D1615" s="120" t="s">
        <v>1240</v>
      </c>
      <c r="E1615" s="120" t="s">
        <v>293</v>
      </c>
      <c r="F1615" s="120" t="s">
        <v>294</v>
      </c>
      <c r="G1615" s="120">
        <v>0</v>
      </c>
      <c r="H1615">
        <v>1502</v>
      </c>
      <c r="I1615" s="120" t="s">
        <v>57</v>
      </c>
      <c r="J1615">
        <v>-1502</v>
      </c>
      <c r="K1615">
        <v>0</v>
      </c>
      <c r="L1615">
        <v>0</v>
      </c>
      <c r="M1615">
        <v>0</v>
      </c>
      <c r="N1615">
        <v>0</v>
      </c>
    </row>
    <row r="1616" spans="1:14" hidden="1" x14ac:dyDescent="0.25">
      <c r="A1616" s="120" t="s">
        <v>3463</v>
      </c>
      <c r="B1616" s="120" t="s">
        <v>3528</v>
      </c>
      <c r="C1616" s="120" t="s">
        <v>69</v>
      </c>
      <c r="D1616" s="120" t="s">
        <v>3586</v>
      </c>
      <c r="E1616" s="120" t="s">
        <v>295</v>
      </c>
      <c r="F1616" s="120" t="s">
        <v>18</v>
      </c>
      <c r="G1616" s="120">
        <v>0</v>
      </c>
      <c r="H1616">
        <v>0</v>
      </c>
      <c r="I1616" s="120" t="s">
        <v>57</v>
      </c>
      <c r="J1616">
        <v>0</v>
      </c>
      <c r="K1616">
        <v>1</v>
      </c>
      <c r="L1616" s="121">
        <v>0</v>
      </c>
      <c r="M1616" s="121">
        <v>0</v>
      </c>
      <c r="N1616" s="121">
        <v>0</v>
      </c>
    </row>
    <row r="1617" spans="1:14" hidden="1" x14ac:dyDescent="0.25">
      <c r="A1617" s="120" t="s">
        <v>3463</v>
      </c>
      <c r="B1617" s="120" t="s">
        <v>3528</v>
      </c>
      <c r="C1617" s="120" t="s">
        <v>69</v>
      </c>
      <c r="D1617" s="120" t="s">
        <v>3587</v>
      </c>
      <c r="E1617" s="120" t="s">
        <v>296</v>
      </c>
      <c r="F1617" s="120" t="s">
        <v>14</v>
      </c>
      <c r="G1617" s="120">
        <v>0</v>
      </c>
      <c r="H1617">
        <v>0</v>
      </c>
      <c r="I1617" s="120" t="s">
        <v>57</v>
      </c>
      <c r="J1617">
        <v>0</v>
      </c>
      <c r="K1617">
        <v>1</v>
      </c>
      <c r="L1617" s="121">
        <v>0</v>
      </c>
      <c r="M1617" s="121">
        <v>0</v>
      </c>
      <c r="N1617" s="121">
        <v>0</v>
      </c>
    </row>
    <row r="1618" spans="1:14" hidden="1" x14ac:dyDescent="0.25">
      <c r="A1618" s="120" t="s">
        <v>3463</v>
      </c>
      <c r="B1618" s="120" t="s">
        <v>3528</v>
      </c>
      <c r="C1618" s="120" t="s">
        <v>69</v>
      </c>
      <c r="D1618" s="120" t="s">
        <v>1759</v>
      </c>
      <c r="E1618" s="120" t="s">
        <v>297</v>
      </c>
      <c r="F1618" s="120" t="s">
        <v>14</v>
      </c>
      <c r="G1618" s="120">
        <v>2</v>
      </c>
      <c r="H1618">
        <v>0</v>
      </c>
      <c r="I1618" s="120" t="s">
        <v>57</v>
      </c>
      <c r="J1618">
        <v>2</v>
      </c>
      <c r="K1618">
        <v>0</v>
      </c>
      <c r="L1618">
        <v>95</v>
      </c>
      <c r="M1618">
        <v>190</v>
      </c>
      <c r="N1618">
        <v>0</v>
      </c>
    </row>
    <row r="1619" spans="1:14" hidden="1" x14ac:dyDescent="0.25">
      <c r="A1619" s="120" t="s">
        <v>3591</v>
      </c>
      <c r="B1619" s="120" t="s">
        <v>3698</v>
      </c>
      <c r="C1619" s="120" t="s">
        <v>69</v>
      </c>
      <c r="D1619" s="120" t="s">
        <v>679</v>
      </c>
      <c r="E1619" s="120" t="s">
        <v>268</v>
      </c>
      <c r="F1619" s="120" t="s">
        <v>14</v>
      </c>
      <c r="G1619" s="120">
        <v>4</v>
      </c>
      <c r="H1619">
        <v>1</v>
      </c>
      <c r="I1619" s="120" t="s">
        <v>57</v>
      </c>
      <c r="J1619">
        <v>3</v>
      </c>
      <c r="K1619">
        <v>0</v>
      </c>
      <c r="L1619">
        <v>38</v>
      </c>
      <c r="M1619">
        <v>152</v>
      </c>
      <c r="N1619">
        <v>38</v>
      </c>
    </row>
    <row r="1620" spans="1:14" hidden="1" x14ac:dyDescent="0.25">
      <c r="A1620" s="120" t="s">
        <v>3591</v>
      </c>
      <c r="B1620" s="120" t="s">
        <v>3592</v>
      </c>
      <c r="C1620" s="120" t="s">
        <v>69</v>
      </c>
      <c r="D1620" s="120" t="s">
        <v>686</v>
      </c>
      <c r="E1620" s="120" t="s">
        <v>270</v>
      </c>
      <c r="F1620" s="120" t="s">
        <v>10</v>
      </c>
      <c r="G1620" s="120">
        <v>56</v>
      </c>
      <c r="H1620">
        <v>50</v>
      </c>
      <c r="I1620" s="120" t="s">
        <v>57</v>
      </c>
      <c r="J1620">
        <v>6</v>
      </c>
      <c r="K1620">
        <v>0</v>
      </c>
      <c r="L1620" s="121">
        <v>18</v>
      </c>
      <c r="M1620" s="121">
        <v>1008</v>
      </c>
      <c r="N1620" s="121">
        <v>900</v>
      </c>
    </row>
    <row r="1621" spans="1:14" hidden="1" x14ac:dyDescent="0.25">
      <c r="A1621" s="120" t="s">
        <v>3463</v>
      </c>
      <c r="B1621" s="120" t="s">
        <v>3588</v>
      </c>
      <c r="C1621" s="120" t="s">
        <v>301</v>
      </c>
      <c r="D1621" s="120"/>
      <c r="E1621" s="120" t="s">
        <v>220</v>
      </c>
      <c r="F1621" s="120" t="s">
        <v>18</v>
      </c>
      <c r="G1621" s="120">
        <v>294</v>
      </c>
      <c r="H1621">
        <v>0</v>
      </c>
      <c r="I1621" s="120" t="s">
        <v>57</v>
      </c>
      <c r="J1621">
        <v>294</v>
      </c>
      <c r="K1621">
        <v>0</v>
      </c>
      <c r="L1621">
        <v>0</v>
      </c>
      <c r="M1621">
        <v>0</v>
      </c>
      <c r="N1621">
        <v>0</v>
      </c>
    </row>
    <row r="1622" spans="1:14" hidden="1" x14ac:dyDescent="0.25">
      <c r="A1622" s="120" t="s">
        <v>3591</v>
      </c>
      <c r="B1622" s="120" t="s">
        <v>3698</v>
      </c>
      <c r="C1622" s="120" t="s">
        <v>301</v>
      </c>
      <c r="D1622" s="120" t="s">
        <v>688</v>
      </c>
      <c r="E1622" s="120" t="s">
        <v>411</v>
      </c>
      <c r="F1622" s="120" t="s">
        <v>14</v>
      </c>
      <c r="G1622" s="120">
        <v>0</v>
      </c>
      <c r="H1622">
        <v>2</v>
      </c>
      <c r="I1622" s="120" t="s">
        <v>57</v>
      </c>
      <c r="J1622">
        <v>-2</v>
      </c>
      <c r="K1622">
        <v>0</v>
      </c>
      <c r="L1622">
        <v>13.3</v>
      </c>
      <c r="M1622">
        <v>0</v>
      </c>
      <c r="N1622">
        <v>26.6</v>
      </c>
    </row>
    <row r="1623" spans="1:14" hidden="1" x14ac:dyDescent="0.25">
      <c r="A1623" s="120" t="s">
        <v>3772</v>
      </c>
      <c r="B1623" s="120" t="s">
        <v>3773</v>
      </c>
      <c r="C1623" s="120" t="s">
        <v>301</v>
      </c>
      <c r="D1623" s="120" t="s">
        <v>3633</v>
      </c>
      <c r="E1623" s="120" t="s">
        <v>435</v>
      </c>
      <c r="F1623" s="120" t="s">
        <v>10</v>
      </c>
      <c r="G1623" s="120">
        <v>0</v>
      </c>
      <c r="H1623">
        <v>0</v>
      </c>
      <c r="I1623" s="120" t="s">
        <v>11</v>
      </c>
      <c r="J1623">
        <v>0</v>
      </c>
      <c r="K1623">
        <v>1</v>
      </c>
      <c r="L1623" s="121">
        <v>0</v>
      </c>
      <c r="M1623" s="121">
        <v>0</v>
      </c>
      <c r="N1623" s="121">
        <v>0</v>
      </c>
    </row>
    <row r="1624" spans="1:14" hidden="1" x14ac:dyDescent="0.25">
      <c r="A1624" s="120" t="s">
        <v>3463</v>
      </c>
      <c r="B1624" s="120" t="s">
        <v>3588</v>
      </c>
      <c r="C1624" s="120" t="s">
        <v>301</v>
      </c>
      <c r="D1624" s="120" t="s">
        <v>3590</v>
      </c>
      <c r="E1624" s="120" t="s">
        <v>48</v>
      </c>
      <c r="F1624" s="120" t="s">
        <v>18</v>
      </c>
      <c r="G1624" s="120">
        <v>2</v>
      </c>
      <c r="H1624">
        <v>0</v>
      </c>
      <c r="I1624" s="120" t="s">
        <v>11</v>
      </c>
      <c r="J1624">
        <v>2</v>
      </c>
      <c r="K1624">
        <v>0</v>
      </c>
      <c r="L1624">
        <v>0</v>
      </c>
      <c r="M1624">
        <v>0</v>
      </c>
      <c r="N1624">
        <v>0</v>
      </c>
    </row>
    <row r="1625" spans="1:14" hidden="1" x14ac:dyDescent="0.25">
      <c r="A1625" s="120" t="s">
        <v>3772</v>
      </c>
      <c r="B1625" s="120" t="s">
        <v>3773</v>
      </c>
      <c r="C1625" s="120" t="s">
        <v>301</v>
      </c>
      <c r="D1625" s="120" t="s">
        <v>3868</v>
      </c>
      <c r="E1625" s="120" t="s">
        <v>3833</v>
      </c>
      <c r="F1625" s="120"/>
      <c r="G1625" s="120">
        <v>0</v>
      </c>
      <c r="H1625">
        <v>0</v>
      </c>
      <c r="I1625" s="120" t="s">
        <v>57</v>
      </c>
      <c r="J1625">
        <v>0</v>
      </c>
      <c r="K1625">
        <v>1</v>
      </c>
      <c r="L1625" s="121">
        <v>0</v>
      </c>
      <c r="M1625" s="121">
        <v>0</v>
      </c>
      <c r="N1625" s="121">
        <v>0</v>
      </c>
    </row>
    <row r="1626" spans="1:14" hidden="1" x14ac:dyDescent="0.25">
      <c r="A1626" s="120" t="s">
        <v>3463</v>
      </c>
      <c r="B1626" s="120" t="s">
        <v>3588</v>
      </c>
      <c r="C1626" s="120" t="s">
        <v>301</v>
      </c>
      <c r="D1626" s="120" t="s">
        <v>3486</v>
      </c>
      <c r="E1626" s="120" t="s">
        <v>68</v>
      </c>
      <c r="F1626" s="120" t="s">
        <v>18</v>
      </c>
      <c r="G1626" s="120">
        <v>1</v>
      </c>
      <c r="H1626">
        <v>0</v>
      </c>
      <c r="I1626" s="120" t="s">
        <v>47</v>
      </c>
      <c r="J1626">
        <v>1</v>
      </c>
      <c r="K1626">
        <v>0</v>
      </c>
      <c r="L1626">
        <v>0</v>
      </c>
      <c r="M1626">
        <v>0</v>
      </c>
      <c r="N1626">
        <v>0</v>
      </c>
    </row>
    <row r="1627" spans="1:14" hidden="1" x14ac:dyDescent="0.25">
      <c r="A1627" s="120" t="s">
        <v>3772</v>
      </c>
      <c r="B1627" s="120" t="s">
        <v>3773</v>
      </c>
      <c r="C1627" s="120" t="s">
        <v>301</v>
      </c>
      <c r="D1627" s="120" t="s">
        <v>3519</v>
      </c>
      <c r="E1627" s="120" t="s">
        <v>162</v>
      </c>
      <c r="F1627" s="120" t="s">
        <v>14</v>
      </c>
      <c r="G1627" s="120">
        <v>0</v>
      </c>
      <c r="H1627">
        <v>0</v>
      </c>
      <c r="I1627" s="120" t="s">
        <v>11</v>
      </c>
      <c r="J1627">
        <v>0</v>
      </c>
      <c r="K1627">
        <v>1</v>
      </c>
      <c r="L1627" s="121">
        <v>0</v>
      </c>
      <c r="M1627" s="121">
        <v>0</v>
      </c>
      <c r="N1627" s="121">
        <v>0</v>
      </c>
    </row>
    <row r="1628" spans="1:14" hidden="1" x14ac:dyDescent="0.25">
      <c r="A1628" s="120" t="s">
        <v>3463</v>
      </c>
      <c r="B1628" s="120" t="s">
        <v>3588</v>
      </c>
      <c r="C1628" s="120" t="s">
        <v>301</v>
      </c>
      <c r="D1628" s="120" t="s">
        <v>3482</v>
      </c>
      <c r="E1628" s="120" t="s">
        <v>63</v>
      </c>
      <c r="F1628" s="120" t="s">
        <v>18</v>
      </c>
      <c r="G1628" s="120">
        <v>2</v>
      </c>
      <c r="H1628">
        <v>0</v>
      </c>
      <c r="I1628" s="120" t="s">
        <v>47</v>
      </c>
      <c r="J1628">
        <v>2</v>
      </c>
      <c r="K1628">
        <v>0</v>
      </c>
      <c r="L1628">
        <v>0</v>
      </c>
      <c r="M1628">
        <v>0</v>
      </c>
      <c r="N1628">
        <v>0</v>
      </c>
    </row>
    <row r="1629" spans="1:14" hidden="1" x14ac:dyDescent="0.25">
      <c r="A1629" s="120" t="s">
        <v>3772</v>
      </c>
      <c r="B1629" s="120" t="s">
        <v>3773</v>
      </c>
      <c r="C1629" s="120" t="s">
        <v>301</v>
      </c>
      <c r="D1629" s="120" t="s">
        <v>3811</v>
      </c>
      <c r="E1629" s="120" t="s">
        <v>1821</v>
      </c>
      <c r="F1629" s="120" t="s">
        <v>14</v>
      </c>
      <c r="G1629" s="120">
        <v>0</v>
      </c>
      <c r="H1629">
        <v>0</v>
      </c>
      <c r="I1629" s="120" t="s">
        <v>47</v>
      </c>
      <c r="J1629">
        <v>0</v>
      </c>
      <c r="K1629">
        <v>1</v>
      </c>
      <c r="L1629" s="121">
        <v>0</v>
      </c>
      <c r="M1629" s="121">
        <v>0</v>
      </c>
      <c r="N1629" s="121">
        <v>0</v>
      </c>
    </row>
    <row r="1630" spans="1:14" hidden="1" x14ac:dyDescent="0.25">
      <c r="A1630" s="120" t="s">
        <v>3772</v>
      </c>
      <c r="B1630" s="120" t="s">
        <v>3773</v>
      </c>
      <c r="C1630" s="120" t="s">
        <v>301</v>
      </c>
      <c r="D1630" s="120" t="s">
        <v>1455</v>
      </c>
      <c r="E1630" s="120" t="s">
        <v>485</v>
      </c>
      <c r="F1630" s="120" t="s">
        <v>14</v>
      </c>
      <c r="G1630" s="120">
        <v>0</v>
      </c>
      <c r="H1630">
        <v>0</v>
      </c>
      <c r="I1630" s="120" t="s">
        <v>47</v>
      </c>
      <c r="J1630">
        <v>0</v>
      </c>
      <c r="K1630">
        <v>1</v>
      </c>
      <c r="L1630" s="121">
        <v>17</v>
      </c>
      <c r="M1630" s="121">
        <v>0</v>
      </c>
      <c r="N1630" s="121">
        <v>0</v>
      </c>
    </row>
    <row r="1631" spans="1:14" hidden="1" x14ac:dyDescent="0.25">
      <c r="A1631" s="120" t="s">
        <v>3772</v>
      </c>
      <c r="B1631" s="120" t="s">
        <v>3773</v>
      </c>
      <c r="C1631" s="120" t="s">
        <v>301</v>
      </c>
      <c r="D1631" s="120" t="s">
        <v>1767</v>
      </c>
      <c r="E1631" s="120" t="s">
        <v>493</v>
      </c>
      <c r="F1631" s="120" t="s">
        <v>14</v>
      </c>
      <c r="G1631" s="120">
        <v>4</v>
      </c>
      <c r="H1631">
        <v>4</v>
      </c>
      <c r="I1631" s="120" t="s">
        <v>57</v>
      </c>
      <c r="J1631">
        <v>0</v>
      </c>
      <c r="K1631">
        <v>1</v>
      </c>
      <c r="L1631" s="121">
        <v>24</v>
      </c>
      <c r="M1631" s="121">
        <v>96</v>
      </c>
      <c r="N1631" s="121">
        <v>96</v>
      </c>
    </row>
    <row r="1632" spans="1:14" hidden="1" x14ac:dyDescent="0.25">
      <c r="A1632" s="120" t="s">
        <v>3772</v>
      </c>
      <c r="B1632" s="120" t="s">
        <v>3773</v>
      </c>
      <c r="C1632" s="120" t="s">
        <v>301</v>
      </c>
      <c r="D1632" s="120" t="s">
        <v>1770</v>
      </c>
      <c r="E1632" s="120" t="s">
        <v>1771</v>
      </c>
      <c r="F1632" s="120"/>
      <c r="G1632" s="120">
        <v>54</v>
      </c>
      <c r="H1632">
        <v>54</v>
      </c>
      <c r="I1632" s="120" t="s">
        <v>57</v>
      </c>
      <c r="J1632">
        <v>0</v>
      </c>
      <c r="K1632">
        <v>1</v>
      </c>
      <c r="L1632" s="121">
        <v>11.12</v>
      </c>
      <c r="M1632" s="121">
        <v>600.4799999999999</v>
      </c>
      <c r="N1632" s="121">
        <v>600.4799999999999</v>
      </c>
    </row>
    <row r="1633" spans="1:14" hidden="1" x14ac:dyDescent="0.25">
      <c r="A1633" s="120" t="s">
        <v>3772</v>
      </c>
      <c r="B1633" s="120" t="s">
        <v>3773</v>
      </c>
      <c r="C1633" s="120" t="s">
        <v>301</v>
      </c>
      <c r="D1633" s="120" t="s">
        <v>1772</v>
      </c>
      <c r="E1633" s="120" t="s">
        <v>496</v>
      </c>
      <c r="F1633" s="120" t="s">
        <v>10</v>
      </c>
      <c r="G1633" s="120">
        <v>0</v>
      </c>
      <c r="H1633">
        <v>0</v>
      </c>
      <c r="I1633" s="120" t="s">
        <v>57</v>
      </c>
      <c r="J1633">
        <v>0</v>
      </c>
      <c r="K1633">
        <v>1</v>
      </c>
      <c r="L1633" s="121">
        <v>9.8000000000000007</v>
      </c>
      <c r="M1633" s="121">
        <v>0</v>
      </c>
      <c r="N1633" s="121">
        <v>0</v>
      </c>
    </row>
    <row r="1634" spans="1:14" hidden="1" x14ac:dyDescent="0.25">
      <c r="A1634" s="120" t="s">
        <v>3772</v>
      </c>
      <c r="B1634" s="120" t="s">
        <v>3773</v>
      </c>
      <c r="C1634" s="120" t="s">
        <v>301</v>
      </c>
      <c r="D1634" s="120" t="s">
        <v>1763</v>
      </c>
      <c r="E1634" s="120" t="s">
        <v>1764</v>
      </c>
      <c r="F1634" s="120"/>
      <c r="G1634" s="120">
        <v>1</v>
      </c>
      <c r="H1634">
        <v>1</v>
      </c>
      <c r="I1634" s="120" t="s">
        <v>57</v>
      </c>
      <c r="J1634">
        <v>0</v>
      </c>
      <c r="K1634">
        <v>1</v>
      </c>
      <c r="L1634" s="121">
        <v>10</v>
      </c>
      <c r="M1634" s="121">
        <v>10</v>
      </c>
      <c r="N1634" s="121">
        <v>10</v>
      </c>
    </row>
    <row r="1635" spans="1:14" hidden="1" x14ac:dyDescent="0.25">
      <c r="A1635" s="120" t="s">
        <v>3463</v>
      </c>
      <c r="B1635" s="120" t="s">
        <v>3818</v>
      </c>
      <c r="C1635" s="120" t="s">
        <v>301</v>
      </c>
      <c r="D1635" s="120" t="s">
        <v>3465</v>
      </c>
      <c r="E1635" s="120" t="s">
        <v>17</v>
      </c>
      <c r="F1635" s="120" t="s">
        <v>18</v>
      </c>
      <c r="G1635" s="120">
        <v>0</v>
      </c>
      <c r="H1635">
        <v>0</v>
      </c>
      <c r="I1635" s="120" t="s">
        <v>11</v>
      </c>
      <c r="J1635">
        <v>0</v>
      </c>
      <c r="K1635">
        <v>1</v>
      </c>
      <c r="L1635" s="121">
        <v>0</v>
      </c>
      <c r="M1635" s="121">
        <v>0</v>
      </c>
      <c r="N1635" s="121">
        <v>0</v>
      </c>
    </row>
    <row r="1636" spans="1:14" hidden="1" x14ac:dyDescent="0.25">
      <c r="A1636" s="120" t="s">
        <v>3463</v>
      </c>
      <c r="B1636" s="120" t="s">
        <v>3818</v>
      </c>
      <c r="C1636" s="120" t="s">
        <v>301</v>
      </c>
      <c r="D1636" s="120" t="s">
        <v>3466</v>
      </c>
      <c r="E1636" s="120" t="s">
        <v>19</v>
      </c>
      <c r="F1636" s="120" t="s">
        <v>10</v>
      </c>
      <c r="G1636" s="120">
        <v>0</v>
      </c>
      <c r="H1636">
        <v>0</v>
      </c>
      <c r="I1636" s="120" t="s">
        <v>11</v>
      </c>
      <c r="J1636">
        <v>0</v>
      </c>
      <c r="K1636">
        <v>1</v>
      </c>
      <c r="L1636" s="121">
        <v>0</v>
      </c>
      <c r="M1636" s="121">
        <v>0</v>
      </c>
      <c r="N1636" s="121">
        <v>0</v>
      </c>
    </row>
    <row r="1637" spans="1:14" hidden="1" x14ac:dyDescent="0.25">
      <c r="A1637" s="120" t="s">
        <v>3463</v>
      </c>
      <c r="B1637" s="120" t="s">
        <v>3818</v>
      </c>
      <c r="C1637" s="120" t="s">
        <v>301</v>
      </c>
      <c r="D1637" s="120" t="s">
        <v>3480</v>
      </c>
      <c r="E1637" s="120" t="s">
        <v>53</v>
      </c>
      <c r="F1637" s="120" t="s">
        <v>14</v>
      </c>
      <c r="G1637" s="120">
        <v>0</v>
      </c>
      <c r="H1637">
        <v>0</v>
      </c>
      <c r="I1637" s="120" t="s">
        <v>11</v>
      </c>
      <c r="J1637">
        <v>0</v>
      </c>
      <c r="K1637">
        <v>1</v>
      </c>
      <c r="L1637" s="121">
        <v>0</v>
      </c>
      <c r="M1637" s="121">
        <v>0</v>
      </c>
      <c r="N1637" s="121">
        <v>0</v>
      </c>
    </row>
    <row r="1638" spans="1:14" hidden="1" x14ac:dyDescent="0.25">
      <c r="A1638" s="120" t="s">
        <v>3591</v>
      </c>
      <c r="B1638" s="120" t="s">
        <v>3592</v>
      </c>
      <c r="C1638" s="120" t="s">
        <v>301</v>
      </c>
      <c r="D1638" s="120" t="s">
        <v>3598</v>
      </c>
      <c r="E1638" s="120" t="s">
        <v>383</v>
      </c>
      <c r="F1638" s="120" t="s">
        <v>10</v>
      </c>
      <c r="G1638" s="120">
        <v>2</v>
      </c>
      <c r="H1638">
        <v>0</v>
      </c>
      <c r="I1638" s="120" t="s">
        <v>57</v>
      </c>
      <c r="J1638">
        <v>2</v>
      </c>
      <c r="K1638">
        <v>0</v>
      </c>
      <c r="L1638" s="121">
        <v>0</v>
      </c>
      <c r="M1638" s="121">
        <v>0</v>
      </c>
      <c r="N1638" s="121">
        <v>0</v>
      </c>
    </row>
    <row r="1639" spans="1:14" hidden="1" x14ac:dyDescent="0.25">
      <c r="A1639" s="120" t="s">
        <v>3591</v>
      </c>
      <c r="B1639" s="120" t="s">
        <v>3701</v>
      </c>
      <c r="C1639" s="120" t="s">
        <v>301</v>
      </c>
      <c r="D1639" s="120" t="s">
        <v>696</v>
      </c>
      <c r="E1639" s="120" t="s">
        <v>423</v>
      </c>
      <c r="F1639" s="120" t="s">
        <v>14</v>
      </c>
      <c r="G1639" s="120">
        <v>1</v>
      </c>
      <c r="H1639">
        <v>3</v>
      </c>
      <c r="I1639" s="120" t="s">
        <v>57</v>
      </c>
      <c r="J1639">
        <v>-2</v>
      </c>
      <c r="K1639">
        <v>0</v>
      </c>
      <c r="L1639">
        <v>11.48</v>
      </c>
      <c r="M1639">
        <v>11.48</v>
      </c>
      <c r="N1639">
        <v>34.44</v>
      </c>
    </row>
    <row r="1640" spans="1:14" hidden="1" x14ac:dyDescent="0.25">
      <c r="A1640" s="120" t="s">
        <v>3591</v>
      </c>
      <c r="B1640" s="120" t="s">
        <v>3698</v>
      </c>
      <c r="C1640" s="120" t="s">
        <v>301</v>
      </c>
      <c r="D1640" s="120" t="s">
        <v>698</v>
      </c>
      <c r="E1640" s="120" t="s">
        <v>426</v>
      </c>
      <c r="F1640" s="120" t="s">
        <v>10</v>
      </c>
      <c r="G1640" s="120">
        <v>0</v>
      </c>
      <c r="H1640">
        <v>1</v>
      </c>
      <c r="I1640" s="120" t="s">
        <v>57</v>
      </c>
      <c r="J1640">
        <v>-1</v>
      </c>
      <c r="K1640">
        <v>0</v>
      </c>
      <c r="L1640">
        <v>5.3</v>
      </c>
      <c r="M1640">
        <v>0</v>
      </c>
      <c r="N1640">
        <v>5.3</v>
      </c>
    </row>
    <row r="1641" spans="1:14" hidden="1" x14ac:dyDescent="0.25">
      <c r="A1641" s="120" t="s">
        <v>3591</v>
      </c>
      <c r="B1641" s="120" t="s">
        <v>3592</v>
      </c>
      <c r="C1641" s="120" t="s">
        <v>301</v>
      </c>
      <c r="D1641" s="120" t="s">
        <v>698</v>
      </c>
      <c r="E1641" s="120" t="s">
        <v>426</v>
      </c>
      <c r="F1641" s="120" t="s">
        <v>10</v>
      </c>
      <c r="G1641" s="120">
        <v>0</v>
      </c>
      <c r="H1641">
        <v>8</v>
      </c>
      <c r="I1641" s="120" t="s">
        <v>57</v>
      </c>
      <c r="J1641">
        <v>-8</v>
      </c>
      <c r="K1641">
        <v>0</v>
      </c>
      <c r="L1641">
        <v>5.3</v>
      </c>
      <c r="M1641">
        <v>0</v>
      </c>
      <c r="N1641">
        <v>42.4</v>
      </c>
    </row>
    <row r="1642" spans="1:14" hidden="1" x14ac:dyDescent="0.25">
      <c r="A1642" s="120" t="s">
        <v>3463</v>
      </c>
      <c r="B1642" s="120" t="s">
        <v>3818</v>
      </c>
      <c r="C1642" s="120" t="s">
        <v>301</v>
      </c>
      <c r="D1642" s="120" t="s">
        <v>3483</v>
      </c>
      <c r="E1642" s="120" t="s">
        <v>64</v>
      </c>
      <c r="F1642" s="120" t="s">
        <v>14</v>
      </c>
      <c r="G1642" s="120">
        <v>0</v>
      </c>
      <c r="H1642">
        <v>0</v>
      </c>
      <c r="I1642" s="120" t="s">
        <v>11</v>
      </c>
      <c r="J1642">
        <v>0</v>
      </c>
      <c r="K1642">
        <v>1</v>
      </c>
      <c r="L1642" s="121">
        <v>0</v>
      </c>
      <c r="M1642" s="121">
        <v>0</v>
      </c>
      <c r="N1642" s="121">
        <v>0</v>
      </c>
    </row>
    <row r="1643" spans="1:14" hidden="1" x14ac:dyDescent="0.25">
      <c r="A1643" s="120" t="s">
        <v>3591</v>
      </c>
      <c r="B1643" s="120" t="s">
        <v>3592</v>
      </c>
      <c r="C1643" s="120" t="s">
        <v>301</v>
      </c>
      <c r="D1643" s="120" t="s">
        <v>3619</v>
      </c>
      <c r="E1643" s="120" t="s">
        <v>410</v>
      </c>
      <c r="F1643" s="120" t="s">
        <v>10</v>
      </c>
      <c r="G1643" s="120">
        <v>5</v>
      </c>
      <c r="H1643">
        <v>0</v>
      </c>
      <c r="I1643" s="120" t="s">
        <v>57</v>
      </c>
      <c r="J1643">
        <v>5</v>
      </c>
      <c r="K1643">
        <v>0</v>
      </c>
      <c r="L1643" s="121">
        <v>0</v>
      </c>
      <c r="M1643" s="121">
        <v>0</v>
      </c>
      <c r="N1643" s="121">
        <v>0</v>
      </c>
    </row>
    <row r="1644" spans="1:14" hidden="1" x14ac:dyDescent="0.25">
      <c r="A1644" s="120" t="s">
        <v>3591</v>
      </c>
      <c r="B1644" s="120" t="s">
        <v>3698</v>
      </c>
      <c r="C1644" s="120" t="s">
        <v>301</v>
      </c>
      <c r="D1644" s="120" t="s">
        <v>711</v>
      </c>
      <c r="E1644" s="120" t="s">
        <v>431</v>
      </c>
      <c r="F1644" s="120" t="s">
        <v>10</v>
      </c>
      <c r="G1644" s="120">
        <v>0</v>
      </c>
      <c r="H1644">
        <v>2</v>
      </c>
      <c r="I1644" s="120" t="s">
        <v>57</v>
      </c>
      <c r="J1644">
        <v>-2</v>
      </c>
      <c r="K1644">
        <v>0</v>
      </c>
      <c r="L1644">
        <v>10</v>
      </c>
      <c r="M1644">
        <v>0</v>
      </c>
      <c r="N1644">
        <v>20</v>
      </c>
    </row>
    <row r="1645" spans="1:14" hidden="1" x14ac:dyDescent="0.25">
      <c r="A1645" s="120" t="s">
        <v>3591</v>
      </c>
      <c r="B1645" s="120" t="s">
        <v>3592</v>
      </c>
      <c r="C1645" s="120" t="s">
        <v>301</v>
      </c>
      <c r="D1645" s="120" t="s">
        <v>711</v>
      </c>
      <c r="E1645" s="120" t="s">
        <v>431</v>
      </c>
      <c r="F1645" s="120" t="s">
        <v>10</v>
      </c>
      <c r="G1645" s="120">
        <v>22</v>
      </c>
      <c r="H1645">
        <v>4</v>
      </c>
      <c r="I1645" s="120" t="s">
        <v>57</v>
      </c>
      <c r="J1645">
        <v>18</v>
      </c>
      <c r="K1645">
        <v>0</v>
      </c>
      <c r="L1645" s="121">
        <v>10</v>
      </c>
      <c r="M1645" s="121">
        <v>220</v>
      </c>
      <c r="N1645" s="121">
        <v>40</v>
      </c>
    </row>
    <row r="1646" spans="1:14" hidden="1" x14ac:dyDescent="0.25">
      <c r="A1646" s="120" t="s">
        <v>3463</v>
      </c>
      <c r="B1646" s="120" t="s">
        <v>3818</v>
      </c>
      <c r="C1646" s="120" t="s">
        <v>301</v>
      </c>
      <c r="D1646" s="120" t="s">
        <v>3484</v>
      </c>
      <c r="E1646" s="120" t="s">
        <v>65</v>
      </c>
      <c r="F1646" s="120" t="s">
        <v>14</v>
      </c>
      <c r="G1646" s="120">
        <v>0</v>
      </c>
      <c r="H1646">
        <v>0</v>
      </c>
      <c r="I1646" s="120" t="s">
        <v>11</v>
      </c>
      <c r="J1646">
        <v>0</v>
      </c>
      <c r="K1646">
        <v>1</v>
      </c>
      <c r="L1646" s="121">
        <v>0</v>
      </c>
      <c r="M1646" s="121">
        <v>0</v>
      </c>
      <c r="N1646" s="121">
        <v>0</v>
      </c>
    </row>
    <row r="1647" spans="1:14" hidden="1" x14ac:dyDescent="0.25">
      <c r="A1647" s="120" t="s">
        <v>3591</v>
      </c>
      <c r="B1647" s="120" t="s">
        <v>3592</v>
      </c>
      <c r="C1647" s="120" t="s">
        <v>301</v>
      </c>
      <c r="D1647" s="120" t="s">
        <v>712</v>
      </c>
      <c r="E1647" s="120" t="s">
        <v>51</v>
      </c>
      <c r="F1647" s="120" t="s">
        <v>18</v>
      </c>
      <c r="G1647" s="120">
        <v>7</v>
      </c>
      <c r="H1647">
        <v>5</v>
      </c>
      <c r="I1647" s="120" t="s">
        <v>11</v>
      </c>
      <c r="J1647">
        <v>2</v>
      </c>
      <c r="K1647">
        <v>0</v>
      </c>
      <c r="L1647" s="121">
        <v>10</v>
      </c>
      <c r="M1647" s="121">
        <v>70</v>
      </c>
      <c r="N1647" s="121">
        <v>50</v>
      </c>
    </row>
    <row r="1648" spans="1:14" hidden="1" x14ac:dyDescent="0.25">
      <c r="A1648" s="120" t="s">
        <v>3591</v>
      </c>
      <c r="B1648" s="120" t="s">
        <v>3592</v>
      </c>
      <c r="C1648" s="120" t="s">
        <v>301</v>
      </c>
      <c r="D1648" s="120" t="s">
        <v>713</v>
      </c>
      <c r="E1648" s="120" t="s">
        <v>28</v>
      </c>
      <c r="F1648" s="120" t="s">
        <v>18</v>
      </c>
      <c r="G1648" s="120">
        <v>25</v>
      </c>
      <c r="H1648">
        <v>10</v>
      </c>
      <c r="I1648" s="120" t="s">
        <v>11</v>
      </c>
      <c r="J1648">
        <v>15</v>
      </c>
      <c r="K1648">
        <v>0</v>
      </c>
      <c r="L1648" s="121">
        <v>5.9</v>
      </c>
      <c r="M1648" s="121">
        <v>147.5</v>
      </c>
      <c r="N1648" s="121">
        <v>59</v>
      </c>
    </row>
    <row r="1649" spans="1:14" hidden="1" x14ac:dyDescent="0.25">
      <c r="A1649" s="120" t="s">
        <v>3591</v>
      </c>
      <c r="B1649" s="120" t="s">
        <v>3592</v>
      </c>
      <c r="C1649" s="120" t="s">
        <v>301</v>
      </c>
      <c r="D1649" s="120" t="s">
        <v>714</v>
      </c>
      <c r="E1649" s="120" t="s">
        <v>52</v>
      </c>
      <c r="F1649" s="120" t="s">
        <v>18</v>
      </c>
      <c r="G1649" s="120">
        <v>25</v>
      </c>
      <c r="H1649">
        <v>8</v>
      </c>
      <c r="I1649" s="120" t="s">
        <v>11</v>
      </c>
      <c r="J1649">
        <v>17</v>
      </c>
      <c r="K1649">
        <v>0</v>
      </c>
      <c r="L1649" s="121">
        <v>3</v>
      </c>
      <c r="M1649" s="121">
        <v>75</v>
      </c>
      <c r="N1649" s="121">
        <v>24</v>
      </c>
    </row>
    <row r="1650" spans="1:14" hidden="1" x14ac:dyDescent="0.25">
      <c r="A1650" s="120" t="s">
        <v>3463</v>
      </c>
      <c r="B1650" s="120" t="s">
        <v>3818</v>
      </c>
      <c r="C1650" s="120" t="s">
        <v>301</v>
      </c>
      <c r="D1650" s="120" t="s">
        <v>3475</v>
      </c>
      <c r="E1650" s="120" t="s">
        <v>37</v>
      </c>
      <c r="F1650" s="120" t="s">
        <v>14</v>
      </c>
      <c r="G1650" s="120">
        <v>0</v>
      </c>
      <c r="H1650">
        <v>0</v>
      </c>
      <c r="I1650" s="120" t="s">
        <v>11</v>
      </c>
      <c r="J1650">
        <v>0</v>
      </c>
      <c r="K1650">
        <v>1</v>
      </c>
      <c r="L1650" s="121">
        <v>0</v>
      </c>
      <c r="M1650" s="121">
        <v>0</v>
      </c>
      <c r="N1650" s="121">
        <v>0</v>
      </c>
    </row>
    <row r="1651" spans="1:14" hidden="1" x14ac:dyDescent="0.25">
      <c r="A1651" s="120" t="s">
        <v>3463</v>
      </c>
      <c r="B1651" s="120" t="s">
        <v>3818</v>
      </c>
      <c r="C1651" s="120" t="s">
        <v>301</v>
      </c>
      <c r="D1651" s="120" t="s">
        <v>3471</v>
      </c>
      <c r="E1651" s="120" t="s">
        <v>30</v>
      </c>
      <c r="F1651" s="120" t="s">
        <v>10</v>
      </c>
      <c r="G1651" s="120">
        <v>0</v>
      </c>
      <c r="H1651">
        <v>0</v>
      </c>
      <c r="I1651" s="120" t="s">
        <v>57</v>
      </c>
      <c r="J1651">
        <v>0</v>
      </c>
      <c r="K1651">
        <v>1</v>
      </c>
      <c r="L1651" s="121">
        <v>0</v>
      </c>
      <c r="M1651" s="121">
        <v>0</v>
      </c>
      <c r="N1651" s="121">
        <v>0</v>
      </c>
    </row>
    <row r="1652" spans="1:14" hidden="1" x14ac:dyDescent="0.25">
      <c r="A1652" s="120" t="s">
        <v>3463</v>
      </c>
      <c r="B1652" s="120" t="s">
        <v>3818</v>
      </c>
      <c r="C1652" s="120" t="s">
        <v>301</v>
      </c>
      <c r="D1652" s="120" t="s">
        <v>3473</v>
      </c>
      <c r="E1652" s="120" t="s">
        <v>35</v>
      </c>
      <c r="F1652" s="120" t="s">
        <v>10</v>
      </c>
      <c r="G1652" s="120">
        <v>0</v>
      </c>
      <c r="H1652">
        <v>0</v>
      </c>
      <c r="I1652" s="120" t="s">
        <v>11</v>
      </c>
      <c r="J1652">
        <v>0</v>
      </c>
      <c r="K1652">
        <v>1</v>
      </c>
      <c r="L1652" s="121">
        <v>0</v>
      </c>
      <c r="M1652" s="121">
        <v>0</v>
      </c>
      <c r="N1652" s="121">
        <v>0</v>
      </c>
    </row>
    <row r="1653" spans="1:14" hidden="1" x14ac:dyDescent="0.25">
      <c r="A1653" s="120" t="s">
        <v>3463</v>
      </c>
      <c r="B1653" s="120" t="s">
        <v>3818</v>
      </c>
      <c r="C1653" s="120" t="s">
        <v>301</v>
      </c>
      <c r="D1653" s="120" t="s">
        <v>3468</v>
      </c>
      <c r="E1653" s="120" t="s">
        <v>24</v>
      </c>
      <c r="F1653" s="120" t="s">
        <v>14</v>
      </c>
      <c r="G1653" s="120">
        <v>0</v>
      </c>
      <c r="H1653">
        <v>0</v>
      </c>
      <c r="I1653" s="120" t="s">
        <v>11</v>
      </c>
      <c r="J1653">
        <v>0</v>
      </c>
      <c r="K1653">
        <v>1</v>
      </c>
      <c r="L1653" s="121">
        <v>0</v>
      </c>
      <c r="M1653" s="121">
        <v>0</v>
      </c>
      <c r="N1653" s="121">
        <v>0</v>
      </c>
    </row>
    <row r="1654" spans="1:14" hidden="1" x14ac:dyDescent="0.25">
      <c r="A1654" s="120" t="s">
        <v>3591</v>
      </c>
      <c r="B1654" s="120" t="s">
        <v>3592</v>
      </c>
      <c r="C1654" s="120" t="s">
        <v>301</v>
      </c>
      <c r="D1654" s="120" t="s">
        <v>3483</v>
      </c>
      <c r="E1654" s="120" t="s">
        <v>64</v>
      </c>
      <c r="F1654" s="120" t="s">
        <v>18</v>
      </c>
      <c r="G1654" s="120">
        <v>28</v>
      </c>
      <c r="H1654">
        <v>0</v>
      </c>
      <c r="I1654" s="120" t="s">
        <v>11</v>
      </c>
      <c r="J1654">
        <v>28</v>
      </c>
      <c r="K1654">
        <v>0</v>
      </c>
      <c r="L1654" s="121">
        <v>0</v>
      </c>
      <c r="M1654" s="121">
        <v>0</v>
      </c>
      <c r="N1654" s="121">
        <v>0</v>
      </c>
    </row>
    <row r="1655" spans="1:14" hidden="1" x14ac:dyDescent="0.25">
      <c r="A1655" s="120" t="s">
        <v>3591</v>
      </c>
      <c r="B1655" s="120" t="s">
        <v>3592</v>
      </c>
      <c r="C1655" s="120" t="s">
        <v>301</v>
      </c>
      <c r="D1655" s="120" t="s">
        <v>3480</v>
      </c>
      <c r="E1655" s="120" t="s">
        <v>53</v>
      </c>
      <c r="F1655" s="120" t="s">
        <v>18</v>
      </c>
      <c r="G1655" s="120">
        <v>42</v>
      </c>
      <c r="H1655">
        <v>0</v>
      </c>
      <c r="I1655" s="120" t="s">
        <v>11</v>
      </c>
      <c r="J1655">
        <v>42</v>
      </c>
      <c r="K1655">
        <v>0</v>
      </c>
      <c r="L1655" s="121">
        <v>0</v>
      </c>
      <c r="M1655" s="121">
        <v>0</v>
      </c>
      <c r="N1655" s="121">
        <v>0</v>
      </c>
    </row>
    <row r="1656" spans="1:14" hidden="1" x14ac:dyDescent="0.25">
      <c r="A1656" s="120" t="s">
        <v>3591</v>
      </c>
      <c r="B1656" s="120" t="s">
        <v>3592</v>
      </c>
      <c r="C1656" s="120" t="s">
        <v>301</v>
      </c>
      <c r="D1656" s="120" t="s">
        <v>3484</v>
      </c>
      <c r="E1656" s="120" t="s">
        <v>65</v>
      </c>
      <c r="F1656" s="120" t="s">
        <v>18</v>
      </c>
      <c r="G1656" s="120">
        <v>49</v>
      </c>
      <c r="H1656">
        <v>0</v>
      </c>
      <c r="I1656" s="120" t="s">
        <v>11</v>
      </c>
      <c r="J1656">
        <v>49</v>
      </c>
      <c r="K1656">
        <v>0</v>
      </c>
      <c r="L1656" s="121">
        <v>0</v>
      </c>
      <c r="M1656" s="121">
        <v>0</v>
      </c>
      <c r="N1656" s="121">
        <v>0</v>
      </c>
    </row>
    <row r="1657" spans="1:14" hidden="1" x14ac:dyDescent="0.25">
      <c r="A1657" s="120" t="s">
        <v>3591</v>
      </c>
      <c r="B1657" s="120" t="s">
        <v>3592</v>
      </c>
      <c r="C1657" s="120" t="s">
        <v>301</v>
      </c>
      <c r="D1657" s="120" t="s">
        <v>737</v>
      </c>
      <c r="E1657" s="120" t="s">
        <v>440</v>
      </c>
      <c r="F1657" s="120"/>
      <c r="G1657" s="120">
        <v>0</v>
      </c>
      <c r="H1657">
        <v>1</v>
      </c>
      <c r="I1657" s="120" t="s">
        <v>57</v>
      </c>
      <c r="J1657">
        <v>-1</v>
      </c>
      <c r="K1657">
        <v>0</v>
      </c>
      <c r="L1657">
        <v>23.8</v>
      </c>
      <c r="M1657">
        <v>0</v>
      </c>
      <c r="N1657">
        <v>23.8</v>
      </c>
    </row>
    <row r="1658" spans="1:14" hidden="1" x14ac:dyDescent="0.25">
      <c r="A1658" s="120" t="s">
        <v>3591</v>
      </c>
      <c r="B1658" s="120" t="s">
        <v>3698</v>
      </c>
      <c r="C1658" s="120" t="s">
        <v>301</v>
      </c>
      <c r="D1658" s="120" t="s">
        <v>713</v>
      </c>
      <c r="E1658" s="120" t="s">
        <v>28</v>
      </c>
      <c r="F1658" s="120" t="s">
        <v>14</v>
      </c>
      <c r="G1658" s="120">
        <v>0</v>
      </c>
      <c r="H1658">
        <v>2</v>
      </c>
      <c r="I1658" s="120" t="s">
        <v>11</v>
      </c>
      <c r="J1658">
        <v>-2</v>
      </c>
      <c r="K1658">
        <v>0</v>
      </c>
      <c r="L1658">
        <v>5.9</v>
      </c>
      <c r="M1658">
        <v>0</v>
      </c>
      <c r="N1658">
        <v>11.8</v>
      </c>
    </row>
    <row r="1659" spans="1:14" hidden="1" x14ac:dyDescent="0.25">
      <c r="A1659" s="120" t="s">
        <v>3463</v>
      </c>
      <c r="B1659" s="120" t="s">
        <v>3818</v>
      </c>
      <c r="C1659" s="120" t="s">
        <v>301</v>
      </c>
      <c r="D1659" s="120" t="s">
        <v>3485</v>
      </c>
      <c r="E1659" s="120" t="s">
        <v>66</v>
      </c>
      <c r="F1659" s="120" t="s">
        <v>14</v>
      </c>
      <c r="G1659" s="120">
        <v>0</v>
      </c>
      <c r="H1659">
        <v>0</v>
      </c>
      <c r="I1659" s="120" t="s">
        <v>57</v>
      </c>
      <c r="J1659">
        <v>0</v>
      </c>
      <c r="K1659">
        <v>1</v>
      </c>
      <c r="L1659" s="121">
        <v>0</v>
      </c>
      <c r="M1659" s="121">
        <v>0</v>
      </c>
      <c r="N1659" s="121">
        <v>0</v>
      </c>
    </row>
    <row r="1660" spans="1:14" hidden="1" x14ac:dyDescent="0.25">
      <c r="A1660" s="120" t="s">
        <v>3591</v>
      </c>
      <c r="B1660" s="120" t="s">
        <v>3592</v>
      </c>
      <c r="C1660" s="120" t="s">
        <v>301</v>
      </c>
      <c r="D1660" s="120" t="s">
        <v>3639</v>
      </c>
      <c r="E1660" s="120" t="s">
        <v>443</v>
      </c>
      <c r="F1660" s="120" t="s">
        <v>10</v>
      </c>
      <c r="G1660" s="120">
        <v>6</v>
      </c>
      <c r="H1660">
        <v>0</v>
      </c>
      <c r="I1660" s="120" t="s">
        <v>57</v>
      </c>
      <c r="J1660">
        <v>6</v>
      </c>
      <c r="K1660">
        <v>0</v>
      </c>
      <c r="L1660" s="121">
        <v>0</v>
      </c>
      <c r="M1660" s="121">
        <v>0</v>
      </c>
      <c r="N1660" s="121">
        <v>0</v>
      </c>
    </row>
    <row r="1661" spans="1:14" hidden="1" x14ac:dyDescent="0.25">
      <c r="A1661" s="120" t="s">
        <v>3591</v>
      </c>
      <c r="B1661" s="120" t="s">
        <v>3698</v>
      </c>
      <c r="C1661" s="120" t="s">
        <v>301</v>
      </c>
      <c r="D1661" s="120" t="s">
        <v>558</v>
      </c>
      <c r="E1661" s="120" t="s">
        <v>16</v>
      </c>
      <c r="F1661" s="120" t="s">
        <v>10</v>
      </c>
      <c r="G1661" s="120">
        <v>1</v>
      </c>
      <c r="H1661">
        <v>1</v>
      </c>
      <c r="I1661" s="120" t="s">
        <v>11</v>
      </c>
      <c r="J1661">
        <v>0</v>
      </c>
      <c r="K1661">
        <v>1</v>
      </c>
      <c r="L1661" s="121">
        <v>35</v>
      </c>
      <c r="M1661" s="121">
        <v>35</v>
      </c>
      <c r="N1661" s="121">
        <v>35</v>
      </c>
    </row>
    <row r="1662" spans="1:14" hidden="1" x14ac:dyDescent="0.25">
      <c r="A1662" s="120" t="s">
        <v>3591</v>
      </c>
      <c r="B1662" s="120" t="s">
        <v>3592</v>
      </c>
      <c r="C1662" s="120" t="s">
        <v>301</v>
      </c>
      <c r="D1662" s="120" t="s">
        <v>3643</v>
      </c>
      <c r="E1662" s="120" t="s">
        <v>448</v>
      </c>
      <c r="F1662" s="120" t="s">
        <v>10</v>
      </c>
      <c r="G1662" s="120">
        <v>5</v>
      </c>
      <c r="H1662">
        <v>0</v>
      </c>
      <c r="I1662" s="120" t="s">
        <v>57</v>
      </c>
      <c r="J1662">
        <v>5</v>
      </c>
      <c r="K1662">
        <v>0</v>
      </c>
      <c r="L1662" s="121">
        <v>0</v>
      </c>
      <c r="M1662" s="121">
        <v>0</v>
      </c>
      <c r="N1662" s="121">
        <v>0</v>
      </c>
    </row>
    <row r="1663" spans="1:14" hidden="1" x14ac:dyDescent="0.25">
      <c r="A1663" s="120" t="s">
        <v>3591</v>
      </c>
      <c r="B1663" s="120" t="s">
        <v>3698</v>
      </c>
      <c r="C1663" s="120" t="s">
        <v>301</v>
      </c>
      <c r="D1663" s="120" t="s">
        <v>3478</v>
      </c>
      <c r="E1663" s="120" t="s">
        <v>48</v>
      </c>
      <c r="F1663" s="120" t="s">
        <v>10</v>
      </c>
      <c r="G1663" s="120">
        <v>0</v>
      </c>
      <c r="H1663">
        <v>0</v>
      </c>
      <c r="I1663" s="120" t="s">
        <v>11</v>
      </c>
      <c r="J1663">
        <v>0</v>
      </c>
      <c r="K1663">
        <v>1</v>
      </c>
      <c r="L1663" s="121">
        <v>0</v>
      </c>
      <c r="M1663" s="121">
        <v>0</v>
      </c>
      <c r="N1663" s="121">
        <v>0</v>
      </c>
    </row>
    <row r="1664" spans="1:14" hidden="1" x14ac:dyDescent="0.25">
      <c r="A1664" s="120" t="s">
        <v>3591</v>
      </c>
      <c r="B1664" s="120" t="s">
        <v>3592</v>
      </c>
      <c r="C1664" s="120" t="s">
        <v>301</v>
      </c>
      <c r="D1664" s="120" t="s">
        <v>3644</v>
      </c>
      <c r="E1664" s="120" t="s">
        <v>451</v>
      </c>
      <c r="F1664" s="120" t="s">
        <v>18</v>
      </c>
      <c r="G1664" s="120">
        <v>3</v>
      </c>
      <c r="H1664">
        <v>0</v>
      </c>
      <c r="I1664" s="120" t="s">
        <v>57</v>
      </c>
      <c r="J1664">
        <v>3</v>
      </c>
      <c r="K1664">
        <v>0</v>
      </c>
      <c r="L1664" s="121">
        <v>0</v>
      </c>
      <c r="M1664" s="121">
        <v>0</v>
      </c>
      <c r="N1664" s="121">
        <v>0</v>
      </c>
    </row>
    <row r="1665" spans="1:14" hidden="1" x14ac:dyDescent="0.25">
      <c r="A1665" s="120" t="s">
        <v>3591</v>
      </c>
      <c r="B1665" s="120" t="s">
        <v>3698</v>
      </c>
      <c r="C1665" s="120" t="s">
        <v>301</v>
      </c>
      <c r="D1665" s="120" t="s">
        <v>561</v>
      </c>
      <c r="E1665" s="120" t="s">
        <v>384</v>
      </c>
      <c r="F1665" s="120" t="s">
        <v>14</v>
      </c>
      <c r="G1665" s="120">
        <v>0</v>
      </c>
      <c r="H1665">
        <v>0</v>
      </c>
      <c r="I1665" s="120" t="s">
        <v>47</v>
      </c>
      <c r="J1665">
        <v>0</v>
      </c>
      <c r="K1665">
        <v>1</v>
      </c>
      <c r="L1665" s="121">
        <v>18</v>
      </c>
      <c r="M1665" s="121">
        <v>0</v>
      </c>
      <c r="N1665" s="121">
        <v>0</v>
      </c>
    </row>
    <row r="1666" spans="1:14" hidden="1" x14ac:dyDescent="0.25">
      <c r="A1666" s="120" t="s">
        <v>3591</v>
      </c>
      <c r="B1666" s="120" t="s">
        <v>3698</v>
      </c>
      <c r="C1666" s="120" t="s">
        <v>301</v>
      </c>
      <c r="D1666" s="120" t="s">
        <v>3483</v>
      </c>
      <c r="E1666" s="120" t="s">
        <v>64</v>
      </c>
      <c r="F1666" s="120" t="s">
        <v>14</v>
      </c>
      <c r="G1666" s="120">
        <v>0</v>
      </c>
      <c r="H1666">
        <v>0</v>
      </c>
      <c r="I1666" s="120" t="s">
        <v>57</v>
      </c>
      <c r="J1666">
        <v>0</v>
      </c>
      <c r="K1666">
        <v>1</v>
      </c>
      <c r="L1666" s="121">
        <v>0</v>
      </c>
      <c r="M1666" s="121">
        <v>0</v>
      </c>
      <c r="N1666" s="121">
        <v>0</v>
      </c>
    </row>
    <row r="1667" spans="1:14" hidden="1" x14ac:dyDescent="0.25">
      <c r="A1667" s="120" t="s">
        <v>3591</v>
      </c>
      <c r="B1667" s="120" t="s">
        <v>3698</v>
      </c>
      <c r="C1667" s="120" t="s">
        <v>301</v>
      </c>
      <c r="D1667" s="120" t="s">
        <v>1178</v>
      </c>
      <c r="E1667" s="120" t="s">
        <v>43</v>
      </c>
      <c r="F1667" s="120" t="s">
        <v>10</v>
      </c>
      <c r="G1667" s="120">
        <v>0</v>
      </c>
      <c r="H1667">
        <v>0</v>
      </c>
      <c r="I1667" s="120" t="s">
        <v>11</v>
      </c>
      <c r="J1667">
        <v>0</v>
      </c>
      <c r="K1667">
        <v>1</v>
      </c>
      <c r="L1667" s="121">
        <v>17</v>
      </c>
      <c r="M1667" s="121">
        <v>0</v>
      </c>
      <c r="N1667" s="121">
        <v>0</v>
      </c>
    </row>
    <row r="1668" spans="1:14" hidden="1" x14ac:dyDescent="0.25">
      <c r="A1668" s="120" t="s">
        <v>3591</v>
      </c>
      <c r="B1668" s="120" t="s">
        <v>3698</v>
      </c>
      <c r="C1668" s="120" t="s">
        <v>301</v>
      </c>
      <c r="D1668" s="120" t="s">
        <v>1776</v>
      </c>
      <c r="E1668" s="120" t="s">
        <v>67</v>
      </c>
      <c r="F1668" s="120" t="s">
        <v>10</v>
      </c>
      <c r="G1668" s="120">
        <v>0</v>
      </c>
      <c r="H1668">
        <v>0</v>
      </c>
      <c r="I1668" s="120" t="s">
        <v>11</v>
      </c>
      <c r="J1668">
        <v>0</v>
      </c>
      <c r="K1668">
        <v>1</v>
      </c>
      <c r="L1668" s="121">
        <v>26.9</v>
      </c>
      <c r="M1668" s="121">
        <v>0</v>
      </c>
      <c r="N1668" s="121">
        <v>0</v>
      </c>
    </row>
    <row r="1669" spans="1:14" hidden="1" x14ac:dyDescent="0.25">
      <c r="A1669" s="120" t="s">
        <v>3591</v>
      </c>
      <c r="B1669" s="120" t="s">
        <v>3698</v>
      </c>
      <c r="C1669" s="120" t="s">
        <v>301</v>
      </c>
      <c r="D1669" s="120" t="s">
        <v>705</v>
      </c>
      <c r="E1669" s="120" t="s">
        <v>427</v>
      </c>
      <c r="F1669" s="120" t="s">
        <v>10</v>
      </c>
      <c r="G1669" s="120">
        <v>0</v>
      </c>
      <c r="H1669">
        <v>0</v>
      </c>
      <c r="I1669" s="120" t="s">
        <v>11</v>
      </c>
      <c r="J1669">
        <v>0</v>
      </c>
      <c r="K1669">
        <v>1</v>
      </c>
      <c r="L1669" s="121">
        <v>5.9</v>
      </c>
      <c r="M1669" s="121">
        <v>0</v>
      </c>
      <c r="N1669" s="121">
        <v>0</v>
      </c>
    </row>
    <row r="1670" spans="1:14" hidden="1" x14ac:dyDescent="0.25">
      <c r="A1670" s="120" t="s">
        <v>3591</v>
      </c>
      <c r="B1670" s="120" t="s">
        <v>3698</v>
      </c>
      <c r="C1670" s="120" t="s">
        <v>301</v>
      </c>
      <c r="D1670" s="120" t="s">
        <v>707</v>
      </c>
      <c r="E1670" s="120" t="s">
        <v>429</v>
      </c>
      <c r="F1670" s="120" t="s">
        <v>10</v>
      </c>
      <c r="G1670" s="120">
        <v>0</v>
      </c>
      <c r="H1670">
        <v>0</v>
      </c>
      <c r="I1670" s="120" t="s">
        <v>11</v>
      </c>
      <c r="J1670">
        <v>0</v>
      </c>
      <c r="K1670">
        <v>1</v>
      </c>
      <c r="L1670" s="121">
        <v>5.9</v>
      </c>
      <c r="M1670" s="121">
        <v>0</v>
      </c>
      <c r="N1670" s="121">
        <v>0</v>
      </c>
    </row>
    <row r="1671" spans="1:14" hidden="1" x14ac:dyDescent="0.25">
      <c r="A1671" s="120" t="s">
        <v>3591</v>
      </c>
      <c r="B1671" s="120" t="s">
        <v>3592</v>
      </c>
      <c r="C1671" s="120" t="s">
        <v>301</v>
      </c>
      <c r="D1671" s="120" t="s">
        <v>3662</v>
      </c>
      <c r="E1671" s="120" t="s">
        <v>476</v>
      </c>
      <c r="F1671" s="120" t="s">
        <v>10</v>
      </c>
      <c r="G1671" s="120">
        <v>3</v>
      </c>
      <c r="H1671">
        <v>0</v>
      </c>
      <c r="I1671" s="120" t="s">
        <v>57</v>
      </c>
      <c r="J1671">
        <v>3</v>
      </c>
      <c r="K1671">
        <v>0</v>
      </c>
      <c r="L1671" s="121">
        <v>0</v>
      </c>
      <c r="M1671" s="121">
        <v>0</v>
      </c>
      <c r="N1671" s="121">
        <v>0</v>
      </c>
    </row>
    <row r="1672" spans="1:14" hidden="1" x14ac:dyDescent="0.25">
      <c r="A1672" s="120" t="s">
        <v>3591</v>
      </c>
      <c r="B1672" s="120" t="s">
        <v>3698</v>
      </c>
      <c r="C1672" s="120" t="s">
        <v>301</v>
      </c>
      <c r="D1672" s="120" t="s">
        <v>710</v>
      </c>
      <c r="E1672" s="120" t="s">
        <v>430</v>
      </c>
      <c r="F1672" s="120" t="s">
        <v>10</v>
      </c>
      <c r="G1672" s="120">
        <v>0</v>
      </c>
      <c r="H1672">
        <v>0</v>
      </c>
      <c r="I1672" s="120" t="s">
        <v>11</v>
      </c>
      <c r="J1672">
        <v>0</v>
      </c>
      <c r="K1672">
        <v>1</v>
      </c>
      <c r="L1672" s="121">
        <v>9.9</v>
      </c>
      <c r="M1672" s="121">
        <v>0</v>
      </c>
      <c r="N1672" s="121">
        <v>0</v>
      </c>
    </row>
    <row r="1673" spans="1:14" hidden="1" x14ac:dyDescent="0.25">
      <c r="A1673" s="120" t="s">
        <v>3591</v>
      </c>
      <c r="B1673" s="120" t="s">
        <v>3701</v>
      </c>
      <c r="C1673" s="120" t="s">
        <v>69</v>
      </c>
      <c r="D1673" s="120" t="s">
        <v>723</v>
      </c>
      <c r="E1673" s="120" t="s">
        <v>724</v>
      </c>
      <c r="F1673" s="120" t="s">
        <v>18</v>
      </c>
      <c r="G1673" s="120">
        <v>0</v>
      </c>
      <c r="H1673">
        <v>1</v>
      </c>
      <c r="I1673" s="120" t="s">
        <v>57</v>
      </c>
      <c r="J1673">
        <v>-1</v>
      </c>
      <c r="K1673">
        <v>0</v>
      </c>
      <c r="L1673">
        <v>203.9</v>
      </c>
      <c r="M1673">
        <v>0</v>
      </c>
      <c r="N1673">
        <v>203.9</v>
      </c>
    </row>
    <row r="1674" spans="1:14" hidden="1" x14ac:dyDescent="0.25">
      <c r="A1674" s="120" t="s">
        <v>3591</v>
      </c>
      <c r="B1674" s="120" t="s">
        <v>3698</v>
      </c>
      <c r="C1674" s="120" t="s">
        <v>301</v>
      </c>
      <c r="D1674" s="120" t="s">
        <v>1132</v>
      </c>
      <c r="E1674" s="120" t="s">
        <v>462</v>
      </c>
      <c r="F1674" s="120" t="s">
        <v>463</v>
      </c>
      <c r="G1674" s="120">
        <v>0</v>
      </c>
      <c r="H1674">
        <v>0</v>
      </c>
      <c r="I1674" s="120" t="s">
        <v>57</v>
      </c>
      <c r="J1674">
        <v>0</v>
      </c>
      <c r="K1674">
        <v>1</v>
      </c>
      <c r="L1674" s="121">
        <v>45</v>
      </c>
      <c r="M1674" s="121">
        <v>0</v>
      </c>
      <c r="N1674" s="121">
        <v>0</v>
      </c>
    </row>
    <row r="1675" spans="1:14" hidden="1" x14ac:dyDescent="0.25">
      <c r="A1675" s="120" t="s">
        <v>3591</v>
      </c>
      <c r="B1675" s="120" t="s">
        <v>3698</v>
      </c>
      <c r="C1675" s="120" t="s">
        <v>301</v>
      </c>
      <c r="D1675" s="120" t="s">
        <v>3610</v>
      </c>
      <c r="E1675" s="120" t="s">
        <v>401</v>
      </c>
      <c r="F1675" s="120" t="s">
        <v>10</v>
      </c>
      <c r="G1675" s="120">
        <v>0</v>
      </c>
      <c r="H1675">
        <v>0</v>
      </c>
      <c r="I1675" s="120" t="s">
        <v>11</v>
      </c>
      <c r="J1675">
        <v>0</v>
      </c>
      <c r="K1675">
        <v>1</v>
      </c>
      <c r="L1675" s="121">
        <v>0</v>
      </c>
      <c r="M1675" s="121">
        <v>0</v>
      </c>
      <c r="N1675" s="121">
        <v>0</v>
      </c>
    </row>
    <row r="1676" spans="1:14" hidden="1" x14ac:dyDescent="0.25">
      <c r="A1676" s="120" t="s">
        <v>3591</v>
      </c>
      <c r="B1676" s="120" t="s">
        <v>3592</v>
      </c>
      <c r="C1676" s="120" t="s">
        <v>301</v>
      </c>
      <c r="D1676" s="120" t="s">
        <v>1224</v>
      </c>
      <c r="E1676" s="120" t="s">
        <v>483</v>
      </c>
      <c r="F1676" s="120" t="s">
        <v>10</v>
      </c>
      <c r="G1676" s="120">
        <v>0</v>
      </c>
      <c r="H1676">
        <v>7</v>
      </c>
      <c r="I1676" s="120" t="s">
        <v>57</v>
      </c>
      <c r="J1676">
        <v>-7</v>
      </c>
      <c r="K1676">
        <v>0</v>
      </c>
      <c r="L1676">
        <v>9.44</v>
      </c>
      <c r="M1676">
        <v>0</v>
      </c>
      <c r="N1676">
        <v>66.08</v>
      </c>
    </row>
    <row r="1677" spans="1:14" hidden="1" x14ac:dyDescent="0.25">
      <c r="A1677" s="120" t="s">
        <v>3591</v>
      </c>
      <c r="B1677" s="120" t="s">
        <v>3698</v>
      </c>
      <c r="C1677" s="120" t="s">
        <v>301</v>
      </c>
      <c r="D1677" s="120" t="s">
        <v>3611</v>
      </c>
      <c r="E1677" s="120" t="s">
        <v>402</v>
      </c>
      <c r="F1677" s="120" t="s">
        <v>10</v>
      </c>
      <c r="G1677" s="120">
        <v>0</v>
      </c>
      <c r="H1677">
        <v>0</v>
      </c>
      <c r="I1677" s="120" t="s">
        <v>11</v>
      </c>
      <c r="J1677">
        <v>0</v>
      </c>
      <c r="K1677">
        <v>1</v>
      </c>
      <c r="L1677" s="121">
        <v>0</v>
      </c>
      <c r="M1677" s="121">
        <v>0</v>
      </c>
      <c r="N1677" s="121">
        <v>0</v>
      </c>
    </row>
    <row r="1678" spans="1:14" hidden="1" x14ac:dyDescent="0.25">
      <c r="A1678" s="120" t="s">
        <v>3591</v>
      </c>
      <c r="B1678" s="120" t="s">
        <v>3698</v>
      </c>
      <c r="C1678" s="120" t="s">
        <v>301</v>
      </c>
      <c r="D1678" s="120" t="s">
        <v>3613</v>
      </c>
      <c r="E1678" s="120" t="s">
        <v>404</v>
      </c>
      <c r="F1678" s="120" t="s">
        <v>10</v>
      </c>
      <c r="G1678" s="120">
        <v>0</v>
      </c>
      <c r="H1678">
        <v>0</v>
      </c>
      <c r="I1678" s="120" t="s">
        <v>11</v>
      </c>
      <c r="J1678">
        <v>0</v>
      </c>
      <c r="K1678">
        <v>1</v>
      </c>
      <c r="L1678" s="121">
        <v>0</v>
      </c>
      <c r="M1678" s="121">
        <v>0</v>
      </c>
      <c r="N1678" s="121">
        <v>0</v>
      </c>
    </row>
    <row r="1679" spans="1:14" hidden="1" x14ac:dyDescent="0.25">
      <c r="A1679" s="120" t="s">
        <v>3591</v>
      </c>
      <c r="B1679" s="120" t="s">
        <v>3592</v>
      </c>
      <c r="C1679" s="120" t="s">
        <v>301</v>
      </c>
      <c r="D1679" s="120" t="s">
        <v>3673</v>
      </c>
      <c r="E1679" s="120" t="s">
        <v>490</v>
      </c>
      <c r="F1679" s="120" t="s">
        <v>10</v>
      </c>
      <c r="G1679" s="120">
        <v>1</v>
      </c>
      <c r="H1679">
        <v>0</v>
      </c>
      <c r="I1679" s="120" t="s">
        <v>57</v>
      </c>
      <c r="J1679">
        <v>1</v>
      </c>
      <c r="K1679">
        <v>0</v>
      </c>
      <c r="L1679" s="121">
        <v>0</v>
      </c>
      <c r="M1679" s="121">
        <v>0</v>
      </c>
      <c r="N1679" s="121">
        <v>0</v>
      </c>
    </row>
    <row r="1680" spans="1:14" hidden="1" x14ac:dyDescent="0.25">
      <c r="A1680" s="120" t="s">
        <v>3591</v>
      </c>
      <c r="B1680" s="120" t="s">
        <v>3592</v>
      </c>
      <c r="C1680" s="120" t="s">
        <v>301</v>
      </c>
      <c r="D1680" s="120" t="s">
        <v>3674</v>
      </c>
      <c r="E1680" s="120" t="s">
        <v>491</v>
      </c>
      <c r="F1680" s="120" t="s">
        <v>10</v>
      </c>
      <c r="G1680" s="120">
        <v>11</v>
      </c>
      <c r="H1680">
        <v>0</v>
      </c>
      <c r="I1680" s="120" t="s">
        <v>57</v>
      </c>
      <c r="J1680">
        <v>11</v>
      </c>
      <c r="K1680">
        <v>0</v>
      </c>
      <c r="L1680" s="121">
        <v>0</v>
      </c>
      <c r="M1680" s="121">
        <v>0</v>
      </c>
      <c r="N1680" s="121">
        <v>0</v>
      </c>
    </row>
    <row r="1681" spans="1:14" hidden="1" x14ac:dyDescent="0.25">
      <c r="A1681" s="120" t="s">
        <v>3591</v>
      </c>
      <c r="B1681" s="120" t="s">
        <v>3592</v>
      </c>
      <c r="C1681" s="120" t="s">
        <v>301</v>
      </c>
      <c r="D1681" s="120" t="s">
        <v>3675</v>
      </c>
      <c r="E1681" s="120" t="s">
        <v>492</v>
      </c>
      <c r="F1681" s="120" t="s">
        <v>10</v>
      </c>
      <c r="G1681" s="120">
        <v>1</v>
      </c>
      <c r="H1681">
        <v>0</v>
      </c>
      <c r="I1681" s="120" t="s">
        <v>57</v>
      </c>
      <c r="J1681">
        <v>1</v>
      </c>
      <c r="K1681">
        <v>0</v>
      </c>
      <c r="L1681" s="121">
        <v>0</v>
      </c>
      <c r="M1681" s="121">
        <v>0</v>
      </c>
      <c r="N1681" s="121">
        <v>0</v>
      </c>
    </row>
    <row r="1682" spans="1:14" hidden="1" x14ac:dyDescent="0.25">
      <c r="A1682" s="120" t="s">
        <v>3591</v>
      </c>
      <c r="B1682" s="120" t="s">
        <v>3592</v>
      </c>
      <c r="C1682" s="120" t="s">
        <v>301</v>
      </c>
      <c r="D1682" s="120" t="s">
        <v>1767</v>
      </c>
      <c r="E1682" s="120" t="s">
        <v>493</v>
      </c>
      <c r="F1682" s="120" t="s">
        <v>18</v>
      </c>
      <c r="G1682" s="120">
        <v>0</v>
      </c>
      <c r="H1682">
        <v>1</v>
      </c>
      <c r="I1682" s="120" t="s">
        <v>57</v>
      </c>
      <c r="J1682">
        <v>-1</v>
      </c>
      <c r="K1682">
        <v>0</v>
      </c>
      <c r="L1682">
        <v>24</v>
      </c>
      <c r="M1682">
        <v>0</v>
      </c>
      <c r="N1682">
        <v>24</v>
      </c>
    </row>
    <row r="1683" spans="1:14" hidden="1" x14ac:dyDescent="0.25">
      <c r="A1683" s="120" t="s">
        <v>3591</v>
      </c>
      <c r="B1683" s="120" t="s">
        <v>3592</v>
      </c>
      <c r="C1683" s="120" t="s">
        <v>301</v>
      </c>
      <c r="D1683" s="120" t="s">
        <v>1768</v>
      </c>
      <c r="E1683" s="120" t="s">
        <v>494</v>
      </c>
      <c r="F1683" s="120" t="s">
        <v>18</v>
      </c>
      <c r="G1683" s="120">
        <v>0</v>
      </c>
      <c r="H1683">
        <v>9</v>
      </c>
      <c r="I1683" s="120" t="s">
        <v>57</v>
      </c>
      <c r="J1683">
        <v>-9</v>
      </c>
      <c r="K1683">
        <v>0</v>
      </c>
      <c r="L1683">
        <v>50</v>
      </c>
      <c r="M1683">
        <v>0</v>
      </c>
      <c r="N1683">
        <v>450</v>
      </c>
    </row>
    <row r="1684" spans="1:14" hidden="1" x14ac:dyDescent="0.25">
      <c r="A1684" s="120" t="s">
        <v>3591</v>
      </c>
      <c r="B1684" s="120" t="s">
        <v>3592</v>
      </c>
      <c r="C1684" s="120" t="s">
        <v>301</v>
      </c>
      <c r="D1684" s="120" t="s">
        <v>1772</v>
      </c>
      <c r="E1684" s="120" t="s">
        <v>496</v>
      </c>
      <c r="F1684" s="120" t="s">
        <v>10</v>
      </c>
      <c r="G1684" s="120">
        <v>0</v>
      </c>
      <c r="H1684">
        <v>1</v>
      </c>
      <c r="I1684" s="120" t="s">
        <v>57</v>
      </c>
      <c r="J1684">
        <v>-1</v>
      </c>
      <c r="K1684">
        <v>0</v>
      </c>
      <c r="L1684">
        <v>9.8000000000000007</v>
      </c>
      <c r="M1684">
        <v>0</v>
      </c>
      <c r="N1684">
        <v>9.8000000000000007</v>
      </c>
    </row>
    <row r="1685" spans="1:14" hidden="1" x14ac:dyDescent="0.25">
      <c r="A1685" s="120" t="s">
        <v>3591</v>
      </c>
      <c r="B1685" s="120" t="s">
        <v>3698</v>
      </c>
      <c r="C1685" s="120" t="s">
        <v>301</v>
      </c>
      <c r="D1685" s="120" t="s">
        <v>3614</v>
      </c>
      <c r="E1685" s="120" t="s">
        <v>405</v>
      </c>
      <c r="F1685" s="120" t="s">
        <v>10</v>
      </c>
      <c r="G1685" s="120">
        <v>0</v>
      </c>
      <c r="H1685">
        <v>0</v>
      </c>
      <c r="I1685" s="120" t="s">
        <v>11</v>
      </c>
      <c r="J1685">
        <v>0</v>
      </c>
      <c r="K1685">
        <v>1</v>
      </c>
      <c r="L1685" s="121">
        <v>0</v>
      </c>
      <c r="M1685" s="121">
        <v>0</v>
      </c>
      <c r="N1685" s="121">
        <v>0</v>
      </c>
    </row>
    <row r="1686" spans="1:14" hidden="1" x14ac:dyDescent="0.25">
      <c r="A1686" s="120" t="s">
        <v>3591</v>
      </c>
      <c r="B1686" s="120" t="s">
        <v>3698</v>
      </c>
      <c r="C1686" s="120" t="s">
        <v>301</v>
      </c>
      <c r="D1686" s="120" t="s">
        <v>3615</v>
      </c>
      <c r="E1686" s="120" t="s">
        <v>406</v>
      </c>
      <c r="F1686" s="120" t="s">
        <v>10</v>
      </c>
      <c r="G1686" s="120">
        <v>0</v>
      </c>
      <c r="H1686">
        <v>0</v>
      </c>
      <c r="I1686" s="120" t="s">
        <v>11</v>
      </c>
      <c r="J1686">
        <v>0</v>
      </c>
      <c r="K1686">
        <v>1</v>
      </c>
      <c r="L1686" s="121">
        <v>0</v>
      </c>
      <c r="M1686" s="121">
        <v>0</v>
      </c>
      <c r="N1686" s="121">
        <v>0</v>
      </c>
    </row>
    <row r="1687" spans="1:14" hidden="1" x14ac:dyDescent="0.25">
      <c r="A1687" s="120" t="s">
        <v>3591</v>
      </c>
      <c r="B1687" s="120" t="s">
        <v>3698</v>
      </c>
      <c r="C1687" s="120" t="s">
        <v>301</v>
      </c>
      <c r="D1687" s="120" t="s">
        <v>3616</v>
      </c>
      <c r="E1687" s="120" t="s">
        <v>407</v>
      </c>
      <c r="F1687" s="120" t="s">
        <v>10</v>
      </c>
      <c r="G1687" s="120">
        <v>0</v>
      </c>
      <c r="H1687">
        <v>0</v>
      </c>
      <c r="I1687" s="120" t="s">
        <v>47</v>
      </c>
      <c r="J1687">
        <v>0</v>
      </c>
      <c r="K1687">
        <v>1</v>
      </c>
      <c r="L1687" s="121">
        <v>0</v>
      </c>
      <c r="M1687" s="121">
        <v>0</v>
      </c>
      <c r="N1687" s="121">
        <v>0</v>
      </c>
    </row>
    <row r="1688" spans="1:14" hidden="1" x14ac:dyDescent="0.25">
      <c r="A1688" s="120" t="s">
        <v>3591</v>
      </c>
      <c r="B1688" s="120" t="s">
        <v>3701</v>
      </c>
      <c r="C1688" s="120" t="s">
        <v>69</v>
      </c>
      <c r="D1688" s="120" t="s">
        <v>737</v>
      </c>
      <c r="E1688" s="120" t="s">
        <v>440</v>
      </c>
      <c r="F1688" s="120"/>
      <c r="G1688" s="120">
        <v>2</v>
      </c>
      <c r="H1688">
        <v>3</v>
      </c>
      <c r="I1688" s="120" t="s">
        <v>57</v>
      </c>
      <c r="J1688">
        <v>-1</v>
      </c>
      <c r="K1688">
        <v>0</v>
      </c>
      <c r="L1688">
        <v>23.8</v>
      </c>
      <c r="M1688">
        <v>47.6</v>
      </c>
      <c r="N1688">
        <v>71.400000000000006</v>
      </c>
    </row>
    <row r="1689" spans="1:14" hidden="1" x14ac:dyDescent="0.25">
      <c r="A1689" s="120" t="s">
        <v>3591</v>
      </c>
      <c r="B1689" s="120" t="s">
        <v>3592</v>
      </c>
      <c r="C1689" s="120" t="s">
        <v>69</v>
      </c>
      <c r="D1689" s="120"/>
      <c r="E1689" s="120" t="s">
        <v>79</v>
      </c>
      <c r="F1689" s="120" t="s">
        <v>18</v>
      </c>
      <c r="G1689" s="120">
        <v>26</v>
      </c>
      <c r="H1689">
        <v>0</v>
      </c>
      <c r="I1689" s="120" t="s">
        <v>57</v>
      </c>
      <c r="J1689">
        <v>26</v>
      </c>
      <c r="K1689">
        <v>0</v>
      </c>
      <c r="L1689" s="121">
        <v>0</v>
      </c>
      <c r="M1689" s="121">
        <v>0</v>
      </c>
      <c r="N1689" s="121">
        <v>0</v>
      </c>
    </row>
    <row r="1690" spans="1:14" hidden="1" x14ac:dyDescent="0.25">
      <c r="A1690" s="120" t="s">
        <v>3591</v>
      </c>
      <c r="B1690" s="120" t="s">
        <v>3698</v>
      </c>
      <c r="C1690" s="120" t="s">
        <v>69</v>
      </c>
      <c r="D1690" s="120" t="s">
        <v>739</v>
      </c>
      <c r="E1690" s="120" t="s">
        <v>271</v>
      </c>
      <c r="F1690" s="120" t="s">
        <v>14</v>
      </c>
      <c r="G1690" s="120">
        <v>1</v>
      </c>
      <c r="H1690">
        <v>7</v>
      </c>
      <c r="I1690" s="120" t="s">
        <v>57</v>
      </c>
      <c r="J1690">
        <v>-6</v>
      </c>
      <c r="K1690">
        <v>0</v>
      </c>
      <c r="L1690">
        <v>24.5</v>
      </c>
      <c r="M1690">
        <v>24.5</v>
      </c>
      <c r="N1690">
        <v>171.5</v>
      </c>
    </row>
    <row r="1691" spans="1:14" hidden="1" x14ac:dyDescent="0.25">
      <c r="A1691" s="120" t="s">
        <v>3591</v>
      </c>
      <c r="B1691" s="120" t="s">
        <v>3592</v>
      </c>
      <c r="C1691" s="120" t="s">
        <v>69</v>
      </c>
      <c r="D1691" s="120" t="s">
        <v>3680</v>
      </c>
      <c r="E1691" s="120" t="s">
        <v>506</v>
      </c>
      <c r="F1691" s="120" t="s">
        <v>18</v>
      </c>
      <c r="G1691" s="120">
        <v>5</v>
      </c>
      <c r="H1691">
        <v>0</v>
      </c>
      <c r="I1691" s="120" t="s">
        <v>57</v>
      </c>
      <c r="J1691">
        <v>5</v>
      </c>
      <c r="K1691">
        <v>0</v>
      </c>
      <c r="L1691" s="121">
        <v>0</v>
      </c>
      <c r="M1691" s="121">
        <v>0</v>
      </c>
      <c r="N1691" s="121">
        <v>0</v>
      </c>
    </row>
    <row r="1692" spans="1:14" hidden="1" x14ac:dyDescent="0.25">
      <c r="A1692" s="120" t="s">
        <v>3591</v>
      </c>
      <c r="B1692" s="120" t="s">
        <v>3592</v>
      </c>
      <c r="C1692" s="120" t="s">
        <v>69</v>
      </c>
      <c r="D1692" s="120" t="s">
        <v>3490</v>
      </c>
      <c r="E1692" s="120" t="s">
        <v>84</v>
      </c>
      <c r="F1692" s="120" t="s">
        <v>18</v>
      </c>
      <c r="G1692" s="120">
        <v>6</v>
      </c>
      <c r="H1692">
        <v>0</v>
      </c>
      <c r="I1692" s="120" t="s">
        <v>57</v>
      </c>
      <c r="J1692">
        <v>6</v>
      </c>
      <c r="K1692">
        <v>0</v>
      </c>
      <c r="L1692" s="121">
        <v>0</v>
      </c>
      <c r="M1692" s="121">
        <v>0</v>
      </c>
      <c r="N1692" s="121">
        <v>0</v>
      </c>
    </row>
    <row r="1693" spans="1:14" hidden="1" x14ac:dyDescent="0.25">
      <c r="A1693" s="120" t="s">
        <v>3591</v>
      </c>
      <c r="B1693" s="120" t="s">
        <v>3592</v>
      </c>
      <c r="C1693" s="120" t="s">
        <v>69</v>
      </c>
      <c r="D1693" s="120" t="s">
        <v>3681</v>
      </c>
      <c r="E1693" s="120" t="s">
        <v>507</v>
      </c>
      <c r="F1693" s="120" t="s">
        <v>10</v>
      </c>
      <c r="G1693" s="120">
        <v>5</v>
      </c>
      <c r="H1693">
        <v>0</v>
      </c>
      <c r="I1693" s="120" t="s">
        <v>57</v>
      </c>
      <c r="J1693">
        <v>5</v>
      </c>
      <c r="K1693">
        <v>0</v>
      </c>
      <c r="L1693" s="121">
        <v>0</v>
      </c>
      <c r="M1693" s="121">
        <v>0</v>
      </c>
      <c r="N1693" s="121">
        <v>0</v>
      </c>
    </row>
    <row r="1694" spans="1:14" hidden="1" x14ac:dyDescent="0.25">
      <c r="A1694" s="120" t="s">
        <v>3591</v>
      </c>
      <c r="B1694" s="120" t="s">
        <v>3693</v>
      </c>
      <c r="C1694" s="120" t="s">
        <v>69</v>
      </c>
      <c r="D1694" s="120" t="s">
        <v>740</v>
      </c>
      <c r="E1694" s="120" t="s">
        <v>103</v>
      </c>
      <c r="F1694" s="120" t="s">
        <v>14</v>
      </c>
      <c r="G1694" s="120">
        <v>6</v>
      </c>
      <c r="H1694">
        <v>6</v>
      </c>
      <c r="I1694" s="120" t="s">
        <v>57</v>
      </c>
      <c r="J1694">
        <v>0</v>
      </c>
      <c r="K1694">
        <v>1</v>
      </c>
      <c r="L1694" s="121">
        <v>29</v>
      </c>
      <c r="M1694" s="121">
        <v>174</v>
      </c>
      <c r="N1694" s="121">
        <v>174</v>
      </c>
    </row>
    <row r="1695" spans="1:14" hidden="1" x14ac:dyDescent="0.25">
      <c r="A1695" s="120" t="s">
        <v>3591</v>
      </c>
      <c r="B1695" s="120" t="s">
        <v>3592</v>
      </c>
      <c r="C1695" s="120" t="s">
        <v>69</v>
      </c>
      <c r="D1695" s="120" t="s">
        <v>3493</v>
      </c>
      <c r="E1695" s="120" t="s">
        <v>87</v>
      </c>
      <c r="F1695" s="120" t="s">
        <v>18</v>
      </c>
      <c r="G1695" s="120">
        <v>13</v>
      </c>
      <c r="H1695">
        <v>0</v>
      </c>
      <c r="I1695" s="120" t="s">
        <v>57</v>
      </c>
      <c r="J1695">
        <v>13</v>
      </c>
      <c r="K1695">
        <v>0</v>
      </c>
      <c r="L1695" s="121">
        <v>0</v>
      </c>
      <c r="M1695" s="121">
        <v>0</v>
      </c>
      <c r="N1695" s="121">
        <v>0</v>
      </c>
    </row>
    <row r="1696" spans="1:14" hidden="1" x14ac:dyDescent="0.25">
      <c r="A1696" s="120" t="s">
        <v>3591</v>
      </c>
      <c r="B1696" s="120" t="s">
        <v>3592</v>
      </c>
      <c r="C1696" s="120" t="s">
        <v>69</v>
      </c>
      <c r="D1696" s="120" t="s">
        <v>3495</v>
      </c>
      <c r="E1696" s="120" t="s">
        <v>89</v>
      </c>
      <c r="F1696" s="120" t="s">
        <v>18</v>
      </c>
      <c r="G1696" s="120">
        <v>15</v>
      </c>
      <c r="H1696">
        <v>0</v>
      </c>
      <c r="I1696" s="120" t="s">
        <v>57</v>
      </c>
      <c r="J1696">
        <v>15</v>
      </c>
      <c r="K1696">
        <v>0</v>
      </c>
      <c r="L1696" s="121">
        <v>0</v>
      </c>
      <c r="M1696" s="121">
        <v>0</v>
      </c>
      <c r="N1696" s="121">
        <v>0</v>
      </c>
    </row>
    <row r="1697" spans="1:14" hidden="1" x14ac:dyDescent="0.25">
      <c r="A1697" s="120" t="s">
        <v>3591</v>
      </c>
      <c r="B1697" s="120" t="s">
        <v>3592</v>
      </c>
      <c r="C1697" s="120" t="s">
        <v>69</v>
      </c>
      <c r="D1697" s="120" t="s">
        <v>3689</v>
      </c>
      <c r="E1697" s="120" t="s">
        <v>515</v>
      </c>
      <c r="F1697" s="120" t="s">
        <v>18</v>
      </c>
      <c r="G1697" s="120">
        <v>4</v>
      </c>
      <c r="H1697">
        <v>0</v>
      </c>
      <c r="I1697" s="120" t="s">
        <v>57</v>
      </c>
      <c r="J1697">
        <v>4</v>
      </c>
      <c r="K1697">
        <v>0</v>
      </c>
      <c r="L1697" s="121">
        <v>0</v>
      </c>
      <c r="M1697" s="121">
        <v>0</v>
      </c>
      <c r="N1697" s="121">
        <v>0</v>
      </c>
    </row>
    <row r="1698" spans="1:14" hidden="1" x14ac:dyDescent="0.25">
      <c r="A1698" s="120" t="s">
        <v>3591</v>
      </c>
      <c r="B1698" s="120" t="s">
        <v>3592</v>
      </c>
      <c r="C1698" s="120" t="s">
        <v>69</v>
      </c>
      <c r="D1698" s="120" t="s">
        <v>3499</v>
      </c>
      <c r="E1698" s="120" t="s">
        <v>516</v>
      </c>
      <c r="F1698" s="120" t="s">
        <v>18</v>
      </c>
      <c r="G1698" s="120">
        <v>3</v>
      </c>
      <c r="H1698">
        <v>0</v>
      </c>
      <c r="I1698" s="120" t="s">
        <v>57</v>
      </c>
      <c r="J1698">
        <v>3</v>
      </c>
      <c r="K1698">
        <v>0</v>
      </c>
      <c r="L1698" s="121">
        <v>0</v>
      </c>
      <c r="M1698" s="121">
        <v>0</v>
      </c>
      <c r="N1698" s="121">
        <v>0</v>
      </c>
    </row>
    <row r="1699" spans="1:14" hidden="1" x14ac:dyDescent="0.25">
      <c r="A1699" s="120" t="s">
        <v>3591</v>
      </c>
      <c r="B1699" s="120" t="s">
        <v>3592</v>
      </c>
      <c r="C1699" s="120" t="s">
        <v>69</v>
      </c>
      <c r="D1699" s="120" t="s">
        <v>3690</v>
      </c>
      <c r="E1699" s="120" t="s">
        <v>520</v>
      </c>
      <c r="F1699" s="120" t="s">
        <v>10</v>
      </c>
      <c r="G1699" s="120">
        <v>12</v>
      </c>
      <c r="H1699">
        <v>0</v>
      </c>
      <c r="I1699" s="120" t="s">
        <v>57</v>
      </c>
      <c r="J1699">
        <v>12</v>
      </c>
      <c r="K1699">
        <v>0</v>
      </c>
      <c r="L1699" s="121">
        <v>0</v>
      </c>
      <c r="M1699" s="121">
        <v>0</v>
      </c>
      <c r="N1699" s="121">
        <v>0</v>
      </c>
    </row>
    <row r="1700" spans="1:14" hidden="1" x14ac:dyDescent="0.25">
      <c r="A1700" s="120" t="s">
        <v>3591</v>
      </c>
      <c r="B1700" s="120" t="s">
        <v>3592</v>
      </c>
      <c r="C1700" s="120" t="s">
        <v>69</v>
      </c>
      <c r="D1700" s="120" t="s">
        <v>1109</v>
      </c>
      <c r="E1700" s="120" t="s">
        <v>182</v>
      </c>
      <c r="F1700" s="120" t="s">
        <v>18</v>
      </c>
      <c r="G1700" s="120">
        <v>26</v>
      </c>
      <c r="H1700">
        <v>71</v>
      </c>
      <c r="I1700" s="120" t="s">
        <v>57</v>
      </c>
      <c r="J1700">
        <v>-45</v>
      </c>
      <c r="K1700">
        <v>0</v>
      </c>
      <c r="L1700" s="121">
        <v>8</v>
      </c>
      <c r="M1700" s="121">
        <v>208</v>
      </c>
      <c r="N1700" s="121">
        <v>568</v>
      </c>
    </row>
    <row r="1701" spans="1:14" hidden="1" x14ac:dyDescent="0.25">
      <c r="A1701" s="120" t="s">
        <v>3591</v>
      </c>
      <c r="B1701" s="120" t="s">
        <v>3592</v>
      </c>
      <c r="C1701" s="120" t="s">
        <v>69</v>
      </c>
      <c r="D1701" s="120" t="s">
        <v>3583</v>
      </c>
      <c r="E1701" s="120" t="s">
        <v>283</v>
      </c>
      <c r="F1701" s="120" t="s">
        <v>18</v>
      </c>
      <c r="G1701" s="120">
        <v>0</v>
      </c>
      <c r="H1701">
        <v>0</v>
      </c>
      <c r="I1701" s="120" t="s">
        <v>57</v>
      </c>
      <c r="J1701">
        <v>0</v>
      </c>
      <c r="K1701">
        <v>1</v>
      </c>
      <c r="L1701" s="121">
        <v>0</v>
      </c>
      <c r="M1701" s="121">
        <v>0</v>
      </c>
      <c r="N1701" s="121">
        <v>0</v>
      </c>
    </row>
    <row r="1702" spans="1:14" hidden="1" x14ac:dyDescent="0.25">
      <c r="A1702" s="120" t="s">
        <v>3591</v>
      </c>
      <c r="B1702" s="120" t="s">
        <v>3592</v>
      </c>
      <c r="C1702" s="120" t="s">
        <v>69</v>
      </c>
      <c r="D1702" s="120" t="s">
        <v>1157</v>
      </c>
      <c r="E1702" s="120" t="s">
        <v>524</v>
      </c>
      <c r="F1702" s="120" t="s">
        <v>18</v>
      </c>
      <c r="G1702" s="120">
        <v>28</v>
      </c>
      <c r="H1702">
        <v>28</v>
      </c>
      <c r="I1702" s="120" t="s">
        <v>57</v>
      </c>
      <c r="J1702">
        <v>0</v>
      </c>
      <c r="K1702">
        <v>1</v>
      </c>
      <c r="L1702" s="121">
        <v>7.5</v>
      </c>
      <c r="M1702" s="121">
        <v>210</v>
      </c>
      <c r="N1702" s="121">
        <v>210</v>
      </c>
    </row>
    <row r="1703" spans="1:14" hidden="1" x14ac:dyDescent="0.25">
      <c r="A1703" s="120" t="s">
        <v>3591</v>
      </c>
      <c r="B1703" s="120" t="s">
        <v>3592</v>
      </c>
      <c r="C1703" s="120" t="s">
        <v>69</v>
      </c>
      <c r="D1703" s="120" t="s">
        <v>1159</v>
      </c>
      <c r="E1703" s="120" t="s">
        <v>525</v>
      </c>
      <c r="F1703" s="120" t="s">
        <v>71</v>
      </c>
      <c r="G1703" s="120">
        <v>11</v>
      </c>
      <c r="H1703">
        <v>10</v>
      </c>
      <c r="I1703" s="120" t="s">
        <v>57</v>
      </c>
      <c r="J1703">
        <v>1</v>
      </c>
      <c r="K1703">
        <v>0</v>
      </c>
      <c r="L1703" s="121">
        <v>18.5</v>
      </c>
      <c r="M1703" s="121">
        <v>203.5</v>
      </c>
      <c r="N1703" s="121">
        <v>185</v>
      </c>
    </row>
    <row r="1704" spans="1:14" hidden="1" x14ac:dyDescent="0.25">
      <c r="A1704" s="120" t="s">
        <v>3591</v>
      </c>
      <c r="B1704" s="120" t="s">
        <v>3592</v>
      </c>
      <c r="C1704" s="120" t="s">
        <v>69</v>
      </c>
      <c r="D1704" s="120" t="s">
        <v>1191</v>
      </c>
      <c r="E1704" s="120" t="s">
        <v>117</v>
      </c>
      <c r="F1704" s="120" t="s">
        <v>18</v>
      </c>
      <c r="G1704" s="120">
        <v>0</v>
      </c>
      <c r="H1704">
        <v>9</v>
      </c>
      <c r="I1704" s="120" t="s">
        <v>57</v>
      </c>
      <c r="J1704">
        <v>-9</v>
      </c>
      <c r="K1704">
        <v>0</v>
      </c>
      <c r="L1704">
        <v>3.5</v>
      </c>
      <c r="M1704">
        <v>0</v>
      </c>
      <c r="N1704">
        <v>31.5</v>
      </c>
    </row>
    <row r="1705" spans="1:14" hidden="1" x14ac:dyDescent="0.25">
      <c r="A1705" s="120" t="s">
        <v>3591</v>
      </c>
      <c r="B1705" s="120" t="s">
        <v>3693</v>
      </c>
      <c r="C1705" s="120" t="s">
        <v>301</v>
      </c>
      <c r="D1705" s="120" t="s">
        <v>3594</v>
      </c>
      <c r="E1705" s="120" t="s">
        <v>377</v>
      </c>
      <c r="F1705" s="120" t="s">
        <v>18</v>
      </c>
      <c r="G1705" s="120">
        <v>2</v>
      </c>
      <c r="H1705">
        <v>0</v>
      </c>
      <c r="I1705" s="120" t="s">
        <v>57</v>
      </c>
      <c r="J1705">
        <v>2</v>
      </c>
      <c r="K1705">
        <v>0</v>
      </c>
      <c r="L1705">
        <v>0</v>
      </c>
      <c r="M1705">
        <v>0</v>
      </c>
      <c r="N1705">
        <v>0</v>
      </c>
    </row>
    <row r="1706" spans="1:14" hidden="1" x14ac:dyDescent="0.25">
      <c r="A1706" s="120" t="s">
        <v>3591</v>
      </c>
      <c r="B1706" s="120" t="s">
        <v>3693</v>
      </c>
      <c r="C1706" s="120" t="s">
        <v>301</v>
      </c>
      <c r="D1706" s="120" t="s">
        <v>3596</v>
      </c>
      <c r="E1706" s="120" t="s">
        <v>379</v>
      </c>
      <c r="F1706" s="120" t="s">
        <v>18</v>
      </c>
      <c r="G1706" s="120">
        <v>2</v>
      </c>
      <c r="H1706">
        <v>0</v>
      </c>
      <c r="I1706" s="120" t="s">
        <v>57</v>
      </c>
      <c r="J1706">
        <v>2</v>
      </c>
      <c r="K1706">
        <v>0</v>
      </c>
      <c r="L1706">
        <v>0</v>
      </c>
      <c r="M1706">
        <v>0</v>
      </c>
      <c r="N1706">
        <v>0</v>
      </c>
    </row>
    <row r="1707" spans="1:14" hidden="1" x14ac:dyDescent="0.25">
      <c r="A1707" s="120" t="s">
        <v>3591</v>
      </c>
      <c r="B1707" s="120" t="s">
        <v>3698</v>
      </c>
      <c r="C1707" s="120" t="s">
        <v>301</v>
      </c>
      <c r="D1707" s="120" t="s">
        <v>3617</v>
      </c>
      <c r="E1707" s="120" t="s">
        <v>408</v>
      </c>
      <c r="F1707" s="120" t="s">
        <v>10</v>
      </c>
      <c r="G1707" s="120">
        <v>0</v>
      </c>
      <c r="H1707">
        <v>0</v>
      </c>
      <c r="I1707" s="120" t="s">
        <v>11</v>
      </c>
      <c r="J1707">
        <v>0</v>
      </c>
      <c r="K1707">
        <v>1</v>
      </c>
      <c r="L1707" s="121">
        <v>0</v>
      </c>
      <c r="M1707" s="121">
        <v>0</v>
      </c>
      <c r="N1707" s="121">
        <v>0</v>
      </c>
    </row>
    <row r="1708" spans="1:14" hidden="1" x14ac:dyDescent="0.25">
      <c r="A1708" s="120" t="s">
        <v>3591</v>
      </c>
      <c r="B1708" s="120" t="s">
        <v>3693</v>
      </c>
      <c r="C1708" s="120" t="s">
        <v>301</v>
      </c>
      <c r="D1708" s="120" t="s">
        <v>3599</v>
      </c>
      <c r="E1708" s="120" t="s">
        <v>386</v>
      </c>
      <c r="F1708" s="120" t="s">
        <v>10</v>
      </c>
      <c r="G1708" s="120">
        <v>4</v>
      </c>
      <c r="H1708">
        <v>0</v>
      </c>
      <c r="I1708" s="120" t="s">
        <v>47</v>
      </c>
      <c r="J1708">
        <v>4</v>
      </c>
      <c r="K1708">
        <v>0</v>
      </c>
      <c r="L1708">
        <v>0</v>
      </c>
      <c r="M1708">
        <v>0</v>
      </c>
      <c r="N1708">
        <v>0</v>
      </c>
    </row>
    <row r="1709" spans="1:14" hidden="1" x14ac:dyDescent="0.25">
      <c r="A1709" s="120" t="s">
        <v>3591</v>
      </c>
      <c r="B1709" s="120" t="s">
        <v>3693</v>
      </c>
      <c r="C1709" s="120" t="s">
        <v>301</v>
      </c>
      <c r="D1709" s="120" t="s">
        <v>3600</v>
      </c>
      <c r="E1709" s="120" t="s">
        <v>387</v>
      </c>
      <c r="F1709" s="120" t="s">
        <v>10</v>
      </c>
      <c r="G1709" s="120">
        <v>1</v>
      </c>
      <c r="H1709">
        <v>0</v>
      </c>
      <c r="I1709" s="120" t="s">
        <v>57</v>
      </c>
      <c r="J1709">
        <v>1</v>
      </c>
      <c r="K1709">
        <v>0</v>
      </c>
      <c r="L1709">
        <v>0</v>
      </c>
      <c r="M1709">
        <v>0</v>
      </c>
      <c r="N1709">
        <v>0</v>
      </c>
    </row>
    <row r="1710" spans="1:14" hidden="1" x14ac:dyDescent="0.25">
      <c r="A1710" s="120" t="s">
        <v>3591</v>
      </c>
      <c r="B1710" s="120" t="s">
        <v>3693</v>
      </c>
      <c r="C1710" s="120" t="s">
        <v>301</v>
      </c>
      <c r="D1710" s="120" t="s">
        <v>3609</v>
      </c>
      <c r="E1710" s="120" t="s">
        <v>400</v>
      </c>
      <c r="F1710" s="120" t="s">
        <v>10</v>
      </c>
      <c r="G1710" s="120">
        <v>10</v>
      </c>
      <c r="H1710">
        <v>0</v>
      </c>
      <c r="I1710" s="120" t="s">
        <v>57</v>
      </c>
      <c r="J1710">
        <v>10</v>
      </c>
      <c r="K1710">
        <v>0</v>
      </c>
      <c r="L1710">
        <v>0</v>
      </c>
      <c r="M1710">
        <v>0</v>
      </c>
      <c r="N1710">
        <v>0</v>
      </c>
    </row>
    <row r="1711" spans="1:14" hidden="1" x14ac:dyDescent="0.25">
      <c r="A1711" s="120" t="s">
        <v>3591</v>
      </c>
      <c r="B1711" s="120" t="s">
        <v>3693</v>
      </c>
      <c r="C1711" s="120" t="s">
        <v>301</v>
      </c>
      <c r="D1711" s="120" t="s">
        <v>3611</v>
      </c>
      <c r="E1711" s="120" t="s">
        <v>402</v>
      </c>
      <c r="F1711" s="120" t="s">
        <v>10</v>
      </c>
      <c r="G1711" s="120">
        <v>3</v>
      </c>
      <c r="H1711">
        <v>0</v>
      </c>
      <c r="I1711" s="120" t="s">
        <v>57</v>
      </c>
      <c r="J1711">
        <v>3</v>
      </c>
      <c r="K1711">
        <v>0</v>
      </c>
      <c r="L1711">
        <v>0</v>
      </c>
      <c r="M1711">
        <v>0</v>
      </c>
      <c r="N1711">
        <v>0</v>
      </c>
    </row>
    <row r="1712" spans="1:14" hidden="1" x14ac:dyDescent="0.25">
      <c r="A1712" s="120" t="s">
        <v>3591</v>
      </c>
      <c r="B1712" s="120" t="s">
        <v>3693</v>
      </c>
      <c r="C1712" s="120" t="s">
        <v>301</v>
      </c>
      <c r="D1712" s="120" t="s">
        <v>3619</v>
      </c>
      <c r="E1712" s="120" t="s">
        <v>410</v>
      </c>
      <c r="F1712" s="120" t="s">
        <v>10</v>
      </c>
      <c r="G1712" s="120">
        <v>2</v>
      </c>
      <c r="H1712">
        <v>0</v>
      </c>
      <c r="I1712" s="120" t="s">
        <v>57</v>
      </c>
      <c r="J1712">
        <v>2</v>
      </c>
      <c r="K1712">
        <v>0</v>
      </c>
      <c r="L1712">
        <v>0</v>
      </c>
      <c r="M1712">
        <v>0</v>
      </c>
      <c r="N1712">
        <v>0</v>
      </c>
    </row>
    <row r="1713" spans="1:14" hidden="1" x14ac:dyDescent="0.25">
      <c r="A1713" s="120" t="s">
        <v>3591</v>
      </c>
      <c r="B1713" s="120" t="s">
        <v>3693</v>
      </c>
      <c r="C1713" s="120" t="s">
        <v>301</v>
      </c>
      <c r="D1713" s="120" t="s">
        <v>3472</v>
      </c>
      <c r="E1713" s="120" t="s">
        <v>32</v>
      </c>
      <c r="F1713" s="120" t="s">
        <v>10</v>
      </c>
      <c r="G1713" s="120">
        <v>5</v>
      </c>
      <c r="H1713">
        <v>0</v>
      </c>
      <c r="I1713" s="120" t="s">
        <v>11</v>
      </c>
      <c r="J1713">
        <v>5</v>
      </c>
      <c r="K1713">
        <v>0</v>
      </c>
      <c r="L1713">
        <v>0</v>
      </c>
      <c r="M1713">
        <v>0</v>
      </c>
      <c r="N1713">
        <v>0</v>
      </c>
    </row>
    <row r="1714" spans="1:14" hidden="1" x14ac:dyDescent="0.25">
      <c r="A1714" s="120" t="s">
        <v>3591</v>
      </c>
      <c r="B1714" s="120" t="s">
        <v>3693</v>
      </c>
      <c r="C1714" s="120" t="s">
        <v>301</v>
      </c>
      <c r="D1714" s="120" t="s">
        <v>3483</v>
      </c>
      <c r="E1714" s="120" t="s">
        <v>64</v>
      </c>
      <c r="F1714" s="120" t="s">
        <v>14</v>
      </c>
      <c r="G1714" s="120">
        <v>2</v>
      </c>
      <c r="H1714">
        <v>0</v>
      </c>
      <c r="I1714" s="120" t="s">
        <v>11</v>
      </c>
      <c r="J1714">
        <v>2</v>
      </c>
      <c r="K1714">
        <v>0</v>
      </c>
      <c r="L1714">
        <v>0</v>
      </c>
      <c r="M1714">
        <v>0</v>
      </c>
      <c r="N1714">
        <v>0</v>
      </c>
    </row>
    <row r="1715" spans="1:14" hidden="1" x14ac:dyDescent="0.25">
      <c r="A1715" s="120" t="s">
        <v>3591</v>
      </c>
      <c r="B1715" s="120" t="s">
        <v>3693</v>
      </c>
      <c r="C1715" s="120" t="s">
        <v>301</v>
      </c>
      <c r="D1715" s="120" t="s">
        <v>3480</v>
      </c>
      <c r="E1715" s="120" t="s">
        <v>53</v>
      </c>
      <c r="F1715" s="120" t="s">
        <v>14</v>
      </c>
      <c r="G1715" s="120">
        <v>2</v>
      </c>
      <c r="H1715">
        <v>0</v>
      </c>
      <c r="I1715" s="120" t="s">
        <v>11</v>
      </c>
      <c r="J1715">
        <v>2</v>
      </c>
      <c r="K1715">
        <v>0</v>
      </c>
      <c r="L1715">
        <v>0</v>
      </c>
      <c r="M1715">
        <v>0</v>
      </c>
      <c r="N1715">
        <v>0</v>
      </c>
    </row>
    <row r="1716" spans="1:14" hidden="1" x14ac:dyDescent="0.25">
      <c r="A1716" s="120" t="s">
        <v>3591</v>
      </c>
      <c r="B1716" s="120" t="s">
        <v>3693</v>
      </c>
      <c r="C1716" s="120" t="s">
        <v>301</v>
      </c>
      <c r="D1716" s="120" t="s">
        <v>3484</v>
      </c>
      <c r="E1716" s="120" t="s">
        <v>65</v>
      </c>
      <c r="F1716" s="120" t="s">
        <v>14</v>
      </c>
      <c r="G1716" s="120">
        <v>2</v>
      </c>
      <c r="H1716">
        <v>0</v>
      </c>
      <c r="I1716" s="120" t="s">
        <v>11</v>
      </c>
      <c r="J1716">
        <v>2</v>
      </c>
      <c r="K1716">
        <v>0</v>
      </c>
      <c r="L1716">
        <v>0</v>
      </c>
      <c r="M1716">
        <v>0</v>
      </c>
      <c r="N1716">
        <v>0</v>
      </c>
    </row>
    <row r="1717" spans="1:14" hidden="1" x14ac:dyDescent="0.25">
      <c r="A1717" s="120" t="s">
        <v>3591</v>
      </c>
      <c r="B1717" s="120" t="s">
        <v>3693</v>
      </c>
      <c r="C1717" s="120" t="s">
        <v>301</v>
      </c>
      <c r="D1717" s="120" t="s">
        <v>3474</v>
      </c>
      <c r="E1717" s="120" t="s">
        <v>36</v>
      </c>
      <c r="F1717" s="120" t="s">
        <v>14</v>
      </c>
      <c r="G1717" s="120">
        <v>1</v>
      </c>
      <c r="H1717">
        <v>0</v>
      </c>
      <c r="I1717" s="120" t="s">
        <v>47</v>
      </c>
      <c r="J1717">
        <v>1</v>
      </c>
      <c r="K1717">
        <v>0</v>
      </c>
      <c r="L1717">
        <v>0</v>
      </c>
      <c r="M1717">
        <v>0</v>
      </c>
      <c r="N1717">
        <v>0</v>
      </c>
    </row>
    <row r="1718" spans="1:14" hidden="1" x14ac:dyDescent="0.25">
      <c r="A1718" s="120" t="s">
        <v>3591</v>
      </c>
      <c r="B1718" s="120" t="s">
        <v>3698</v>
      </c>
      <c r="C1718" s="120" t="s">
        <v>301</v>
      </c>
      <c r="D1718" s="120" t="s">
        <v>3618</v>
      </c>
      <c r="E1718" s="120" t="s">
        <v>409</v>
      </c>
      <c r="F1718" s="120" t="s">
        <v>10</v>
      </c>
      <c r="G1718" s="120">
        <v>0</v>
      </c>
      <c r="H1718">
        <v>0</v>
      </c>
      <c r="I1718" s="120" t="s">
        <v>11</v>
      </c>
      <c r="J1718">
        <v>0</v>
      </c>
      <c r="K1718">
        <v>1</v>
      </c>
      <c r="L1718" s="121">
        <v>0</v>
      </c>
      <c r="M1718" s="121">
        <v>0</v>
      </c>
      <c r="N1718" s="121">
        <v>0</v>
      </c>
    </row>
    <row r="1719" spans="1:14" hidden="1" x14ac:dyDescent="0.25">
      <c r="A1719" s="120" t="s">
        <v>3591</v>
      </c>
      <c r="B1719" s="120" t="s">
        <v>3693</v>
      </c>
      <c r="C1719" s="120" t="s">
        <v>301</v>
      </c>
      <c r="D1719" s="120" t="s">
        <v>3650</v>
      </c>
      <c r="E1719" s="120" t="s">
        <v>459</v>
      </c>
      <c r="F1719" s="120" t="s">
        <v>14</v>
      </c>
      <c r="G1719" s="120">
        <v>2</v>
      </c>
      <c r="H1719">
        <v>0</v>
      </c>
      <c r="I1719" s="120" t="s">
        <v>57</v>
      </c>
      <c r="J1719">
        <v>2</v>
      </c>
      <c r="K1719">
        <v>0</v>
      </c>
      <c r="L1719">
        <v>0</v>
      </c>
      <c r="M1719">
        <v>0</v>
      </c>
      <c r="N1719">
        <v>0</v>
      </c>
    </row>
    <row r="1720" spans="1:14" hidden="1" x14ac:dyDescent="0.25">
      <c r="A1720" s="120" t="s">
        <v>3591</v>
      </c>
      <c r="B1720" s="120" t="s">
        <v>3698</v>
      </c>
      <c r="C1720" s="120" t="s">
        <v>301</v>
      </c>
      <c r="D1720" s="120" t="s">
        <v>3621</v>
      </c>
      <c r="E1720" s="120" t="s">
        <v>416</v>
      </c>
      <c r="F1720" s="120" t="s">
        <v>10</v>
      </c>
      <c r="G1720" s="120">
        <v>0</v>
      </c>
      <c r="H1720">
        <v>0</v>
      </c>
      <c r="I1720" s="120" t="s">
        <v>11</v>
      </c>
      <c r="J1720">
        <v>0</v>
      </c>
      <c r="K1720">
        <v>1</v>
      </c>
      <c r="L1720" s="121">
        <v>0</v>
      </c>
      <c r="M1720" s="121">
        <v>0</v>
      </c>
      <c r="N1720" s="121">
        <v>0</v>
      </c>
    </row>
    <row r="1721" spans="1:14" hidden="1" x14ac:dyDescent="0.25">
      <c r="A1721" s="120" t="s">
        <v>3591</v>
      </c>
      <c r="B1721" s="120" t="s">
        <v>3698</v>
      </c>
      <c r="C1721" s="120" t="s">
        <v>301</v>
      </c>
      <c r="D1721" s="120" t="s">
        <v>3622</v>
      </c>
      <c r="E1721" s="120" t="s">
        <v>417</v>
      </c>
      <c r="F1721" s="120" t="s">
        <v>10</v>
      </c>
      <c r="G1721" s="120">
        <v>0</v>
      </c>
      <c r="H1721">
        <v>0</v>
      </c>
      <c r="I1721" s="120" t="s">
        <v>11</v>
      </c>
      <c r="J1721">
        <v>0</v>
      </c>
      <c r="K1721">
        <v>1</v>
      </c>
      <c r="L1721" s="121">
        <v>0</v>
      </c>
      <c r="M1721" s="121">
        <v>0</v>
      </c>
      <c r="N1721" s="121">
        <v>0</v>
      </c>
    </row>
    <row r="1722" spans="1:14" hidden="1" x14ac:dyDescent="0.25">
      <c r="A1722" s="120" t="s">
        <v>3591</v>
      </c>
      <c r="B1722" s="120" t="s">
        <v>3693</v>
      </c>
      <c r="C1722" s="120" t="s">
        <v>301</v>
      </c>
      <c r="D1722" s="120" t="s">
        <v>3662</v>
      </c>
      <c r="E1722" s="120" t="s">
        <v>476</v>
      </c>
      <c r="F1722" s="120" t="s">
        <v>10</v>
      </c>
      <c r="G1722" s="120">
        <v>1</v>
      </c>
      <c r="H1722">
        <v>0</v>
      </c>
      <c r="I1722" s="120" t="s">
        <v>57</v>
      </c>
      <c r="J1722">
        <v>1</v>
      </c>
      <c r="K1722">
        <v>0</v>
      </c>
      <c r="L1722">
        <v>0</v>
      </c>
      <c r="M1722">
        <v>0</v>
      </c>
      <c r="N1722">
        <v>0</v>
      </c>
    </row>
    <row r="1723" spans="1:14" hidden="1" x14ac:dyDescent="0.25">
      <c r="A1723" s="120" t="s">
        <v>3591</v>
      </c>
      <c r="B1723" s="120" t="s">
        <v>3693</v>
      </c>
      <c r="C1723" s="120" t="s">
        <v>301</v>
      </c>
      <c r="D1723" s="120" t="s">
        <v>3695</v>
      </c>
      <c r="E1723" s="120" t="s">
        <v>1787</v>
      </c>
      <c r="F1723" s="120" t="s">
        <v>14</v>
      </c>
      <c r="G1723" s="120">
        <v>8</v>
      </c>
      <c r="H1723">
        <v>0</v>
      </c>
      <c r="I1723" s="120" t="s">
        <v>47</v>
      </c>
      <c r="J1723">
        <v>8</v>
      </c>
      <c r="K1723">
        <v>0</v>
      </c>
      <c r="L1723">
        <v>0</v>
      </c>
      <c r="M1723">
        <v>0</v>
      </c>
      <c r="N1723">
        <v>0</v>
      </c>
    </row>
    <row r="1724" spans="1:14" hidden="1" x14ac:dyDescent="0.25">
      <c r="A1724" s="120" t="s">
        <v>3591</v>
      </c>
      <c r="B1724" s="120" t="s">
        <v>3693</v>
      </c>
      <c r="C1724" s="120" t="s">
        <v>301</v>
      </c>
      <c r="D1724" s="120" t="s">
        <v>3696</v>
      </c>
      <c r="E1724" s="120" t="s">
        <v>2543</v>
      </c>
      <c r="F1724" s="120" t="s">
        <v>10</v>
      </c>
      <c r="G1724" s="120">
        <v>1</v>
      </c>
      <c r="H1724">
        <v>0</v>
      </c>
      <c r="I1724" s="120" t="s">
        <v>57</v>
      </c>
      <c r="J1724">
        <v>1</v>
      </c>
      <c r="K1724">
        <v>0</v>
      </c>
      <c r="L1724">
        <v>0</v>
      </c>
      <c r="M1724">
        <v>0</v>
      </c>
      <c r="N1724">
        <v>0</v>
      </c>
    </row>
    <row r="1725" spans="1:14" hidden="1" x14ac:dyDescent="0.25">
      <c r="A1725" s="120" t="s">
        <v>3591</v>
      </c>
      <c r="B1725" s="120" t="s">
        <v>3693</v>
      </c>
      <c r="C1725" s="120" t="s">
        <v>301</v>
      </c>
      <c r="D1725" s="120" t="s">
        <v>3668</v>
      </c>
      <c r="E1725" s="120" t="s">
        <v>484</v>
      </c>
      <c r="F1725" s="120" t="s">
        <v>14</v>
      </c>
      <c r="G1725" s="120">
        <v>4</v>
      </c>
      <c r="H1725">
        <v>0</v>
      </c>
      <c r="I1725" s="120" t="s">
        <v>57</v>
      </c>
      <c r="J1725">
        <v>4</v>
      </c>
      <c r="K1725">
        <v>0</v>
      </c>
      <c r="L1725">
        <v>0</v>
      </c>
      <c r="M1725">
        <v>0</v>
      </c>
      <c r="N1725">
        <v>0</v>
      </c>
    </row>
    <row r="1726" spans="1:14" hidden="1" x14ac:dyDescent="0.25">
      <c r="A1726" s="120" t="s">
        <v>3591</v>
      </c>
      <c r="B1726" s="120" t="s">
        <v>3698</v>
      </c>
      <c r="C1726" s="120" t="s">
        <v>301</v>
      </c>
      <c r="D1726" s="120" t="s">
        <v>3626</v>
      </c>
      <c r="E1726" s="120" t="s">
        <v>421</v>
      </c>
      <c r="F1726" s="120" t="s">
        <v>18</v>
      </c>
      <c r="G1726" s="120">
        <v>0</v>
      </c>
      <c r="H1726">
        <v>0</v>
      </c>
      <c r="I1726" s="120" t="s">
        <v>57</v>
      </c>
      <c r="J1726">
        <v>0</v>
      </c>
      <c r="K1726">
        <v>1</v>
      </c>
      <c r="L1726" s="121">
        <v>0</v>
      </c>
      <c r="M1726" s="121">
        <v>0</v>
      </c>
      <c r="N1726" s="121">
        <v>0</v>
      </c>
    </row>
    <row r="1727" spans="1:14" hidden="1" x14ac:dyDescent="0.25">
      <c r="A1727" s="120" t="s">
        <v>3591</v>
      </c>
      <c r="B1727" s="120" t="s">
        <v>3693</v>
      </c>
      <c r="C1727" s="120" t="s">
        <v>301</v>
      </c>
      <c r="D1727" s="120" t="s">
        <v>3671</v>
      </c>
      <c r="E1727" s="120" t="s">
        <v>488</v>
      </c>
      <c r="F1727" s="120" t="s">
        <v>3446</v>
      </c>
      <c r="G1727" s="120">
        <v>3</v>
      </c>
      <c r="H1727">
        <v>0</v>
      </c>
      <c r="I1727" s="120" t="s">
        <v>57</v>
      </c>
      <c r="J1727">
        <v>3</v>
      </c>
      <c r="K1727">
        <v>0</v>
      </c>
      <c r="L1727">
        <v>0</v>
      </c>
      <c r="M1727">
        <v>0</v>
      </c>
      <c r="N1727">
        <v>0</v>
      </c>
    </row>
    <row r="1728" spans="1:14" hidden="1" x14ac:dyDescent="0.25">
      <c r="A1728" s="120" t="s">
        <v>3591</v>
      </c>
      <c r="B1728" s="120" t="s">
        <v>3693</v>
      </c>
      <c r="C1728" s="120" t="s">
        <v>301</v>
      </c>
      <c r="D1728" s="120" t="s">
        <v>3674</v>
      </c>
      <c r="E1728" s="120" t="s">
        <v>491</v>
      </c>
      <c r="F1728" s="120" t="s">
        <v>10</v>
      </c>
      <c r="G1728" s="120">
        <v>1</v>
      </c>
      <c r="H1728">
        <v>0</v>
      </c>
      <c r="I1728" s="120" t="s">
        <v>57</v>
      </c>
      <c r="J1728">
        <v>1</v>
      </c>
      <c r="K1728">
        <v>0</v>
      </c>
      <c r="L1728">
        <v>0</v>
      </c>
      <c r="M1728">
        <v>0</v>
      </c>
      <c r="N1728">
        <v>0</v>
      </c>
    </row>
    <row r="1729" spans="1:14" hidden="1" x14ac:dyDescent="0.25">
      <c r="A1729" s="120" t="s">
        <v>3591</v>
      </c>
      <c r="B1729" s="120" t="s">
        <v>3698</v>
      </c>
      <c r="C1729" s="120" t="s">
        <v>301</v>
      </c>
      <c r="D1729" s="120" t="s">
        <v>3628</v>
      </c>
      <c r="E1729" s="120" t="s">
        <v>422</v>
      </c>
      <c r="F1729" s="120" t="s">
        <v>10</v>
      </c>
      <c r="G1729" s="120">
        <v>0</v>
      </c>
      <c r="H1729">
        <v>0</v>
      </c>
      <c r="I1729" s="120" t="s">
        <v>11</v>
      </c>
      <c r="J1729">
        <v>0</v>
      </c>
      <c r="K1729">
        <v>1</v>
      </c>
      <c r="L1729" s="121">
        <v>0</v>
      </c>
      <c r="M1729" s="121">
        <v>0</v>
      </c>
      <c r="N1729" s="121">
        <v>0</v>
      </c>
    </row>
    <row r="1730" spans="1:14" hidden="1" x14ac:dyDescent="0.25">
      <c r="A1730" s="120" t="s">
        <v>3591</v>
      </c>
      <c r="B1730" s="120" t="s">
        <v>3693</v>
      </c>
      <c r="C1730" s="120" t="s">
        <v>301</v>
      </c>
      <c r="D1730" s="120" t="s">
        <v>3678</v>
      </c>
      <c r="E1730" s="120" t="s">
        <v>499</v>
      </c>
      <c r="F1730" s="120" t="s">
        <v>18</v>
      </c>
      <c r="G1730" s="120">
        <v>1</v>
      </c>
      <c r="H1730">
        <v>0</v>
      </c>
      <c r="I1730" s="120" t="s">
        <v>57</v>
      </c>
      <c r="J1730">
        <v>1</v>
      </c>
      <c r="K1730">
        <v>0</v>
      </c>
      <c r="L1730">
        <v>0</v>
      </c>
      <c r="M1730">
        <v>0</v>
      </c>
      <c r="N1730">
        <v>0</v>
      </c>
    </row>
    <row r="1731" spans="1:14" hidden="1" x14ac:dyDescent="0.25">
      <c r="A1731" s="120" t="s">
        <v>3591</v>
      </c>
      <c r="B1731" s="120" t="s">
        <v>3693</v>
      </c>
      <c r="C1731" s="120" t="s">
        <v>69</v>
      </c>
      <c r="D1731" s="120" t="s">
        <v>3548</v>
      </c>
      <c r="E1731" s="120" t="s">
        <v>3008</v>
      </c>
      <c r="F1731" s="120" t="s">
        <v>14</v>
      </c>
      <c r="G1731" s="120">
        <v>2</v>
      </c>
      <c r="H1731">
        <v>0</v>
      </c>
      <c r="I1731" s="120" t="s">
        <v>57</v>
      </c>
      <c r="J1731">
        <v>2</v>
      </c>
      <c r="K1731">
        <v>0</v>
      </c>
      <c r="L1731">
        <v>0</v>
      </c>
      <c r="M1731">
        <v>0</v>
      </c>
      <c r="N1731">
        <v>0</v>
      </c>
    </row>
    <row r="1732" spans="1:14" hidden="1" x14ac:dyDescent="0.25">
      <c r="A1732" s="120" t="s">
        <v>3591</v>
      </c>
      <c r="B1732" s="120" t="s">
        <v>3693</v>
      </c>
      <c r="C1732" s="120" t="s">
        <v>69</v>
      </c>
      <c r="D1732" s="120" t="s">
        <v>1109</v>
      </c>
      <c r="E1732" s="120" t="s">
        <v>182</v>
      </c>
      <c r="F1732" s="120" t="s">
        <v>183</v>
      </c>
      <c r="G1732" s="120">
        <v>8</v>
      </c>
      <c r="H1732">
        <v>2</v>
      </c>
      <c r="I1732" s="120" t="s">
        <v>57</v>
      </c>
      <c r="J1732">
        <v>6</v>
      </c>
      <c r="K1732">
        <v>0</v>
      </c>
      <c r="L1732">
        <v>8</v>
      </c>
      <c r="M1732">
        <v>64</v>
      </c>
      <c r="N1732">
        <v>16</v>
      </c>
    </row>
    <row r="1733" spans="1:14" hidden="1" x14ac:dyDescent="0.25">
      <c r="A1733" s="120" t="s">
        <v>3591</v>
      </c>
      <c r="B1733" s="120" t="s">
        <v>3701</v>
      </c>
      <c r="C1733" s="120" t="s">
        <v>69</v>
      </c>
      <c r="D1733" s="120" t="s">
        <v>1109</v>
      </c>
      <c r="E1733" s="120" t="s">
        <v>182</v>
      </c>
      <c r="F1733" s="120" t="s">
        <v>183</v>
      </c>
      <c r="G1733" s="120">
        <v>6</v>
      </c>
      <c r="H1733">
        <v>6</v>
      </c>
      <c r="I1733" s="120" t="s">
        <v>57</v>
      </c>
      <c r="J1733">
        <v>0</v>
      </c>
      <c r="K1733">
        <v>1</v>
      </c>
      <c r="L1733" s="121">
        <v>8</v>
      </c>
      <c r="M1733" s="121">
        <v>48</v>
      </c>
      <c r="N1733" s="121">
        <v>48</v>
      </c>
    </row>
    <row r="1734" spans="1:14" hidden="1" x14ac:dyDescent="0.25">
      <c r="A1734" s="120" t="s">
        <v>3591</v>
      </c>
      <c r="B1734" s="120" t="s">
        <v>3693</v>
      </c>
      <c r="C1734" s="120" t="s">
        <v>69</v>
      </c>
      <c r="D1734" s="120" t="s">
        <v>3686</v>
      </c>
      <c r="E1734" s="120" t="s">
        <v>512</v>
      </c>
      <c r="F1734" s="120" t="s">
        <v>10</v>
      </c>
      <c r="G1734" s="120">
        <v>3</v>
      </c>
      <c r="H1734">
        <v>0</v>
      </c>
      <c r="I1734" s="120" t="s">
        <v>57</v>
      </c>
      <c r="J1734">
        <v>3</v>
      </c>
      <c r="K1734">
        <v>0</v>
      </c>
      <c r="L1734">
        <v>0</v>
      </c>
      <c r="M1734">
        <v>0</v>
      </c>
      <c r="N1734">
        <v>0</v>
      </c>
    </row>
    <row r="1735" spans="1:14" hidden="1" x14ac:dyDescent="0.25">
      <c r="A1735" s="120" t="s">
        <v>3591</v>
      </c>
      <c r="B1735" s="120" t="s">
        <v>3693</v>
      </c>
      <c r="C1735" s="120" t="s">
        <v>69</v>
      </c>
      <c r="D1735" s="120" t="s">
        <v>3687</v>
      </c>
      <c r="E1735" s="120" t="s">
        <v>513</v>
      </c>
      <c r="F1735" s="120" t="s">
        <v>10</v>
      </c>
      <c r="G1735" s="120">
        <v>1</v>
      </c>
      <c r="H1735">
        <v>0</v>
      </c>
      <c r="I1735" s="120" t="s">
        <v>57</v>
      </c>
      <c r="J1735">
        <v>1</v>
      </c>
      <c r="K1735">
        <v>0</v>
      </c>
      <c r="L1735">
        <v>0</v>
      </c>
      <c r="M1735">
        <v>0</v>
      </c>
      <c r="N1735">
        <v>0</v>
      </c>
    </row>
    <row r="1736" spans="1:14" hidden="1" x14ac:dyDescent="0.25">
      <c r="A1736" s="120" t="s">
        <v>3591</v>
      </c>
      <c r="B1736" s="120" t="s">
        <v>3693</v>
      </c>
      <c r="C1736" s="120" t="s">
        <v>69</v>
      </c>
      <c r="D1736" s="120" t="s">
        <v>3499</v>
      </c>
      <c r="E1736" s="120" t="s">
        <v>516</v>
      </c>
      <c r="F1736" s="120" t="s">
        <v>18</v>
      </c>
      <c r="G1736" s="120">
        <v>2</v>
      </c>
      <c r="H1736">
        <v>0</v>
      </c>
      <c r="I1736" s="120" t="s">
        <v>57</v>
      </c>
      <c r="J1736">
        <v>2</v>
      </c>
      <c r="K1736">
        <v>0</v>
      </c>
      <c r="L1736">
        <v>0</v>
      </c>
      <c r="M1736">
        <v>0</v>
      </c>
      <c r="N1736">
        <v>0</v>
      </c>
    </row>
    <row r="1737" spans="1:14" hidden="1" x14ac:dyDescent="0.25">
      <c r="A1737" s="120" t="s">
        <v>3591</v>
      </c>
      <c r="B1737" s="120" t="s">
        <v>3693</v>
      </c>
      <c r="C1737" s="120" t="s">
        <v>69</v>
      </c>
      <c r="D1737" s="120" t="s">
        <v>3500</v>
      </c>
      <c r="E1737" s="120" t="s">
        <v>3039</v>
      </c>
      <c r="F1737" s="120" t="s">
        <v>18</v>
      </c>
      <c r="G1737" s="120">
        <v>2</v>
      </c>
      <c r="H1737">
        <v>0</v>
      </c>
      <c r="I1737" s="120" t="s">
        <v>57</v>
      </c>
      <c r="J1737">
        <v>2</v>
      </c>
      <c r="K1737">
        <v>0</v>
      </c>
      <c r="L1737">
        <v>0</v>
      </c>
      <c r="M1737">
        <v>0</v>
      </c>
      <c r="N1737">
        <v>0</v>
      </c>
    </row>
    <row r="1738" spans="1:14" hidden="1" x14ac:dyDescent="0.25">
      <c r="A1738" s="120" t="s">
        <v>3591</v>
      </c>
      <c r="B1738" s="120" t="s">
        <v>3693</v>
      </c>
      <c r="C1738" s="120" t="s">
        <v>69</v>
      </c>
      <c r="D1738" s="120" t="s">
        <v>3502</v>
      </c>
      <c r="E1738" s="120" t="s">
        <v>96</v>
      </c>
      <c r="F1738" s="120" t="s">
        <v>10</v>
      </c>
      <c r="G1738" s="120">
        <v>2</v>
      </c>
      <c r="H1738">
        <v>0</v>
      </c>
      <c r="I1738" s="120" t="s">
        <v>57</v>
      </c>
      <c r="J1738">
        <v>2</v>
      </c>
      <c r="K1738">
        <v>0</v>
      </c>
      <c r="L1738">
        <v>0</v>
      </c>
      <c r="M1738">
        <v>0</v>
      </c>
      <c r="N1738">
        <v>0</v>
      </c>
    </row>
    <row r="1739" spans="1:14" hidden="1" x14ac:dyDescent="0.25">
      <c r="A1739" s="120" t="s">
        <v>3591</v>
      </c>
      <c r="B1739" s="120" t="s">
        <v>3693</v>
      </c>
      <c r="C1739" s="120" t="s">
        <v>69</v>
      </c>
      <c r="D1739" s="120" t="s">
        <v>1154</v>
      </c>
      <c r="E1739" s="120" t="s">
        <v>113</v>
      </c>
      <c r="F1739" s="120" t="s">
        <v>71</v>
      </c>
      <c r="G1739" s="120">
        <v>6</v>
      </c>
      <c r="H1739">
        <v>7</v>
      </c>
      <c r="I1739" s="120" t="s">
        <v>57</v>
      </c>
      <c r="J1739">
        <v>-1</v>
      </c>
      <c r="K1739">
        <v>0</v>
      </c>
      <c r="L1739">
        <v>3.4</v>
      </c>
      <c r="M1739">
        <v>20.399999999999999</v>
      </c>
      <c r="N1739">
        <v>23.8</v>
      </c>
    </row>
    <row r="1740" spans="1:14" hidden="1" x14ac:dyDescent="0.25">
      <c r="A1740" s="120" t="s">
        <v>3591</v>
      </c>
      <c r="B1740" s="120" t="s">
        <v>3693</v>
      </c>
      <c r="C1740" s="120" t="s">
        <v>69</v>
      </c>
      <c r="D1740" s="120" t="s">
        <v>1191</v>
      </c>
      <c r="E1740" s="120" t="s">
        <v>117</v>
      </c>
      <c r="F1740" s="120" t="s">
        <v>14</v>
      </c>
      <c r="G1740" s="120">
        <v>2</v>
      </c>
      <c r="H1740">
        <v>2</v>
      </c>
      <c r="I1740" s="120" t="s">
        <v>57</v>
      </c>
      <c r="J1740">
        <v>0</v>
      </c>
      <c r="K1740">
        <v>1</v>
      </c>
      <c r="L1740" s="121">
        <v>3.5</v>
      </c>
      <c r="M1740" s="121">
        <v>7</v>
      </c>
      <c r="N1740" s="121">
        <v>7</v>
      </c>
    </row>
    <row r="1741" spans="1:14" hidden="1" x14ac:dyDescent="0.25">
      <c r="A1741" s="120" t="s">
        <v>3591</v>
      </c>
      <c r="B1741" s="120" t="s">
        <v>3693</v>
      </c>
      <c r="C1741" s="120" t="s">
        <v>69</v>
      </c>
      <c r="D1741" s="120" t="s">
        <v>1192</v>
      </c>
      <c r="E1741" s="120" t="s">
        <v>124</v>
      </c>
      <c r="F1741" s="120" t="s">
        <v>14</v>
      </c>
      <c r="G1741" s="120">
        <v>2</v>
      </c>
      <c r="H1741">
        <v>2</v>
      </c>
      <c r="I1741" s="120" t="s">
        <v>57</v>
      </c>
      <c r="J1741">
        <v>0</v>
      </c>
      <c r="K1741">
        <v>1</v>
      </c>
      <c r="L1741" s="121">
        <v>3.5</v>
      </c>
      <c r="M1741" s="121">
        <v>7</v>
      </c>
      <c r="N1741" s="121">
        <v>7</v>
      </c>
    </row>
    <row r="1742" spans="1:14" hidden="1" x14ac:dyDescent="0.25">
      <c r="A1742" s="120" t="s">
        <v>3591</v>
      </c>
      <c r="B1742" s="120" t="s">
        <v>3698</v>
      </c>
      <c r="C1742" s="120" t="s">
        <v>301</v>
      </c>
      <c r="D1742" s="120" t="s">
        <v>3632</v>
      </c>
      <c r="E1742" s="120" t="s">
        <v>434</v>
      </c>
      <c r="F1742" s="120" t="s">
        <v>10</v>
      </c>
      <c r="G1742" s="120">
        <v>0</v>
      </c>
      <c r="H1742">
        <v>0</v>
      </c>
      <c r="I1742" s="120" t="s">
        <v>11</v>
      </c>
      <c r="J1742">
        <v>0</v>
      </c>
      <c r="K1742">
        <v>1</v>
      </c>
      <c r="L1742" s="121">
        <v>0</v>
      </c>
      <c r="M1742" s="121">
        <v>0</v>
      </c>
      <c r="N1742" s="121">
        <v>0</v>
      </c>
    </row>
    <row r="1743" spans="1:14" hidden="1" x14ac:dyDescent="0.25">
      <c r="A1743" s="120" t="s">
        <v>3591</v>
      </c>
      <c r="B1743" s="120" t="s">
        <v>3698</v>
      </c>
      <c r="C1743" s="120" t="s">
        <v>301</v>
      </c>
      <c r="D1743" s="120" t="s">
        <v>3633</v>
      </c>
      <c r="E1743" s="120" t="s">
        <v>435</v>
      </c>
      <c r="F1743" s="120" t="s">
        <v>10</v>
      </c>
      <c r="G1743" s="120">
        <v>0</v>
      </c>
      <c r="H1743">
        <v>0</v>
      </c>
      <c r="I1743" s="120" t="s">
        <v>11</v>
      </c>
      <c r="J1743">
        <v>0</v>
      </c>
      <c r="K1743">
        <v>1</v>
      </c>
      <c r="L1743" s="121">
        <v>0</v>
      </c>
      <c r="M1743" s="121">
        <v>0</v>
      </c>
      <c r="N1743" s="121">
        <v>0</v>
      </c>
    </row>
    <row r="1744" spans="1:14" hidden="1" x14ac:dyDescent="0.25">
      <c r="A1744" s="120" t="s">
        <v>3591</v>
      </c>
      <c r="B1744" s="120" t="s">
        <v>3698</v>
      </c>
      <c r="C1744" s="120" t="s">
        <v>301</v>
      </c>
      <c r="D1744" s="120" t="s">
        <v>3634</v>
      </c>
      <c r="E1744" s="120" t="s">
        <v>436</v>
      </c>
      <c r="F1744" s="120" t="s">
        <v>10</v>
      </c>
      <c r="G1744" s="120">
        <v>0</v>
      </c>
      <c r="H1744">
        <v>0</v>
      </c>
      <c r="I1744" s="120" t="s">
        <v>11</v>
      </c>
      <c r="J1744">
        <v>0</v>
      </c>
      <c r="K1744">
        <v>1</v>
      </c>
      <c r="L1744" s="121">
        <v>0</v>
      </c>
      <c r="M1744" s="121">
        <v>0</v>
      </c>
      <c r="N1744" s="121">
        <v>0</v>
      </c>
    </row>
    <row r="1745" spans="1:14" hidden="1" x14ac:dyDescent="0.25">
      <c r="A1745" s="120" t="s">
        <v>3591</v>
      </c>
      <c r="B1745" s="120" t="s">
        <v>3698</v>
      </c>
      <c r="C1745" s="120" t="s">
        <v>301</v>
      </c>
      <c r="D1745" s="120" t="s">
        <v>1777</v>
      </c>
      <c r="E1745" s="120" t="s">
        <v>497</v>
      </c>
      <c r="F1745" s="120" t="s">
        <v>10</v>
      </c>
      <c r="G1745" s="120">
        <v>0</v>
      </c>
      <c r="H1745">
        <v>0</v>
      </c>
      <c r="I1745" s="120" t="s">
        <v>11</v>
      </c>
      <c r="J1745">
        <v>0</v>
      </c>
      <c r="K1745">
        <v>1</v>
      </c>
      <c r="L1745" s="121">
        <v>200</v>
      </c>
      <c r="M1745" s="121">
        <v>0</v>
      </c>
      <c r="N1745" s="121">
        <v>0</v>
      </c>
    </row>
    <row r="1746" spans="1:14" hidden="1" x14ac:dyDescent="0.25">
      <c r="A1746" s="120" t="s">
        <v>3591</v>
      </c>
      <c r="B1746" s="120" t="s">
        <v>3698</v>
      </c>
      <c r="C1746" s="120" t="s">
        <v>301</v>
      </c>
      <c r="D1746" s="120" t="s">
        <v>3646</v>
      </c>
      <c r="E1746" s="120" t="s">
        <v>453</v>
      </c>
      <c r="F1746" s="120" t="s">
        <v>14</v>
      </c>
      <c r="G1746" s="120">
        <v>0</v>
      </c>
      <c r="H1746">
        <v>0</v>
      </c>
      <c r="I1746" s="120" t="s">
        <v>57</v>
      </c>
      <c r="J1746">
        <v>0</v>
      </c>
      <c r="K1746">
        <v>1</v>
      </c>
      <c r="L1746" s="121">
        <v>0</v>
      </c>
      <c r="M1746" s="121">
        <v>0</v>
      </c>
      <c r="N1746" s="121">
        <v>0</v>
      </c>
    </row>
    <row r="1747" spans="1:14" hidden="1" x14ac:dyDescent="0.25">
      <c r="A1747" s="120" t="s">
        <v>3591</v>
      </c>
      <c r="B1747" s="120" t="s">
        <v>3698</v>
      </c>
      <c r="C1747" s="120" t="s">
        <v>301</v>
      </c>
      <c r="D1747" s="120" t="s">
        <v>3676</v>
      </c>
      <c r="E1747" s="120" t="s">
        <v>495</v>
      </c>
      <c r="F1747" s="120" t="s">
        <v>14</v>
      </c>
      <c r="G1747" s="120">
        <v>0</v>
      </c>
      <c r="H1747">
        <v>0</v>
      </c>
      <c r="I1747" s="120" t="s">
        <v>47</v>
      </c>
      <c r="J1747">
        <v>0</v>
      </c>
      <c r="K1747">
        <v>1</v>
      </c>
      <c r="L1747" s="121">
        <v>0</v>
      </c>
      <c r="M1747" s="121">
        <v>0</v>
      </c>
      <c r="N1747" s="121">
        <v>0</v>
      </c>
    </row>
    <row r="1748" spans="1:14" hidden="1" x14ac:dyDescent="0.25">
      <c r="A1748" s="120" t="s">
        <v>3591</v>
      </c>
      <c r="B1748" s="120" t="s">
        <v>3698</v>
      </c>
      <c r="C1748" s="120" t="s">
        <v>301</v>
      </c>
      <c r="D1748" s="120" t="s">
        <v>562</v>
      </c>
      <c r="E1748" s="120" t="s">
        <v>385</v>
      </c>
      <c r="F1748" s="120" t="s">
        <v>14</v>
      </c>
      <c r="G1748" s="120">
        <v>1</v>
      </c>
      <c r="H1748">
        <v>1</v>
      </c>
      <c r="I1748" s="120" t="s">
        <v>57</v>
      </c>
      <c r="J1748">
        <v>0</v>
      </c>
      <c r="K1748">
        <v>1</v>
      </c>
      <c r="L1748" s="121">
        <v>14</v>
      </c>
      <c r="M1748" s="121">
        <v>14</v>
      </c>
      <c r="N1748" s="121">
        <v>14</v>
      </c>
    </row>
    <row r="1749" spans="1:14" hidden="1" x14ac:dyDescent="0.25">
      <c r="A1749" s="120" t="s">
        <v>3591</v>
      </c>
      <c r="B1749" s="120" t="s">
        <v>3698</v>
      </c>
      <c r="C1749" s="120" t="s">
        <v>301</v>
      </c>
      <c r="D1749" s="120" t="s">
        <v>690</v>
      </c>
      <c r="E1749" s="120" t="s">
        <v>413</v>
      </c>
      <c r="F1749" s="120" t="s">
        <v>14</v>
      </c>
      <c r="G1749" s="120">
        <v>1</v>
      </c>
      <c r="H1749">
        <v>1</v>
      </c>
      <c r="I1749" s="120" t="s">
        <v>57</v>
      </c>
      <c r="J1749">
        <v>0</v>
      </c>
      <c r="K1749">
        <v>1</v>
      </c>
      <c r="L1749" s="121">
        <v>19</v>
      </c>
      <c r="M1749" s="121">
        <v>19</v>
      </c>
      <c r="N1749" s="121">
        <v>19</v>
      </c>
    </row>
    <row r="1750" spans="1:14" hidden="1" x14ac:dyDescent="0.25">
      <c r="A1750" s="120" t="s">
        <v>3591</v>
      </c>
      <c r="B1750" s="120" t="s">
        <v>3698</v>
      </c>
      <c r="C1750" s="120" t="s">
        <v>301</v>
      </c>
      <c r="D1750" s="120" t="s">
        <v>714</v>
      </c>
      <c r="E1750" s="120" t="s">
        <v>52</v>
      </c>
      <c r="F1750" s="120" t="s">
        <v>14</v>
      </c>
      <c r="G1750" s="120">
        <v>2</v>
      </c>
      <c r="H1750">
        <v>2</v>
      </c>
      <c r="I1750" s="120" t="s">
        <v>11</v>
      </c>
      <c r="J1750">
        <v>0</v>
      </c>
      <c r="K1750">
        <v>1</v>
      </c>
      <c r="L1750" s="121">
        <v>3</v>
      </c>
      <c r="M1750" s="121">
        <v>6</v>
      </c>
      <c r="N1750" s="121">
        <v>6</v>
      </c>
    </row>
    <row r="1751" spans="1:14" hidden="1" x14ac:dyDescent="0.25">
      <c r="A1751" s="120" t="s">
        <v>3591</v>
      </c>
      <c r="B1751" s="120" t="s">
        <v>3698</v>
      </c>
      <c r="C1751" s="120" t="s">
        <v>301</v>
      </c>
      <c r="D1751" s="120" t="s">
        <v>3470</v>
      </c>
      <c r="E1751" s="120" t="s">
        <v>139</v>
      </c>
      <c r="F1751" s="120" t="s">
        <v>18</v>
      </c>
      <c r="G1751" s="120">
        <v>1</v>
      </c>
      <c r="H1751">
        <v>0</v>
      </c>
      <c r="I1751" s="120" t="s">
        <v>11</v>
      </c>
      <c r="J1751">
        <v>1</v>
      </c>
      <c r="K1751">
        <v>0</v>
      </c>
      <c r="L1751">
        <v>0</v>
      </c>
      <c r="M1751">
        <v>0</v>
      </c>
      <c r="N1751">
        <v>0</v>
      </c>
    </row>
    <row r="1752" spans="1:14" hidden="1" x14ac:dyDescent="0.25">
      <c r="A1752" s="120" t="s">
        <v>3591</v>
      </c>
      <c r="B1752" s="120" t="s">
        <v>3698</v>
      </c>
      <c r="C1752" s="120" t="s">
        <v>301</v>
      </c>
      <c r="D1752" s="120" t="s">
        <v>3469</v>
      </c>
      <c r="E1752" s="120" t="s">
        <v>140</v>
      </c>
      <c r="F1752" s="120" t="s">
        <v>10</v>
      </c>
      <c r="G1752" s="120">
        <v>2</v>
      </c>
      <c r="H1752">
        <v>0</v>
      </c>
      <c r="I1752" s="120" t="s">
        <v>11</v>
      </c>
      <c r="J1752">
        <v>2</v>
      </c>
      <c r="K1752">
        <v>0</v>
      </c>
      <c r="L1752">
        <v>0</v>
      </c>
      <c r="M1752">
        <v>0</v>
      </c>
      <c r="N1752">
        <v>0</v>
      </c>
    </row>
    <row r="1753" spans="1:14" hidden="1" x14ac:dyDescent="0.25">
      <c r="A1753" s="120" t="s">
        <v>3591</v>
      </c>
      <c r="B1753" s="120" t="s">
        <v>3698</v>
      </c>
      <c r="C1753" s="120" t="s">
        <v>301</v>
      </c>
      <c r="D1753" s="120" t="s">
        <v>545</v>
      </c>
      <c r="E1753" s="120" t="s">
        <v>381</v>
      </c>
      <c r="F1753" s="120" t="s">
        <v>14</v>
      </c>
      <c r="G1753" s="120">
        <v>0</v>
      </c>
      <c r="H1753">
        <v>0</v>
      </c>
      <c r="I1753" s="120" t="s">
        <v>47</v>
      </c>
      <c r="J1753">
        <v>0</v>
      </c>
      <c r="K1753">
        <v>1</v>
      </c>
      <c r="L1753" s="121">
        <v>32.5</v>
      </c>
      <c r="M1753" s="121">
        <v>0</v>
      </c>
      <c r="N1753" s="121">
        <v>0</v>
      </c>
    </row>
    <row r="1754" spans="1:14" hidden="1" x14ac:dyDescent="0.25">
      <c r="A1754" s="120" t="s">
        <v>3591</v>
      </c>
      <c r="B1754" s="120" t="s">
        <v>3698</v>
      </c>
      <c r="C1754" s="120" t="s">
        <v>301</v>
      </c>
      <c r="D1754" s="120" t="s">
        <v>3607</v>
      </c>
      <c r="E1754" s="120" t="s">
        <v>398</v>
      </c>
      <c r="F1754" s="120" t="s">
        <v>10</v>
      </c>
      <c r="G1754" s="120">
        <v>1</v>
      </c>
      <c r="H1754">
        <v>0</v>
      </c>
      <c r="I1754" s="120" t="s">
        <v>57</v>
      </c>
      <c r="J1754">
        <v>1</v>
      </c>
      <c r="K1754">
        <v>0</v>
      </c>
      <c r="L1754">
        <v>0</v>
      </c>
      <c r="M1754">
        <v>0</v>
      </c>
      <c r="N1754">
        <v>0</v>
      </c>
    </row>
    <row r="1755" spans="1:14" hidden="1" x14ac:dyDescent="0.25">
      <c r="A1755" s="120" t="s">
        <v>3591</v>
      </c>
      <c r="B1755" s="120" t="s">
        <v>3698</v>
      </c>
      <c r="C1755" s="120" t="s">
        <v>301</v>
      </c>
      <c r="D1755" s="120" t="s">
        <v>3699</v>
      </c>
      <c r="E1755" s="120" t="s">
        <v>1793</v>
      </c>
      <c r="F1755" s="120" t="s">
        <v>71</v>
      </c>
      <c r="G1755" s="120">
        <v>1</v>
      </c>
      <c r="H1755">
        <v>0</v>
      </c>
      <c r="I1755" s="120" t="s">
        <v>57</v>
      </c>
      <c r="J1755">
        <v>1</v>
      </c>
      <c r="K1755">
        <v>0</v>
      </c>
      <c r="L1755">
        <v>0</v>
      </c>
      <c r="M1755">
        <v>0</v>
      </c>
      <c r="N1755">
        <v>0</v>
      </c>
    </row>
    <row r="1756" spans="1:14" hidden="1" x14ac:dyDescent="0.25">
      <c r="A1756" s="120" t="s">
        <v>3591</v>
      </c>
      <c r="B1756" s="120" t="s">
        <v>3698</v>
      </c>
      <c r="C1756" s="120" t="s">
        <v>301</v>
      </c>
      <c r="D1756" s="120" t="s">
        <v>555</v>
      </c>
      <c r="E1756" s="120" t="s">
        <v>382</v>
      </c>
      <c r="F1756" s="120" t="s">
        <v>14</v>
      </c>
      <c r="G1756" s="120">
        <v>0</v>
      </c>
      <c r="H1756">
        <v>0</v>
      </c>
      <c r="I1756" s="120" t="s">
        <v>57</v>
      </c>
      <c r="J1756">
        <v>0</v>
      </c>
      <c r="K1756">
        <v>1</v>
      </c>
      <c r="L1756" s="121">
        <v>39.99</v>
      </c>
      <c r="M1756" s="121">
        <v>0</v>
      </c>
      <c r="N1756" s="121">
        <v>0</v>
      </c>
    </row>
    <row r="1757" spans="1:14" hidden="1" x14ac:dyDescent="0.25">
      <c r="A1757" s="120" t="s">
        <v>3591</v>
      </c>
      <c r="B1757" s="120" t="s">
        <v>3698</v>
      </c>
      <c r="C1757" s="120" t="s">
        <v>301</v>
      </c>
      <c r="D1757" s="120" t="s">
        <v>3598</v>
      </c>
      <c r="E1757" s="120" t="s">
        <v>383</v>
      </c>
      <c r="F1757" s="120" t="s">
        <v>10</v>
      </c>
      <c r="G1757" s="120">
        <v>0</v>
      </c>
      <c r="H1757">
        <v>0</v>
      </c>
      <c r="I1757" s="120" t="s">
        <v>57</v>
      </c>
      <c r="J1757">
        <v>0</v>
      </c>
      <c r="K1757">
        <v>1</v>
      </c>
      <c r="L1757" s="121">
        <v>0</v>
      </c>
      <c r="M1757" s="121">
        <v>0</v>
      </c>
      <c r="N1757" s="121">
        <v>0</v>
      </c>
    </row>
    <row r="1758" spans="1:14" hidden="1" x14ac:dyDescent="0.25">
      <c r="A1758" s="120" t="s">
        <v>3591</v>
      </c>
      <c r="B1758" s="120" t="s">
        <v>3698</v>
      </c>
      <c r="C1758" s="120" t="s">
        <v>301</v>
      </c>
      <c r="D1758" s="120" t="s">
        <v>3601</v>
      </c>
      <c r="E1758" s="120" t="s">
        <v>390</v>
      </c>
      <c r="F1758" s="120" t="s">
        <v>14</v>
      </c>
      <c r="G1758" s="120">
        <v>0</v>
      </c>
      <c r="H1758">
        <v>0</v>
      </c>
      <c r="I1758" s="120" t="s">
        <v>57</v>
      </c>
      <c r="J1758">
        <v>0</v>
      </c>
      <c r="K1758">
        <v>1</v>
      </c>
      <c r="L1758" s="121">
        <v>0</v>
      </c>
      <c r="M1758" s="121">
        <v>0</v>
      </c>
      <c r="N1758" s="121">
        <v>0</v>
      </c>
    </row>
    <row r="1759" spans="1:14" hidden="1" x14ac:dyDescent="0.25">
      <c r="A1759" s="120" t="s">
        <v>3591</v>
      </c>
      <c r="B1759" s="120" t="s">
        <v>3698</v>
      </c>
      <c r="C1759" s="120" t="s">
        <v>301</v>
      </c>
      <c r="D1759" s="120" t="s">
        <v>3620</v>
      </c>
      <c r="E1759" s="120" t="s">
        <v>415</v>
      </c>
      <c r="F1759" s="120" t="s">
        <v>10</v>
      </c>
      <c r="G1759" s="120">
        <v>1</v>
      </c>
      <c r="H1759">
        <v>0</v>
      </c>
      <c r="I1759" s="120" t="s">
        <v>57</v>
      </c>
      <c r="J1759">
        <v>1</v>
      </c>
      <c r="K1759">
        <v>0</v>
      </c>
      <c r="L1759">
        <v>0</v>
      </c>
      <c r="M1759">
        <v>0</v>
      </c>
      <c r="N1759">
        <v>0</v>
      </c>
    </row>
    <row r="1760" spans="1:14" hidden="1" x14ac:dyDescent="0.25">
      <c r="A1760" s="120" t="s">
        <v>3591</v>
      </c>
      <c r="B1760" s="120" t="s">
        <v>3698</v>
      </c>
      <c r="C1760" s="120" t="s">
        <v>301</v>
      </c>
      <c r="D1760" s="120" t="s">
        <v>3602</v>
      </c>
      <c r="E1760" s="120" t="s">
        <v>391</v>
      </c>
      <c r="F1760" s="120" t="s">
        <v>14</v>
      </c>
      <c r="G1760" s="120">
        <v>0</v>
      </c>
      <c r="H1760">
        <v>0</v>
      </c>
      <c r="I1760" s="120" t="s">
        <v>57</v>
      </c>
      <c r="J1760">
        <v>0</v>
      </c>
      <c r="K1760">
        <v>1</v>
      </c>
      <c r="L1760" s="121">
        <v>0</v>
      </c>
      <c r="M1760" s="121">
        <v>0</v>
      </c>
      <c r="N1760" s="121">
        <v>0</v>
      </c>
    </row>
    <row r="1761" spans="1:14" hidden="1" x14ac:dyDescent="0.25">
      <c r="A1761" s="120" t="s">
        <v>3591</v>
      </c>
      <c r="B1761" s="120" t="s">
        <v>3698</v>
      </c>
      <c r="C1761" s="120" t="s">
        <v>301</v>
      </c>
      <c r="D1761" s="120" t="s">
        <v>624</v>
      </c>
      <c r="E1761" s="120" t="s">
        <v>392</v>
      </c>
      <c r="F1761" s="120" t="s">
        <v>14</v>
      </c>
      <c r="G1761" s="120">
        <v>0</v>
      </c>
      <c r="H1761">
        <v>0</v>
      </c>
      <c r="I1761" s="120" t="s">
        <v>57</v>
      </c>
      <c r="J1761">
        <v>0</v>
      </c>
      <c r="K1761">
        <v>1</v>
      </c>
      <c r="L1761" s="121">
        <v>8</v>
      </c>
      <c r="M1761" s="121">
        <v>0</v>
      </c>
      <c r="N1761" s="121">
        <v>0</v>
      </c>
    </row>
    <row r="1762" spans="1:14" hidden="1" x14ac:dyDescent="0.25">
      <c r="A1762" s="120" t="s">
        <v>3591</v>
      </c>
      <c r="B1762" s="120" t="s">
        <v>3701</v>
      </c>
      <c r="C1762" s="120" t="s">
        <v>301</v>
      </c>
      <c r="D1762" s="120" t="s">
        <v>1130</v>
      </c>
      <c r="E1762" s="120" t="s">
        <v>1131</v>
      </c>
      <c r="F1762" s="120" t="s">
        <v>157</v>
      </c>
      <c r="G1762" s="120">
        <v>2</v>
      </c>
      <c r="H1762">
        <v>1</v>
      </c>
      <c r="I1762" s="120" t="s">
        <v>57</v>
      </c>
      <c r="J1762">
        <v>1</v>
      </c>
      <c r="K1762">
        <v>0</v>
      </c>
      <c r="L1762">
        <v>90</v>
      </c>
      <c r="M1762">
        <v>180</v>
      </c>
      <c r="N1762">
        <v>90</v>
      </c>
    </row>
    <row r="1763" spans="1:14" hidden="1" x14ac:dyDescent="0.25">
      <c r="A1763" s="120" t="s">
        <v>3591</v>
      </c>
      <c r="B1763" s="120" t="s">
        <v>3698</v>
      </c>
      <c r="C1763" s="120" t="s">
        <v>301</v>
      </c>
      <c r="D1763" s="120" t="s">
        <v>689</v>
      </c>
      <c r="E1763" s="120" t="s">
        <v>412</v>
      </c>
      <c r="F1763" s="120" t="s">
        <v>10</v>
      </c>
      <c r="G1763" s="120">
        <v>1</v>
      </c>
      <c r="H1763">
        <v>0</v>
      </c>
      <c r="I1763" s="120" t="s">
        <v>47</v>
      </c>
      <c r="J1763">
        <v>1</v>
      </c>
      <c r="K1763">
        <v>0</v>
      </c>
      <c r="L1763">
        <v>17.399999999999999</v>
      </c>
      <c r="M1763">
        <v>17.399999999999999</v>
      </c>
      <c r="N1763">
        <v>0</v>
      </c>
    </row>
    <row r="1764" spans="1:14" hidden="1" x14ac:dyDescent="0.25">
      <c r="A1764" s="120" t="s">
        <v>3591</v>
      </c>
      <c r="B1764" s="120" t="s">
        <v>3698</v>
      </c>
      <c r="C1764" s="120" t="s">
        <v>301</v>
      </c>
      <c r="D1764" s="120" t="s">
        <v>626</v>
      </c>
      <c r="E1764" s="120" t="s">
        <v>135</v>
      </c>
      <c r="F1764" s="120" t="s">
        <v>10</v>
      </c>
      <c r="G1764" s="120">
        <v>0</v>
      </c>
      <c r="H1764">
        <v>0</v>
      </c>
      <c r="I1764" s="120" t="s">
        <v>11</v>
      </c>
      <c r="J1764">
        <v>0</v>
      </c>
      <c r="K1764">
        <v>1</v>
      </c>
      <c r="L1764" s="121">
        <v>14.9</v>
      </c>
      <c r="M1764" s="121">
        <v>0</v>
      </c>
      <c r="N1764" s="121">
        <v>0</v>
      </c>
    </row>
    <row r="1765" spans="1:14" hidden="1" x14ac:dyDescent="0.25">
      <c r="A1765" s="120" t="s">
        <v>3591</v>
      </c>
      <c r="B1765" s="120" t="s">
        <v>3698</v>
      </c>
      <c r="C1765" s="120" t="s">
        <v>301</v>
      </c>
      <c r="D1765" s="120" t="s">
        <v>627</v>
      </c>
      <c r="E1765" s="120" t="s">
        <v>58</v>
      </c>
      <c r="F1765" s="120" t="s">
        <v>59</v>
      </c>
      <c r="G1765" s="120">
        <v>0</v>
      </c>
      <c r="H1765">
        <v>0</v>
      </c>
      <c r="I1765" s="120" t="s">
        <v>11</v>
      </c>
      <c r="J1765">
        <v>0</v>
      </c>
      <c r="K1765">
        <v>1</v>
      </c>
      <c r="L1765" s="121">
        <v>3.8</v>
      </c>
      <c r="M1765" s="121">
        <v>0</v>
      </c>
      <c r="N1765" s="121">
        <v>0</v>
      </c>
    </row>
    <row r="1766" spans="1:14" hidden="1" x14ac:dyDescent="0.25">
      <c r="A1766" s="120" t="s">
        <v>3591</v>
      </c>
      <c r="B1766" s="120" t="s">
        <v>3698</v>
      </c>
      <c r="C1766" s="120" t="s">
        <v>301</v>
      </c>
      <c r="D1766" s="120" t="s">
        <v>637</v>
      </c>
      <c r="E1766" s="120" t="s">
        <v>393</v>
      </c>
      <c r="F1766" s="120" t="s">
        <v>59</v>
      </c>
      <c r="G1766" s="120">
        <v>0</v>
      </c>
      <c r="H1766">
        <v>0</v>
      </c>
      <c r="I1766" s="120" t="s">
        <v>57</v>
      </c>
      <c r="J1766">
        <v>0</v>
      </c>
      <c r="K1766">
        <v>1</v>
      </c>
      <c r="L1766" s="121">
        <v>1.82</v>
      </c>
      <c r="M1766" s="121">
        <v>0</v>
      </c>
      <c r="N1766" s="121">
        <v>0</v>
      </c>
    </row>
    <row r="1767" spans="1:14" hidden="1" x14ac:dyDescent="0.25">
      <c r="A1767" s="120" t="s">
        <v>3591</v>
      </c>
      <c r="B1767" s="120" t="s">
        <v>3698</v>
      </c>
      <c r="C1767" s="120" t="s">
        <v>301</v>
      </c>
      <c r="D1767" s="120" t="s">
        <v>3606</v>
      </c>
      <c r="E1767" s="120" t="s">
        <v>397</v>
      </c>
      <c r="F1767" s="120" t="s">
        <v>14</v>
      </c>
      <c r="G1767" s="120">
        <v>0</v>
      </c>
      <c r="H1767">
        <v>0</v>
      </c>
      <c r="I1767" s="120" t="s">
        <v>57</v>
      </c>
      <c r="J1767">
        <v>0</v>
      </c>
      <c r="K1767">
        <v>1</v>
      </c>
      <c r="L1767" s="121">
        <v>0</v>
      </c>
      <c r="M1767" s="121">
        <v>0</v>
      </c>
      <c r="N1767" s="121">
        <v>0</v>
      </c>
    </row>
    <row r="1768" spans="1:14" hidden="1" x14ac:dyDescent="0.25">
      <c r="A1768" s="120" t="s">
        <v>3591</v>
      </c>
      <c r="B1768" s="120" t="s">
        <v>3698</v>
      </c>
      <c r="C1768" s="120" t="s">
        <v>301</v>
      </c>
      <c r="D1768" s="120" t="s">
        <v>3630</v>
      </c>
      <c r="E1768" s="120" t="s">
        <v>425</v>
      </c>
      <c r="F1768" s="120" t="s">
        <v>18</v>
      </c>
      <c r="G1768" s="120">
        <v>1</v>
      </c>
      <c r="H1768">
        <v>0</v>
      </c>
      <c r="I1768" s="120" t="s">
        <v>57</v>
      </c>
      <c r="J1768">
        <v>1</v>
      </c>
      <c r="K1768">
        <v>0</v>
      </c>
      <c r="L1768">
        <v>0</v>
      </c>
      <c r="M1768">
        <v>0</v>
      </c>
      <c r="N1768">
        <v>0</v>
      </c>
    </row>
    <row r="1769" spans="1:14" hidden="1" x14ac:dyDescent="0.25">
      <c r="A1769" s="120" t="s">
        <v>3591</v>
      </c>
      <c r="B1769" s="120" t="s">
        <v>3698</v>
      </c>
      <c r="C1769" s="120" t="s">
        <v>301</v>
      </c>
      <c r="D1769" s="120" t="s">
        <v>3608</v>
      </c>
      <c r="E1769" s="120" t="s">
        <v>399</v>
      </c>
      <c r="F1769" s="120" t="s">
        <v>14</v>
      </c>
      <c r="G1769" s="120">
        <v>0</v>
      </c>
      <c r="H1769">
        <v>0</v>
      </c>
      <c r="I1769" s="120" t="s">
        <v>57</v>
      </c>
      <c r="J1769">
        <v>0</v>
      </c>
      <c r="K1769">
        <v>1</v>
      </c>
      <c r="L1769" s="121">
        <v>0</v>
      </c>
      <c r="M1769" s="121">
        <v>0</v>
      </c>
      <c r="N1769" s="121">
        <v>0</v>
      </c>
    </row>
    <row r="1770" spans="1:14" hidden="1" x14ac:dyDescent="0.25">
      <c r="A1770" s="120" t="s">
        <v>3591</v>
      </c>
      <c r="B1770" s="120" t="s">
        <v>3698</v>
      </c>
      <c r="C1770" s="120" t="s">
        <v>301</v>
      </c>
      <c r="D1770" s="120" t="s">
        <v>3612</v>
      </c>
      <c r="E1770" s="120" t="s">
        <v>403</v>
      </c>
      <c r="F1770" s="120" t="s">
        <v>18</v>
      </c>
      <c r="G1770" s="120">
        <v>0</v>
      </c>
      <c r="H1770">
        <v>0</v>
      </c>
      <c r="I1770" s="120" t="s">
        <v>57</v>
      </c>
      <c r="J1770">
        <v>0</v>
      </c>
      <c r="K1770">
        <v>1</v>
      </c>
      <c r="L1770" s="121">
        <v>0</v>
      </c>
      <c r="M1770" s="121">
        <v>0</v>
      </c>
      <c r="N1770" s="121">
        <v>0</v>
      </c>
    </row>
    <row r="1771" spans="1:14" hidden="1" x14ac:dyDescent="0.25">
      <c r="A1771" s="120" t="s">
        <v>3591</v>
      </c>
      <c r="B1771" s="120" t="s">
        <v>3698</v>
      </c>
      <c r="C1771" s="120" t="s">
        <v>301</v>
      </c>
      <c r="D1771" s="120" t="s">
        <v>3619</v>
      </c>
      <c r="E1771" s="120" t="s">
        <v>410</v>
      </c>
      <c r="F1771" s="120" t="s">
        <v>10</v>
      </c>
      <c r="G1771" s="120">
        <v>0</v>
      </c>
      <c r="H1771">
        <v>0</v>
      </c>
      <c r="I1771" s="120" t="s">
        <v>57</v>
      </c>
      <c r="J1771">
        <v>0</v>
      </c>
      <c r="K1771">
        <v>1</v>
      </c>
      <c r="L1771" s="121">
        <v>0</v>
      </c>
      <c r="M1771" s="121">
        <v>0</v>
      </c>
      <c r="N1771" s="121">
        <v>0</v>
      </c>
    </row>
    <row r="1772" spans="1:14" hidden="1" x14ac:dyDescent="0.25">
      <c r="A1772" s="120" t="s">
        <v>3591</v>
      </c>
      <c r="B1772" s="120" t="s">
        <v>3698</v>
      </c>
      <c r="C1772" s="120" t="s">
        <v>301</v>
      </c>
      <c r="D1772" s="120" t="s">
        <v>3624</v>
      </c>
      <c r="E1772" s="120" t="s">
        <v>419</v>
      </c>
      <c r="F1772" s="120" t="s">
        <v>18</v>
      </c>
      <c r="G1772" s="120">
        <v>0</v>
      </c>
      <c r="H1772">
        <v>0</v>
      </c>
      <c r="I1772" s="120" t="s">
        <v>57</v>
      </c>
      <c r="J1772">
        <v>0</v>
      </c>
      <c r="K1772">
        <v>1</v>
      </c>
      <c r="L1772" s="121">
        <v>0</v>
      </c>
      <c r="M1772" s="121">
        <v>0</v>
      </c>
      <c r="N1772" s="121">
        <v>0</v>
      </c>
    </row>
    <row r="1773" spans="1:14" hidden="1" x14ac:dyDescent="0.25">
      <c r="A1773" s="120" t="s">
        <v>3591</v>
      </c>
      <c r="B1773" s="120" t="s">
        <v>3698</v>
      </c>
      <c r="C1773" s="120" t="s">
        <v>301</v>
      </c>
      <c r="D1773" s="120" t="s">
        <v>3625</v>
      </c>
      <c r="E1773" s="120" t="s">
        <v>420</v>
      </c>
      <c r="F1773" s="120" t="s">
        <v>14</v>
      </c>
      <c r="G1773" s="120">
        <v>0</v>
      </c>
      <c r="H1773">
        <v>0</v>
      </c>
      <c r="I1773" s="120" t="s">
        <v>57</v>
      </c>
      <c r="J1773">
        <v>0</v>
      </c>
      <c r="K1773">
        <v>1</v>
      </c>
      <c r="L1773" s="121">
        <v>0</v>
      </c>
      <c r="M1773" s="121">
        <v>0</v>
      </c>
      <c r="N1773" s="121">
        <v>0</v>
      </c>
    </row>
    <row r="1774" spans="1:14" hidden="1" x14ac:dyDescent="0.25">
      <c r="A1774" s="120" t="s">
        <v>3591</v>
      </c>
      <c r="B1774" s="120" t="s">
        <v>3698</v>
      </c>
      <c r="C1774" s="120" t="s">
        <v>301</v>
      </c>
      <c r="D1774" s="120" t="s">
        <v>691</v>
      </c>
      <c r="E1774" s="120" t="s">
        <v>414</v>
      </c>
      <c r="F1774" s="120" t="s">
        <v>10</v>
      </c>
      <c r="G1774" s="120">
        <v>0</v>
      </c>
      <c r="H1774">
        <v>0</v>
      </c>
      <c r="I1774" s="120" t="s">
        <v>57</v>
      </c>
      <c r="J1774">
        <v>0</v>
      </c>
      <c r="K1774">
        <v>1</v>
      </c>
      <c r="L1774" s="121">
        <v>19</v>
      </c>
      <c r="M1774" s="121">
        <v>0</v>
      </c>
      <c r="N1774" s="121">
        <v>0</v>
      </c>
    </row>
    <row r="1775" spans="1:14" hidden="1" x14ac:dyDescent="0.25">
      <c r="A1775" s="120" t="s">
        <v>3591</v>
      </c>
      <c r="B1775" s="120" t="s">
        <v>3698</v>
      </c>
      <c r="C1775" s="120" t="s">
        <v>301</v>
      </c>
      <c r="D1775" s="120" t="s">
        <v>692</v>
      </c>
      <c r="E1775" s="120" t="s">
        <v>61</v>
      </c>
      <c r="F1775" s="120" t="s">
        <v>10</v>
      </c>
      <c r="G1775" s="120">
        <v>0</v>
      </c>
      <c r="H1775">
        <v>0</v>
      </c>
      <c r="I1775" s="120" t="s">
        <v>57</v>
      </c>
      <c r="J1775">
        <v>0</v>
      </c>
      <c r="K1775">
        <v>1</v>
      </c>
      <c r="L1775" s="121">
        <v>15</v>
      </c>
      <c r="M1775" s="121">
        <v>0</v>
      </c>
      <c r="N1775" s="121">
        <v>0</v>
      </c>
    </row>
    <row r="1776" spans="1:14" hidden="1" x14ac:dyDescent="0.25">
      <c r="A1776" s="120" t="s">
        <v>3591</v>
      </c>
      <c r="B1776" s="120" t="s">
        <v>3698</v>
      </c>
      <c r="C1776" s="120" t="s">
        <v>301</v>
      </c>
      <c r="D1776" s="120" t="s">
        <v>696</v>
      </c>
      <c r="E1776" s="120" t="s">
        <v>423</v>
      </c>
      <c r="F1776" s="120" t="s">
        <v>14</v>
      </c>
      <c r="G1776" s="120">
        <v>0</v>
      </c>
      <c r="H1776">
        <v>0</v>
      </c>
      <c r="I1776" s="120" t="s">
        <v>57</v>
      </c>
      <c r="J1776">
        <v>0</v>
      </c>
      <c r="K1776">
        <v>1</v>
      </c>
      <c r="L1776" s="121">
        <v>11.48</v>
      </c>
      <c r="M1776" s="121">
        <v>0</v>
      </c>
      <c r="N1776" s="121">
        <v>0</v>
      </c>
    </row>
    <row r="1777" spans="1:14" hidden="1" x14ac:dyDescent="0.25">
      <c r="A1777" s="120" t="s">
        <v>3591</v>
      </c>
      <c r="B1777" s="120" t="s">
        <v>3698</v>
      </c>
      <c r="C1777" s="120" t="s">
        <v>301</v>
      </c>
      <c r="D1777" s="120" t="s">
        <v>3629</v>
      </c>
      <c r="E1777" s="120" t="s">
        <v>424</v>
      </c>
      <c r="F1777" s="120" t="s">
        <v>18</v>
      </c>
      <c r="G1777" s="120">
        <v>0</v>
      </c>
      <c r="H1777">
        <v>0</v>
      </c>
      <c r="I1777" s="120" t="s">
        <v>57</v>
      </c>
      <c r="J1777">
        <v>0</v>
      </c>
      <c r="K1777">
        <v>1</v>
      </c>
      <c r="L1777" s="121">
        <v>0</v>
      </c>
      <c r="M1777" s="121">
        <v>0</v>
      </c>
      <c r="N1777" s="121">
        <v>0</v>
      </c>
    </row>
    <row r="1778" spans="1:14" hidden="1" x14ac:dyDescent="0.25">
      <c r="A1778" s="120" t="s">
        <v>3591</v>
      </c>
      <c r="B1778" s="120" t="s">
        <v>3698</v>
      </c>
      <c r="C1778" s="120" t="s">
        <v>301</v>
      </c>
      <c r="D1778" s="120" t="s">
        <v>712</v>
      </c>
      <c r="E1778" s="120" t="s">
        <v>51</v>
      </c>
      <c r="F1778" s="120" t="s">
        <v>14</v>
      </c>
      <c r="G1778" s="120">
        <v>0</v>
      </c>
      <c r="H1778">
        <v>0</v>
      </c>
      <c r="I1778" s="120" t="s">
        <v>11</v>
      </c>
      <c r="J1778">
        <v>0</v>
      </c>
      <c r="K1778">
        <v>1</v>
      </c>
      <c r="L1778" s="121">
        <v>10</v>
      </c>
      <c r="M1778" s="121">
        <v>0</v>
      </c>
      <c r="N1778" s="121">
        <v>0</v>
      </c>
    </row>
    <row r="1779" spans="1:14" hidden="1" x14ac:dyDescent="0.25">
      <c r="A1779" s="120" t="s">
        <v>3591</v>
      </c>
      <c r="B1779" s="120" t="s">
        <v>3698</v>
      </c>
      <c r="C1779" s="120" t="s">
        <v>301</v>
      </c>
      <c r="D1779" s="120" t="s">
        <v>720</v>
      </c>
      <c r="E1779" s="120" t="s">
        <v>432</v>
      </c>
      <c r="F1779" s="120" t="s">
        <v>18</v>
      </c>
      <c r="G1779" s="120">
        <v>0</v>
      </c>
      <c r="H1779">
        <v>0</v>
      </c>
      <c r="I1779" s="120" t="s">
        <v>57</v>
      </c>
      <c r="J1779">
        <v>0</v>
      </c>
      <c r="K1779">
        <v>1</v>
      </c>
      <c r="L1779" s="121">
        <v>90</v>
      </c>
      <c r="M1779" s="121">
        <v>0</v>
      </c>
      <c r="N1779" s="121">
        <v>0</v>
      </c>
    </row>
    <row r="1780" spans="1:14" hidden="1" x14ac:dyDescent="0.25">
      <c r="A1780" s="120" t="s">
        <v>3591</v>
      </c>
      <c r="B1780" s="120" t="s">
        <v>3698</v>
      </c>
      <c r="C1780" s="120" t="s">
        <v>301</v>
      </c>
      <c r="D1780" s="120" t="s">
        <v>3642</v>
      </c>
      <c r="E1780" s="120" t="s">
        <v>447</v>
      </c>
      <c r="F1780" s="120" t="s">
        <v>14</v>
      </c>
      <c r="G1780" s="120">
        <v>1</v>
      </c>
      <c r="H1780">
        <v>0</v>
      </c>
      <c r="I1780" s="120" t="s">
        <v>57</v>
      </c>
      <c r="J1780">
        <v>1</v>
      </c>
      <c r="K1780">
        <v>0</v>
      </c>
      <c r="L1780">
        <v>0</v>
      </c>
      <c r="M1780">
        <v>0</v>
      </c>
      <c r="N1780">
        <v>0</v>
      </c>
    </row>
    <row r="1781" spans="1:14" hidden="1" x14ac:dyDescent="0.25">
      <c r="A1781" s="120" t="s">
        <v>3591</v>
      </c>
      <c r="B1781" s="120" t="s">
        <v>3698</v>
      </c>
      <c r="C1781" s="120" t="s">
        <v>301</v>
      </c>
      <c r="D1781" s="120" t="s">
        <v>3643</v>
      </c>
      <c r="E1781" s="120" t="s">
        <v>448</v>
      </c>
      <c r="F1781" s="120" t="s">
        <v>10</v>
      </c>
      <c r="G1781" s="120">
        <v>1</v>
      </c>
      <c r="H1781">
        <v>0</v>
      </c>
      <c r="I1781" s="120" t="s">
        <v>57</v>
      </c>
      <c r="J1781">
        <v>1</v>
      </c>
      <c r="K1781">
        <v>0</v>
      </c>
      <c r="L1781">
        <v>0</v>
      </c>
      <c r="M1781">
        <v>0</v>
      </c>
      <c r="N1781">
        <v>0</v>
      </c>
    </row>
    <row r="1782" spans="1:14" hidden="1" x14ac:dyDescent="0.25">
      <c r="A1782" s="120" t="s">
        <v>3591</v>
      </c>
      <c r="B1782" s="120" t="s">
        <v>3698</v>
      </c>
      <c r="C1782" s="120" t="s">
        <v>301</v>
      </c>
      <c r="D1782" s="120"/>
      <c r="E1782" s="120" t="s">
        <v>3447</v>
      </c>
      <c r="F1782" s="120" t="s">
        <v>18</v>
      </c>
      <c r="G1782" s="120">
        <v>1</v>
      </c>
      <c r="H1782">
        <v>0</v>
      </c>
      <c r="I1782" s="120" t="s">
        <v>57</v>
      </c>
      <c r="J1782">
        <v>1</v>
      </c>
      <c r="K1782">
        <v>0</v>
      </c>
      <c r="L1782">
        <v>0</v>
      </c>
      <c r="M1782">
        <v>0</v>
      </c>
      <c r="N1782">
        <v>0</v>
      </c>
    </row>
    <row r="1783" spans="1:14" hidden="1" x14ac:dyDescent="0.25">
      <c r="A1783" s="120" t="s">
        <v>3591</v>
      </c>
      <c r="B1783" s="120" t="s">
        <v>3698</v>
      </c>
      <c r="C1783" s="120" t="s">
        <v>301</v>
      </c>
      <c r="D1783" s="120" t="s">
        <v>3631</v>
      </c>
      <c r="E1783" s="120" t="s">
        <v>433</v>
      </c>
      <c r="F1783" s="120" t="s">
        <v>14</v>
      </c>
      <c r="G1783" s="120">
        <v>0</v>
      </c>
      <c r="H1783">
        <v>0</v>
      </c>
      <c r="I1783" s="120" t="s">
        <v>57</v>
      </c>
      <c r="J1783">
        <v>0</v>
      </c>
      <c r="K1783">
        <v>1</v>
      </c>
      <c r="L1783" s="121">
        <v>0</v>
      </c>
      <c r="M1783" s="121">
        <v>0</v>
      </c>
      <c r="N1783" s="121">
        <v>0</v>
      </c>
    </row>
    <row r="1784" spans="1:14" hidden="1" x14ac:dyDescent="0.25">
      <c r="A1784" s="120" t="s">
        <v>3591</v>
      </c>
      <c r="B1784" s="120" t="s">
        <v>3698</v>
      </c>
      <c r="C1784" s="120" t="s">
        <v>301</v>
      </c>
      <c r="D1784" s="120" t="s">
        <v>3472</v>
      </c>
      <c r="E1784" s="120" t="s">
        <v>32</v>
      </c>
      <c r="F1784" s="120" t="s">
        <v>10</v>
      </c>
      <c r="G1784" s="120">
        <v>0</v>
      </c>
      <c r="H1784">
        <v>0</v>
      </c>
      <c r="I1784" s="120" t="s">
        <v>11</v>
      </c>
      <c r="J1784">
        <v>0</v>
      </c>
      <c r="K1784">
        <v>1</v>
      </c>
      <c r="L1784" s="121">
        <v>0</v>
      </c>
      <c r="M1784" s="121">
        <v>0</v>
      </c>
      <c r="N1784" s="121">
        <v>0</v>
      </c>
    </row>
    <row r="1785" spans="1:14" hidden="1" x14ac:dyDescent="0.25">
      <c r="A1785" s="120" t="s">
        <v>3591</v>
      </c>
      <c r="B1785" s="120" t="s">
        <v>3698</v>
      </c>
      <c r="C1785" s="120" t="s">
        <v>301</v>
      </c>
      <c r="D1785" s="120" t="s">
        <v>3474</v>
      </c>
      <c r="E1785" s="120" t="s">
        <v>36</v>
      </c>
      <c r="F1785" s="120" t="s">
        <v>14</v>
      </c>
      <c r="G1785" s="120">
        <v>1</v>
      </c>
      <c r="H1785">
        <v>0</v>
      </c>
      <c r="I1785" s="120" t="s">
        <v>47</v>
      </c>
      <c r="J1785">
        <v>1</v>
      </c>
      <c r="K1785">
        <v>0</v>
      </c>
      <c r="L1785">
        <v>0</v>
      </c>
      <c r="M1785">
        <v>0</v>
      </c>
      <c r="N1785">
        <v>0</v>
      </c>
    </row>
    <row r="1786" spans="1:14" hidden="1" x14ac:dyDescent="0.25">
      <c r="A1786" s="120" t="s">
        <v>3591</v>
      </c>
      <c r="B1786" s="120" t="s">
        <v>3698</v>
      </c>
      <c r="C1786" s="120" t="s">
        <v>301</v>
      </c>
      <c r="D1786" s="120" t="s">
        <v>3635</v>
      </c>
      <c r="E1786" s="120" t="s">
        <v>437</v>
      </c>
      <c r="F1786" s="120" t="s">
        <v>14</v>
      </c>
      <c r="G1786" s="120">
        <v>0</v>
      </c>
      <c r="H1786">
        <v>0</v>
      </c>
      <c r="I1786" s="120" t="s">
        <v>57</v>
      </c>
      <c r="J1786">
        <v>0</v>
      </c>
      <c r="K1786">
        <v>1</v>
      </c>
      <c r="L1786" s="121">
        <v>0</v>
      </c>
      <c r="M1786" s="121">
        <v>0</v>
      </c>
      <c r="N1786" s="121">
        <v>0</v>
      </c>
    </row>
    <row r="1787" spans="1:14" hidden="1" x14ac:dyDescent="0.25">
      <c r="A1787" s="120" t="s">
        <v>3591</v>
      </c>
      <c r="B1787" s="120" t="s">
        <v>3698</v>
      </c>
      <c r="C1787" s="120" t="s">
        <v>301</v>
      </c>
      <c r="D1787" s="120" t="s">
        <v>3636</v>
      </c>
      <c r="E1787" s="120" t="s">
        <v>438</v>
      </c>
      <c r="F1787" s="120" t="s">
        <v>18</v>
      </c>
      <c r="G1787" s="120">
        <v>0</v>
      </c>
      <c r="H1787">
        <v>0</v>
      </c>
      <c r="I1787" s="120" t="s">
        <v>57</v>
      </c>
      <c r="J1787">
        <v>0</v>
      </c>
      <c r="K1787">
        <v>1</v>
      </c>
      <c r="L1787" s="121">
        <v>0</v>
      </c>
      <c r="M1787" s="121">
        <v>0</v>
      </c>
      <c r="N1787" s="121">
        <v>0</v>
      </c>
    </row>
    <row r="1788" spans="1:14" hidden="1" x14ac:dyDescent="0.25">
      <c r="A1788" s="120" t="s">
        <v>3591</v>
      </c>
      <c r="B1788" s="120" t="s">
        <v>3698</v>
      </c>
      <c r="C1788" s="120" t="s">
        <v>301</v>
      </c>
      <c r="D1788" s="120" t="s">
        <v>737</v>
      </c>
      <c r="E1788" s="120" t="s">
        <v>440</v>
      </c>
      <c r="F1788" s="120"/>
      <c r="G1788" s="120">
        <v>0</v>
      </c>
      <c r="H1788">
        <v>0</v>
      </c>
      <c r="I1788" s="120" t="s">
        <v>57</v>
      </c>
      <c r="J1788">
        <v>0</v>
      </c>
      <c r="K1788">
        <v>1</v>
      </c>
      <c r="L1788" s="121">
        <v>23.8</v>
      </c>
      <c r="M1788" s="121">
        <v>0</v>
      </c>
      <c r="N1788" s="121">
        <v>0</v>
      </c>
    </row>
    <row r="1789" spans="1:14" hidden="1" x14ac:dyDescent="0.25">
      <c r="A1789" s="120" t="s">
        <v>3591</v>
      </c>
      <c r="B1789" s="120" t="s">
        <v>3698</v>
      </c>
      <c r="C1789" s="120" t="s">
        <v>301</v>
      </c>
      <c r="D1789" s="120" t="s">
        <v>3637</v>
      </c>
      <c r="E1789" s="120" t="s">
        <v>441</v>
      </c>
      <c r="F1789" s="120" t="s">
        <v>10</v>
      </c>
      <c r="G1789" s="120">
        <v>0</v>
      </c>
      <c r="H1789">
        <v>0</v>
      </c>
      <c r="I1789" s="120" t="s">
        <v>57</v>
      </c>
      <c r="J1789">
        <v>0</v>
      </c>
      <c r="K1789">
        <v>1</v>
      </c>
      <c r="L1789" s="121">
        <v>0</v>
      </c>
      <c r="M1789" s="121">
        <v>0</v>
      </c>
      <c r="N1789" s="121">
        <v>0</v>
      </c>
    </row>
    <row r="1790" spans="1:14" hidden="1" x14ac:dyDescent="0.25">
      <c r="A1790" s="120" t="s">
        <v>3591</v>
      </c>
      <c r="B1790" s="120" t="s">
        <v>3698</v>
      </c>
      <c r="C1790" s="120" t="s">
        <v>301</v>
      </c>
      <c r="D1790" s="120" t="s">
        <v>3690</v>
      </c>
      <c r="E1790" s="120" t="s">
        <v>520</v>
      </c>
      <c r="F1790" s="120" t="s">
        <v>14</v>
      </c>
      <c r="G1790" s="120">
        <v>0</v>
      </c>
      <c r="H1790">
        <v>0</v>
      </c>
      <c r="I1790" s="120" t="s">
        <v>57</v>
      </c>
      <c r="J1790">
        <v>0</v>
      </c>
      <c r="K1790">
        <v>1</v>
      </c>
      <c r="L1790" s="121">
        <v>0</v>
      </c>
      <c r="M1790" s="121">
        <v>0</v>
      </c>
      <c r="N1790" s="121">
        <v>0</v>
      </c>
    </row>
    <row r="1791" spans="1:14" hidden="1" x14ac:dyDescent="0.25">
      <c r="A1791" s="120" t="s">
        <v>3591</v>
      </c>
      <c r="B1791" s="120" t="s">
        <v>3698</v>
      </c>
      <c r="C1791" s="120" t="s">
        <v>301</v>
      </c>
      <c r="D1791" s="120" t="s">
        <v>3639</v>
      </c>
      <c r="E1791" s="120" t="s">
        <v>443</v>
      </c>
      <c r="F1791" s="120" t="s">
        <v>10</v>
      </c>
      <c r="G1791" s="120">
        <v>0</v>
      </c>
      <c r="H1791">
        <v>0</v>
      </c>
      <c r="I1791" s="120" t="s">
        <v>57</v>
      </c>
      <c r="J1791">
        <v>0</v>
      </c>
      <c r="K1791">
        <v>1</v>
      </c>
      <c r="L1791" s="121">
        <v>0</v>
      </c>
      <c r="M1791" s="121">
        <v>0</v>
      </c>
      <c r="N1791" s="121">
        <v>0</v>
      </c>
    </row>
    <row r="1792" spans="1:14" hidden="1" x14ac:dyDescent="0.25">
      <c r="A1792" s="120" t="s">
        <v>3591</v>
      </c>
      <c r="B1792" s="120" t="s">
        <v>3698</v>
      </c>
      <c r="C1792" s="120" t="s">
        <v>301</v>
      </c>
      <c r="D1792" s="120" t="s">
        <v>3641</v>
      </c>
      <c r="E1792" s="120" t="s">
        <v>446</v>
      </c>
      <c r="F1792" s="120" t="s">
        <v>10</v>
      </c>
      <c r="G1792" s="120">
        <v>0</v>
      </c>
      <c r="H1792">
        <v>0</v>
      </c>
      <c r="I1792" s="120" t="s">
        <v>57</v>
      </c>
      <c r="J1792">
        <v>0</v>
      </c>
      <c r="K1792">
        <v>1</v>
      </c>
      <c r="L1792" s="121">
        <v>0</v>
      </c>
      <c r="M1792" s="121">
        <v>0</v>
      </c>
      <c r="N1792" s="121">
        <v>0</v>
      </c>
    </row>
    <row r="1793" spans="1:14" hidden="1" x14ac:dyDescent="0.25">
      <c r="A1793" s="120" t="s">
        <v>3591</v>
      </c>
      <c r="B1793" s="120" t="s">
        <v>3698</v>
      </c>
      <c r="C1793" s="120" t="s">
        <v>301</v>
      </c>
      <c r="D1793" s="120" t="s">
        <v>3661</v>
      </c>
      <c r="E1793" s="120" t="s">
        <v>475</v>
      </c>
      <c r="F1793" s="120" t="s">
        <v>10</v>
      </c>
      <c r="G1793" s="120">
        <v>1</v>
      </c>
      <c r="H1793">
        <v>0</v>
      </c>
      <c r="I1793" s="120" t="s">
        <v>57</v>
      </c>
      <c r="J1793">
        <v>1</v>
      </c>
      <c r="K1793">
        <v>0</v>
      </c>
      <c r="L1793">
        <v>0</v>
      </c>
      <c r="M1793">
        <v>0</v>
      </c>
      <c r="N1793">
        <v>0</v>
      </c>
    </row>
    <row r="1794" spans="1:14" hidden="1" x14ac:dyDescent="0.25">
      <c r="A1794" s="120" t="s">
        <v>3591</v>
      </c>
      <c r="B1794" s="120" t="s">
        <v>3698</v>
      </c>
      <c r="C1794" s="120" t="s">
        <v>301</v>
      </c>
      <c r="D1794" s="120" t="s">
        <v>3644</v>
      </c>
      <c r="E1794" s="120" t="s">
        <v>451</v>
      </c>
      <c r="F1794" s="120" t="s">
        <v>18</v>
      </c>
      <c r="G1794" s="120">
        <v>0</v>
      </c>
      <c r="H1794">
        <v>0</v>
      </c>
      <c r="I1794" s="120" t="s">
        <v>57</v>
      </c>
      <c r="J1794">
        <v>0</v>
      </c>
      <c r="K1794">
        <v>1</v>
      </c>
      <c r="L1794" s="121">
        <v>0</v>
      </c>
      <c r="M1794" s="121">
        <v>0</v>
      </c>
      <c r="N1794" s="121">
        <v>0</v>
      </c>
    </row>
    <row r="1795" spans="1:14" hidden="1" x14ac:dyDescent="0.25">
      <c r="A1795" s="120" t="s">
        <v>3591</v>
      </c>
      <c r="B1795" s="120" t="s">
        <v>3698</v>
      </c>
      <c r="C1795" s="120" t="s">
        <v>301</v>
      </c>
      <c r="D1795" s="120" t="s">
        <v>3663</v>
      </c>
      <c r="E1795" s="120" t="s">
        <v>477</v>
      </c>
      <c r="F1795" s="120" t="s">
        <v>10</v>
      </c>
      <c r="G1795" s="120">
        <v>1</v>
      </c>
      <c r="H1795">
        <v>0</v>
      </c>
      <c r="I1795" s="120" t="s">
        <v>57</v>
      </c>
      <c r="J1795">
        <v>1</v>
      </c>
      <c r="K1795">
        <v>0</v>
      </c>
      <c r="L1795">
        <v>0</v>
      </c>
      <c r="M1795">
        <v>0</v>
      </c>
      <c r="N1795">
        <v>0</v>
      </c>
    </row>
    <row r="1796" spans="1:14" hidden="1" x14ac:dyDescent="0.25">
      <c r="A1796" s="120" t="s">
        <v>3591</v>
      </c>
      <c r="B1796" s="120" t="s">
        <v>3698</v>
      </c>
      <c r="C1796" s="120" t="s">
        <v>301</v>
      </c>
      <c r="D1796" s="120" t="s">
        <v>3473</v>
      </c>
      <c r="E1796" s="120" t="s">
        <v>35</v>
      </c>
      <c r="F1796" s="120" t="s">
        <v>10</v>
      </c>
      <c r="G1796" s="120">
        <v>0</v>
      </c>
      <c r="H1796">
        <v>0</v>
      </c>
      <c r="I1796" s="120" t="s">
        <v>11</v>
      </c>
      <c r="J1796">
        <v>0</v>
      </c>
      <c r="K1796">
        <v>1</v>
      </c>
      <c r="L1796" s="121">
        <v>0</v>
      </c>
      <c r="M1796" s="121">
        <v>0</v>
      </c>
      <c r="N1796" s="121">
        <v>0</v>
      </c>
    </row>
    <row r="1797" spans="1:14" hidden="1" x14ac:dyDescent="0.25">
      <c r="A1797" s="120" t="s">
        <v>3591</v>
      </c>
      <c r="B1797" s="120" t="s">
        <v>3698</v>
      </c>
      <c r="C1797" s="120" t="s">
        <v>301</v>
      </c>
      <c r="D1797" s="120" t="s">
        <v>3700</v>
      </c>
      <c r="E1797" s="120" t="s">
        <v>2533</v>
      </c>
      <c r="F1797" s="120" t="s">
        <v>10</v>
      </c>
      <c r="G1797" s="120">
        <v>1</v>
      </c>
      <c r="H1797">
        <v>0</v>
      </c>
      <c r="I1797" s="120" t="s">
        <v>57</v>
      </c>
      <c r="J1797">
        <v>1</v>
      </c>
      <c r="K1797">
        <v>0</v>
      </c>
      <c r="L1797">
        <v>0</v>
      </c>
      <c r="M1797">
        <v>0</v>
      </c>
      <c r="N1797">
        <v>0</v>
      </c>
    </row>
    <row r="1798" spans="1:14" hidden="1" x14ac:dyDescent="0.25">
      <c r="A1798" s="120" t="s">
        <v>3591</v>
      </c>
      <c r="B1798" s="120" t="s">
        <v>3698</v>
      </c>
      <c r="C1798" s="120" t="s">
        <v>301</v>
      </c>
      <c r="D1798" s="120" t="s">
        <v>3666</v>
      </c>
      <c r="E1798" s="120" t="s">
        <v>481</v>
      </c>
      <c r="F1798" s="120" t="s">
        <v>10</v>
      </c>
      <c r="G1798" s="120">
        <v>1</v>
      </c>
      <c r="H1798">
        <v>0</v>
      </c>
      <c r="I1798" s="120" t="s">
        <v>57</v>
      </c>
      <c r="J1798">
        <v>1</v>
      </c>
      <c r="K1798">
        <v>0</v>
      </c>
      <c r="L1798">
        <v>0</v>
      </c>
      <c r="M1798">
        <v>0</v>
      </c>
      <c r="N1798">
        <v>0</v>
      </c>
    </row>
    <row r="1799" spans="1:14" hidden="1" x14ac:dyDescent="0.25">
      <c r="A1799" s="120" t="s">
        <v>3591</v>
      </c>
      <c r="B1799" s="120" t="s">
        <v>3698</v>
      </c>
      <c r="C1799" s="120" t="s">
        <v>301</v>
      </c>
      <c r="D1799" s="120" t="s">
        <v>3645</v>
      </c>
      <c r="E1799" s="120" t="s">
        <v>452</v>
      </c>
      <c r="F1799" s="120" t="s">
        <v>18</v>
      </c>
      <c r="G1799" s="120">
        <v>0</v>
      </c>
      <c r="H1799">
        <v>0</v>
      </c>
      <c r="I1799" s="120" t="s">
        <v>57</v>
      </c>
      <c r="J1799">
        <v>0</v>
      </c>
      <c r="K1799">
        <v>1</v>
      </c>
      <c r="L1799" s="121">
        <v>0</v>
      </c>
      <c r="M1799" s="121">
        <v>0</v>
      </c>
      <c r="N1799" s="121">
        <v>0</v>
      </c>
    </row>
    <row r="1800" spans="1:14" hidden="1" x14ac:dyDescent="0.25">
      <c r="A1800" s="120" t="s">
        <v>3591</v>
      </c>
      <c r="B1800" s="120" t="s">
        <v>3698</v>
      </c>
      <c r="C1800" s="120" t="s">
        <v>301</v>
      </c>
      <c r="D1800" s="120" t="s">
        <v>3475</v>
      </c>
      <c r="E1800" s="120" t="s">
        <v>37</v>
      </c>
      <c r="F1800" s="120" t="s">
        <v>14</v>
      </c>
      <c r="G1800" s="120">
        <v>0</v>
      </c>
      <c r="H1800">
        <v>0</v>
      </c>
      <c r="I1800" s="120" t="s">
        <v>11</v>
      </c>
      <c r="J1800">
        <v>0</v>
      </c>
      <c r="K1800">
        <v>1</v>
      </c>
      <c r="L1800" s="121">
        <v>0</v>
      </c>
      <c r="M1800" s="121">
        <v>0</v>
      </c>
      <c r="N1800" s="121">
        <v>0</v>
      </c>
    </row>
    <row r="1801" spans="1:14" hidden="1" x14ac:dyDescent="0.25">
      <c r="A1801" s="120" t="s">
        <v>3591</v>
      </c>
      <c r="B1801" s="120" t="s">
        <v>3698</v>
      </c>
      <c r="C1801" s="120" t="s">
        <v>301</v>
      </c>
      <c r="D1801" s="120" t="s">
        <v>1114</v>
      </c>
      <c r="E1801" s="120" t="s">
        <v>38</v>
      </c>
      <c r="F1801" s="120" t="s">
        <v>14</v>
      </c>
      <c r="G1801" s="120">
        <v>0</v>
      </c>
      <c r="H1801">
        <v>0</v>
      </c>
      <c r="I1801" s="120" t="s">
        <v>47</v>
      </c>
      <c r="J1801">
        <v>0</v>
      </c>
      <c r="K1801">
        <v>1</v>
      </c>
      <c r="L1801" s="121">
        <v>140</v>
      </c>
      <c r="M1801" s="121">
        <v>0</v>
      </c>
      <c r="N1801" s="121">
        <v>0</v>
      </c>
    </row>
    <row r="1802" spans="1:14" hidden="1" x14ac:dyDescent="0.25">
      <c r="A1802" s="120" t="s">
        <v>3591</v>
      </c>
      <c r="B1802" s="120" t="s">
        <v>3698</v>
      </c>
      <c r="C1802" s="120" t="s">
        <v>301</v>
      </c>
      <c r="D1802" s="120" t="s">
        <v>3660</v>
      </c>
      <c r="E1802" s="120" t="s">
        <v>474</v>
      </c>
      <c r="F1802" s="120" t="s">
        <v>10</v>
      </c>
      <c r="G1802" s="120">
        <v>2</v>
      </c>
      <c r="H1802">
        <v>0</v>
      </c>
      <c r="I1802" s="120" t="s">
        <v>57</v>
      </c>
      <c r="J1802">
        <v>2</v>
      </c>
      <c r="K1802">
        <v>0</v>
      </c>
      <c r="L1802">
        <v>0</v>
      </c>
      <c r="M1802">
        <v>0</v>
      </c>
      <c r="N1802">
        <v>0</v>
      </c>
    </row>
    <row r="1803" spans="1:14" hidden="1" x14ac:dyDescent="0.25">
      <c r="A1803" s="120" t="s">
        <v>3591</v>
      </c>
      <c r="B1803" s="120" t="s">
        <v>3698</v>
      </c>
      <c r="C1803" s="120" t="s">
        <v>301</v>
      </c>
      <c r="D1803" s="120" t="s">
        <v>1130</v>
      </c>
      <c r="E1803" s="120" t="s">
        <v>1131</v>
      </c>
      <c r="F1803" s="120" t="s">
        <v>157</v>
      </c>
      <c r="G1803" s="120">
        <v>0</v>
      </c>
      <c r="H1803">
        <v>0</v>
      </c>
      <c r="I1803" s="120" t="s">
        <v>57</v>
      </c>
      <c r="J1803">
        <v>0</v>
      </c>
      <c r="K1803">
        <v>1</v>
      </c>
      <c r="L1803" s="121">
        <v>90</v>
      </c>
      <c r="M1803" s="121">
        <v>0</v>
      </c>
      <c r="N1803" s="121">
        <v>0</v>
      </c>
    </row>
    <row r="1804" spans="1:14" hidden="1" x14ac:dyDescent="0.25">
      <c r="A1804" s="120" t="s">
        <v>3591</v>
      </c>
      <c r="B1804" s="120" t="s">
        <v>3698</v>
      </c>
      <c r="C1804" s="120" t="s">
        <v>301</v>
      </c>
      <c r="D1804" s="120" t="s">
        <v>3508</v>
      </c>
      <c r="E1804" s="120" t="s">
        <v>158</v>
      </c>
      <c r="F1804" s="120" t="s">
        <v>18</v>
      </c>
      <c r="G1804" s="120">
        <v>0</v>
      </c>
      <c r="H1804">
        <v>0</v>
      </c>
      <c r="I1804" s="120" t="s">
        <v>47</v>
      </c>
      <c r="J1804">
        <v>0</v>
      </c>
      <c r="K1804">
        <v>1</v>
      </c>
      <c r="L1804" s="121">
        <v>0</v>
      </c>
      <c r="M1804" s="121">
        <v>0</v>
      </c>
      <c r="N1804" s="121">
        <v>0</v>
      </c>
    </row>
    <row r="1805" spans="1:14" hidden="1" x14ac:dyDescent="0.25">
      <c r="A1805" s="120" t="s">
        <v>3591</v>
      </c>
      <c r="B1805" s="120" t="s">
        <v>3698</v>
      </c>
      <c r="C1805" s="120" t="s">
        <v>301</v>
      </c>
      <c r="D1805" s="120" t="s">
        <v>3655</v>
      </c>
      <c r="E1805" s="120" t="s">
        <v>468</v>
      </c>
      <c r="F1805" s="120" t="s">
        <v>18</v>
      </c>
      <c r="G1805" s="120">
        <v>0</v>
      </c>
      <c r="H1805">
        <v>0</v>
      </c>
      <c r="I1805" s="120" t="s">
        <v>57</v>
      </c>
      <c r="J1805">
        <v>0</v>
      </c>
      <c r="K1805">
        <v>1</v>
      </c>
      <c r="L1805" s="121">
        <v>0</v>
      </c>
      <c r="M1805" s="121">
        <v>0</v>
      </c>
      <c r="N1805" s="121">
        <v>0</v>
      </c>
    </row>
    <row r="1806" spans="1:14" hidden="1" x14ac:dyDescent="0.25">
      <c r="A1806" s="120" t="s">
        <v>3591</v>
      </c>
      <c r="B1806" s="120" t="s">
        <v>3698</v>
      </c>
      <c r="C1806" s="120" t="s">
        <v>301</v>
      </c>
      <c r="D1806" s="120" t="s">
        <v>3657</v>
      </c>
      <c r="E1806" s="120" t="s">
        <v>470</v>
      </c>
      <c r="F1806" s="120" t="s">
        <v>10</v>
      </c>
      <c r="G1806" s="120">
        <v>0</v>
      </c>
      <c r="H1806">
        <v>0</v>
      </c>
      <c r="I1806" s="120" t="s">
        <v>57</v>
      </c>
      <c r="J1806">
        <v>0</v>
      </c>
      <c r="K1806">
        <v>1</v>
      </c>
      <c r="L1806" s="121">
        <v>0</v>
      </c>
      <c r="M1806" s="121">
        <v>0</v>
      </c>
      <c r="N1806" s="121">
        <v>0</v>
      </c>
    </row>
    <row r="1807" spans="1:14" hidden="1" x14ac:dyDescent="0.25">
      <c r="A1807" s="120" t="s">
        <v>3591</v>
      </c>
      <c r="B1807" s="120" t="s">
        <v>3698</v>
      </c>
      <c r="C1807" s="120" t="s">
        <v>301</v>
      </c>
      <c r="D1807" s="120" t="s">
        <v>3662</v>
      </c>
      <c r="E1807" s="120" t="s">
        <v>476</v>
      </c>
      <c r="F1807" s="120" t="s">
        <v>10</v>
      </c>
      <c r="G1807" s="120">
        <v>0</v>
      </c>
      <c r="H1807">
        <v>0</v>
      </c>
      <c r="I1807" s="120" t="s">
        <v>57</v>
      </c>
      <c r="J1807">
        <v>0</v>
      </c>
      <c r="K1807">
        <v>1</v>
      </c>
      <c r="L1807" s="121">
        <v>0</v>
      </c>
      <c r="M1807" s="121">
        <v>0</v>
      </c>
      <c r="N1807" s="121">
        <v>0</v>
      </c>
    </row>
    <row r="1808" spans="1:14" hidden="1" x14ac:dyDescent="0.25">
      <c r="A1808" s="120" t="s">
        <v>3591</v>
      </c>
      <c r="B1808" s="120" t="s">
        <v>3698</v>
      </c>
      <c r="C1808" s="120" t="s">
        <v>69</v>
      </c>
      <c r="D1808" s="120" t="s">
        <v>1154</v>
      </c>
      <c r="E1808" s="120" t="s">
        <v>113</v>
      </c>
      <c r="F1808" s="120" t="s">
        <v>71</v>
      </c>
      <c r="G1808" s="120">
        <v>1</v>
      </c>
      <c r="H1808">
        <v>8</v>
      </c>
      <c r="I1808" s="120" t="s">
        <v>57</v>
      </c>
      <c r="J1808">
        <v>-7</v>
      </c>
      <c r="K1808">
        <v>0</v>
      </c>
      <c r="L1808">
        <v>3.4</v>
      </c>
      <c r="M1808">
        <v>3.4</v>
      </c>
      <c r="N1808">
        <v>27.2</v>
      </c>
    </row>
    <row r="1809" spans="1:14" hidden="1" x14ac:dyDescent="0.25">
      <c r="A1809" s="120" t="s">
        <v>3591</v>
      </c>
      <c r="B1809" s="120" t="s">
        <v>3698</v>
      </c>
      <c r="C1809" s="120" t="s">
        <v>301</v>
      </c>
      <c r="D1809" s="120" t="s">
        <v>1201</v>
      </c>
      <c r="E1809" s="120" t="s">
        <v>480</v>
      </c>
      <c r="F1809" s="120" t="s">
        <v>71</v>
      </c>
      <c r="G1809" s="120">
        <v>0</v>
      </c>
      <c r="H1809">
        <v>0</v>
      </c>
      <c r="I1809" s="120" t="s">
        <v>57</v>
      </c>
      <c r="J1809">
        <v>0</v>
      </c>
      <c r="K1809">
        <v>1</v>
      </c>
      <c r="L1809" s="121">
        <v>26.1</v>
      </c>
      <c r="M1809" s="121">
        <v>0</v>
      </c>
      <c r="N1809" s="121">
        <v>0</v>
      </c>
    </row>
    <row r="1810" spans="1:14" hidden="1" x14ac:dyDescent="0.25">
      <c r="A1810" s="120" t="s">
        <v>3591</v>
      </c>
      <c r="B1810" s="120" t="s">
        <v>3698</v>
      </c>
      <c r="C1810" s="120" t="s">
        <v>301</v>
      </c>
      <c r="D1810" s="120" t="s">
        <v>3667</v>
      </c>
      <c r="E1810" s="120" t="s">
        <v>482</v>
      </c>
      <c r="F1810" s="120" t="s">
        <v>14</v>
      </c>
      <c r="G1810" s="120">
        <v>0</v>
      </c>
      <c r="H1810">
        <v>0</v>
      </c>
      <c r="I1810" s="120" t="s">
        <v>57</v>
      </c>
      <c r="J1810">
        <v>0</v>
      </c>
      <c r="K1810">
        <v>1</v>
      </c>
      <c r="L1810" s="121">
        <v>0</v>
      </c>
      <c r="M1810" s="121">
        <v>0</v>
      </c>
      <c r="N1810" s="121">
        <v>0</v>
      </c>
    </row>
    <row r="1811" spans="1:14" hidden="1" x14ac:dyDescent="0.25">
      <c r="A1811" s="120" t="s">
        <v>3591</v>
      </c>
      <c r="B1811" s="120" t="s">
        <v>3698</v>
      </c>
      <c r="C1811" s="120" t="s">
        <v>69</v>
      </c>
      <c r="D1811" s="120" t="s">
        <v>572</v>
      </c>
      <c r="E1811" s="120" t="s">
        <v>573</v>
      </c>
      <c r="F1811" s="120" t="s">
        <v>233</v>
      </c>
      <c r="G1811" s="120">
        <v>0</v>
      </c>
      <c r="H1811">
        <v>0</v>
      </c>
      <c r="I1811" s="120" t="s">
        <v>57</v>
      </c>
      <c r="J1811">
        <v>0</v>
      </c>
      <c r="K1811">
        <v>1</v>
      </c>
      <c r="L1811" s="121">
        <v>33.979999999999997</v>
      </c>
      <c r="M1811" s="121">
        <v>0</v>
      </c>
      <c r="N1811" s="121">
        <v>0</v>
      </c>
    </row>
    <row r="1812" spans="1:14" hidden="1" x14ac:dyDescent="0.25">
      <c r="A1812" s="120" t="s">
        <v>3591</v>
      </c>
      <c r="B1812" s="120" t="s">
        <v>3698</v>
      </c>
      <c r="C1812" s="120" t="s">
        <v>69</v>
      </c>
      <c r="D1812" s="120" t="s">
        <v>578</v>
      </c>
      <c r="E1812" s="120" t="s">
        <v>579</v>
      </c>
      <c r="F1812" s="120" t="s">
        <v>233</v>
      </c>
      <c r="G1812" s="120">
        <v>0</v>
      </c>
      <c r="H1812">
        <v>0</v>
      </c>
      <c r="I1812" s="120" t="s">
        <v>57</v>
      </c>
      <c r="J1812">
        <v>0</v>
      </c>
      <c r="K1812">
        <v>1</v>
      </c>
      <c r="L1812" s="121">
        <v>54</v>
      </c>
      <c r="M1812" s="121">
        <v>0</v>
      </c>
      <c r="N1812" s="121">
        <v>0</v>
      </c>
    </row>
    <row r="1813" spans="1:14" hidden="1" x14ac:dyDescent="0.25">
      <c r="A1813" s="120" t="s">
        <v>3591</v>
      </c>
      <c r="B1813" s="120" t="s">
        <v>3698</v>
      </c>
      <c r="C1813" s="120" t="s">
        <v>69</v>
      </c>
      <c r="D1813" s="120" t="s">
        <v>582</v>
      </c>
      <c r="E1813" s="120" t="s">
        <v>583</v>
      </c>
      <c r="F1813" s="120" t="s">
        <v>233</v>
      </c>
      <c r="G1813" s="120">
        <v>0</v>
      </c>
      <c r="H1813">
        <v>0</v>
      </c>
      <c r="I1813" s="120" t="s">
        <v>57</v>
      </c>
      <c r="J1813">
        <v>0</v>
      </c>
      <c r="K1813">
        <v>1</v>
      </c>
      <c r="L1813" s="121">
        <v>54</v>
      </c>
      <c r="M1813" s="121">
        <v>0</v>
      </c>
      <c r="N1813" s="121">
        <v>0</v>
      </c>
    </row>
    <row r="1814" spans="1:14" hidden="1" x14ac:dyDescent="0.25">
      <c r="A1814" s="120" t="s">
        <v>3591</v>
      </c>
      <c r="B1814" s="120" t="s">
        <v>3698</v>
      </c>
      <c r="C1814" s="120" t="s">
        <v>69</v>
      </c>
      <c r="D1814" s="120" t="s">
        <v>598</v>
      </c>
      <c r="E1814" s="120" t="s">
        <v>77</v>
      </c>
      <c r="F1814" s="120" t="s">
        <v>71</v>
      </c>
      <c r="G1814" s="120">
        <v>0</v>
      </c>
      <c r="H1814">
        <v>0</v>
      </c>
      <c r="I1814" s="120" t="s">
        <v>57</v>
      </c>
      <c r="J1814">
        <v>0</v>
      </c>
      <c r="K1814">
        <v>1</v>
      </c>
      <c r="L1814" s="121">
        <v>54</v>
      </c>
      <c r="M1814" s="121">
        <v>0</v>
      </c>
      <c r="N1814" s="121">
        <v>0</v>
      </c>
    </row>
    <row r="1815" spans="1:14" hidden="1" x14ac:dyDescent="0.25">
      <c r="A1815" s="120" t="s">
        <v>3591</v>
      </c>
      <c r="B1815" s="120" t="s">
        <v>3698</v>
      </c>
      <c r="C1815" s="120" t="s">
        <v>69</v>
      </c>
      <c r="D1815" s="120" t="s">
        <v>599</v>
      </c>
      <c r="E1815" s="120" t="s">
        <v>505</v>
      </c>
      <c r="F1815" s="120" t="s">
        <v>71</v>
      </c>
      <c r="G1815" s="120">
        <v>0</v>
      </c>
      <c r="H1815">
        <v>0</v>
      </c>
      <c r="I1815" s="120" t="s">
        <v>57</v>
      </c>
      <c r="J1815">
        <v>0</v>
      </c>
      <c r="K1815">
        <v>1</v>
      </c>
      <c r="L1815" s="121">
        <v>45</v>
      </c>
      <c r="M1815" s="121">
        <v>0</v>
      </c>
      <c r="N1815" s="121">
        <v>0</v>
      </c>
    </row>
    <row r="1816" spans="1:14" hidden="1" x14ac:dyDescent="0.25">
      <c r="A1816" s="120" t="s">
        <v>3591</v>
      </c>
      <c r="B1816" s="120" t="s">
        <v>3698</v>
      </c>
      <c r="C1816" s="120" t="s">
        <v>69</v>
      </c>
      <c r="D1816" s="120" t="s">
        <v>3680</v>
      </c>
      <c r="E1816" s="120" t="s">
        <v>506</v>
      </c>
      <c r="F1816" s="120" t="s">
        <v>18</v>
      </c>
      <c r="G1816" s="120">
        <v>0</v>
      </c>
      <c r="H1816">
        <v>0</v>
      </c>
      <c r="I1816" s="120" t="s">
        <v>57</v>
      </c>
      <c r="J1816">
        <v>0</v>
      </c>
      <c r="K1816">
        <v>1</v>
      </c>
      <c r="L1816" s="121">
        <v>0</v>
      </c>
      <c r="M1816" s="121">
        <v>0</v>
      </c>
      <c r="N1816" s="121">
        <v>0</v>
      </c>
    </row>
    <row r="1817" spans="1:14" hidden="1" x14ac:dyDescent="0.25">
      <c r="A1817" s="120" t="s">
        <v>3591</v>
      </c>
      <c r="B1817" s="120" t="s">
        <v>3698</v>
      </c>
      <c r="C1817" s="120" t="s">
        <v>69</v>
      </c>
      <c r="D1817" s="120" t="s">
        <v>3490</v>
      </c>
      <c r="E1817" s="120" t="s">
        <v>84</v>
      </c>
      <c r="F1817" s="120" t="s">
        <v>18</v>
      </c>
      <c r="G1817" s="120">
        <v>0</v>
      </c>
      <c r="H1817">
        <v>0</v>
      </c>
      <c r="I1817" s="120" t="s">
        <v>57</v>
      </c>
      <c r="J1817">
        <v>0</v>
      </c>
      <c r="K1817">
        <v>1</v>
      </c>
      <c r="L1817" s="121">
        <v>0</v>
      </c>
      <c r="M1817" s="121">
        <v>0</v>
      </c>
      <c r="N1817" s="121">
        <v>0</v>
      </c>
    </row>
    <row r="1818" spans="1:14" hidden="1" x14ac:dyDescent="0.25">
      <c r="A1818" s="120" t="s">
        <v>3591</v>
      </c>
      <c r="B1818" s="120" t="s">
        <v>3698</v>
      </c>
      <c r="C1818" s="120" t="s">
        <v>69</v>
      </c>
      <c r="D1818" s="120" t="s">
        <v>1155</v>
      </c>
      <c r="E1818" s="120" t="s">
        <v>114</v>
      </c>
      <c r="F1818" s="120" t="s">
        <v>71</v>
      </c>
      <c r="G1818" s="120">
        <v>1</v>
      </c>
      <c r="H1818">
        <v>20</v>
      </c>
      <c r="I1818" s="120" t="s">
        <v>57</v>
      </c>
      <c r="J1818">
        <v>-19</v>
      </c>
      <c r="K1818">
        <v>0</v>
      </c>
      <c r="L1818">
        <v>14</v>
      </c>
      <c r="M1818">
        <v>14</v>
      </c>
      <c r="N1818">
        <v>280</v>
      </c>
    </row>
    <row r="1819" spans="1:14" hidden="1" x14ac:dyDescent="0.25">
      <c r="A1819" s="120" t="s">
        <v>3591</v>
      </c>
      <c r="B1819" s="120" t="s">
        <v>3698</v>
      </c>
      <c r="C1819" s="120" t="s">
        <v>69</v>
      </c>
      <c r="D1819" s="120" t="s">
        <v>3681</v>
      </c>
      <c r="E1819" s="120" t="s">
        <v>507</v>
      </c>
      <c r="F1819" s="120" t="s">
        <v>18</v>
      </c>
      <c r="G1819" s="120">
        <v>0</v>
      </c>
      <c r="H1819">
        <v>0</v>
      </c>
      <c r="I1819" s="120" t="s">
        <v>57</v>
      </c>
      <c r="J1819">
        <v>0</v>
      </c>
      <c r="K1819">
        <v>1</v>
      </c>
      <c r="L1819" s="121">
        <v>0</v>
      </c>
      <c r="M1819" s="121">
        <v>0</v>
      </c>
      <c r="N1819" s="121">
        <v>0</v>
      </c>
    </row>
    <row r="1820" spans="1:14" hidden="1" x14ac:dyDescent="0.25">
      <c r="A1820" s="120" t="s">
        <v>3591</v>
      </c>
      <c r="B1820" s="120" t="s">
        <v>3698</v>
      </c>
      <c r="C1820" s="120" t="s">
        <v>69</v>
      </c>
      <c r="D1820" s="120" t="s">
        <v>3682</v>
      </c>
      <c r="E1820" s="120" t="s">
        <v>508</v>
      </c>
      <c r="F1820" s="120" t="s">
        <v>10</v>
      </c>
      <c r="G1820" s="120">
        <v>3</v>
      </c>
      <c r="H1820">
        <v>0</v>
      </c>
      <c r="I1820" s="120" t="s">
        <v>57</v>
      </c>
      <c r="J1820">
        <v>3</v>
      </c>
      <c r="K1820">
        <v>0</v>
      </c>
      <c r="L1820">
        <v>0</v>
      </c>
      <c r="M1820">
        <v>0</v>
      </c>
      <c r="N1820">
        <v>0</v>
      </c>
    </row>
    <row r="1821" spans="1:14" hidden="1" x14ac:dyDescent="0.25">
      <c r="A1821" s="120" t="s">
        <v>3591</v>
      </c>
      <c r="B1821" s="120" t="s">
        <v>3698</v>
      </c>
      <c r="C1821" s="120" t="s">
        <v>69</v>
      </c>
      <c r="D1821" s="120" t="s">
        <v>3493</v>
      </c>
      <c r="E1821" s="120" t="s">
        <v>87</v>
      </c>
      <c r="F1821" s="120" t="s">
        <v>233</v>
      </c>
      <c r="G1821" s="120">
        <v>0</v>
      </c>
      <c r="H1821">
        <v>0</v>
      </c>
      <c r="I1821" s="120" t="s">
        <v>57</v>
      </c>
      <c r="J1821">
        <v>0</v>
      </c>
      <c r="K1821">
        <v>1</v>
      </c>
      <c r="L1821" s="121">
        <v>0</v>
      </c>
      <c r="M1821" s="121">
        <v>0</v>
      </c>
      <c r="N1821" s="121">
        <v>0</v>
      </c>
    </row>
    <row r="1822" spans="1:14" hidden="1" x14ac:dyDescent="0.25">
      <c r="A1822" s="120" t="s">
        <v>3591</v>
      </c>
      <c r="B1822" s="120" t="s">
        <v>3698</v>
      </c>
      <c r="C1822" s="120" t="s">
        <v>69</v>
      </c>
      <c r="D1822" s="120" t="s">
        <v>3494</v>
      </c>
      <c r="E1822" s="120" t="s">
        <v>88</v>
      </c>
      <c r="F1822" s="120" t="s">
        <v>233</v>
      </c>
      <c r="G1822" s="120">
        <v>0</v>
      </c>
      <c r="H1822">
        <v>0</v>
      </c>
      <c r="I1822" s="120" t="s">
        <v>57</v>
      </c>
      <c r="J1822">
        <v>0</v>
      </c>
      <c r="K1822">
        <v>1</v>
      </c>
      <c r="L1822" s="121">
        <v>0</v>
      </c>
      <c r="M1822" s="121">
        <v>0</v>
      </c>
      <c r="N1822" s="121">
        <v>0</v>
      </c>
    </row>
    <row r="1823" spans="1:14" hidden="1" x14ac:dyDescent="0.25">
      <c r="A1823" s="120" t="s">
        <v>3591</v>
      </c>
      <c r="B1823" s="120" t="s">
        <v>3698</v>
      </c>
      <c r="C1823" s="120" t="s">
        <v>69</v>
      </c>
      <c r="D1823" s="120" t="s">
        <v>3495</v>
      </c>
      <c r="E1823" s="120" t="s">
        <v>89</v>
      </c>
      <c r="F1823" s="120" t="s">
        <v>18</v>
      </c>
      <c r="G1823" s="120">
        <v>0</v>
      </c>
      <c r="H1823">
        <v>0</v>
      </c>
      <c r="I1823" s="120" t="s">
        <v>57</v>
      </c>
      <c r="J1823">
        <v>0</v>
      </c>
      <c r="K1823">
        <v>1</v>
      </c>
      <c r="L1823" s="121">
        <v>0</v>
      </c>
      <c r="M1823" s="121">
        <v>0</v>
      </c>
      <c r="N1823" s="121">
        <v>0</v>
      </c>
    </row>
    <row r="1824" spans="1:14" hidden="1" x14ac:dyDescent="0.25">
      <c r="A1824" s="120" t="s">
        <v>3591</v>
      </c>
      <c r="B1824" s="120" t="s">
        <v>3698</v>
      </c>
      <c r="C1824" s="120" t="s">
        <v>69</v>
      </c>
      <c r="D1824" s="120" t="s">
        <v>3689</v>
      </c>
      <c r="E1824" s="120" t="s">
        <v>515</v>
      </c>
      <c r="F1824" s="120" t="s">
        <v>18</v>
      </c>
      <c r="G1824" s="120">
        <v>0</v>
      </c>
      <c r="H1824">
        <v>0</v>
      </c>
      <c r="I1824" s="120" t="s">
        <v>57</v>
      </c>
      <c r="J1824">
        <v>0</v>
      </c>
      <c r="K1824">
        <v>1</v>
      </c>
      <c r="L1824" s="121">
        <v>0</v>
      </c>
      <c r="M1824" s="121">
        <v>0</v>
      </c>
      <c r="N1824" s="121">
        <v>0</v>
      </c>
    </row>
    <row r="1825" spans="1:14" hidden="1" x14ac:dyDescent="0.25">
      <c r="A1825" s="120" t="s">
        <v>3591</v>
      </c>
      <c r="B1825" s="120" t="s">
        <v>3698</v>
      </c>
      <c r="C1825" s="120" t="s">
        <v>69</v>
      </c>
      <c r="D1825" s="120" t="s">
        <v>3500</v>
      </c>
      <c r="E1825" s="120" t="s">
        <v>3039</v>
      </c>
      <c r="F1825" s="120" t="s">
        <v>18</v>
      </c>
      <c r="G1825" s="120">
        <v>0</v>
      </c>
      <c r="H1825">
        <v>0</v>
      </c>
      <c r="I1825" s="120" t="s">
        <v>57</v>
      </c>
      <c r="J1825">
        <v>0</v>
      </c>
      <c r="K1825">
        <v>1</v>
      </c>
      <c r="L1825" s="121">
        <v>0</v>
      </c>
      <c r="M1825" s="121">
        <v>0</v>
      </c>
      <c r="N1825" s="121">
        <v>0</v>
      </c>
    </row>
    <row r="1826" spans="1:14" hidden="1" x14ac:dyDescent="0.25">
      <c r="A1826" s="120" t="s">
        <v>3591</v>
      </c>
      <c r="B1826" s="120" t="s">
        <v>3698</v>
      </c>
      <c r="C1826" s="120" t="s">
        <v>69</v>
      </c>
      <c r="D1826" s="120" t="s">
        <v>686</v>
      </c>
      <c r="E1826" s="120" t="s">
        <v>270</v>
      </c>
      <c r="F1826" s="120" t="s">
        <v>10</v>
      </c>
      <c r="G1826" s="120">
        <v>0</v>
      </c>
      <c r="H1826">
        <v>0</v>
      </c>
      <c r="I1826" s="120" t="s">
        <v>57</v>
      </c>
      <c r="J1826">
        <v>0</v>
      </c>
      <c r="K1826">
        <v>1</v>
      </c>
      <c r="L1826" s="121">
        <v>18</v>
      </c>
      <c r="M1826" s="121">
        <v>0</v>
      </c>
      <c r="N1826" s="121">
        <v>0</v>
      </c>
    </row>
    <row r="1827" spans="1:14" hidden="1" x14ac:dyDescent="0.25">
      <c r="A1827" s="120" t="s">
        <v>3591</v>
      </c>
      <c r="B1827" s="120" t="s">
        <v>3698</v>
      </c>
      <c r="C1827" s="120" t="s">
        <v>69</v>
      </c>
      <c r="D1827" s="120" t="s">
        <v>728</v>
      </c>
      <c r="E1827" s="120" t="s">
        <v>518</v>
      </c>
      <c r="F1827" s="120" t="s">
        <v>101</v>
      </c>
      <c r="G1827" s="120">
        <v>0</v>
      </c>
      <c r="H1827">
        <v>0</v>
      </c>
      <c r="I1827" s="120" t="s">
        <v>57</v>
      </c>
      <c r="J1827">
        <v>0</v>
      </c>
      <c r="K1827">
        <v>1</v>
      </c>
      <c r="L1827" s="121">
        <v>165</v>
      </c>
      <c r="M1827" s="121">
        <v>0</v>
      </c>
      <c r="N1827" s="121">
        <v>0</v>
      </c>
    </row>
    <row r="1828" spans="1:14" hidden="1" x14ac:dyDescent="0.25">
      <c r="A1828" s="120" t="s">
        <v>3591</v>
      </c>
      <c r="B1828" s="120" t="s">
        <v>3698</v>
      </c>
      <c r="C1828" s="120" t="s">
        <v>69</v>
      </c>
      <c r="D1828" s="120" t="s">
        <v>3582</v>
      </c>
      <c r="E1828" s="120" t="s">
        <v>282</v>
      </c>
      <c r="F1828" s="120" t="s">
        <v>18</v>
      </c>
      <c r="G1828" s="120">
        <v>0</v>
      </c>
      <c r="H1828">
        <v>0</v>
      </c>
      <c r="I1828" s="120" t="s">
        <v>57</v>
      </c>
      <c r="J1828">
        <v>0</v>
      </c>
      <c r="K1828">
        <v>1</v>
      </c>
      <c r="L1828" s="121">
        <v>0</v>
      </c>
      <c r="M1828" s="121">
        <v>0</v>
      </c>
      <c r="N1828" s="121">
        <v>0</v>
      </c>
    </row>
    <row r="1829" spans="1:14" hidden="1" x14ac:dyDescent="0.25">
      <c r="A1829" s="120" t="s">
        <v>3591</v>
      </c>
      <c r="B1829" s="120" t="s">
        <v>3698</v>
      </c>
      <c r="C1829" s="120" t="s">
        <v>69</v>
      </c>
      <c r="D1829" s="120" t="s">
        <v>1157</v>
      </c>
      <c r="E1829" s="120" t="s">
        <v>524</v>
      </c>
      <c r="F1829" s="120" t="s">
        <v>18</v>
      </c>
      <c r="G1829" s="120">
        <v>0</v>
      </c>
      <c r="H1829">
        <v>0</v>
      </c>
      <c r="I1829" s="120" t="s">
        <v>57</v>
      </c>
      <c r="J1829">
        <v>0</v>
      </c>
      <c r="K1829">
        <v>1</v>
      </c>
      <c r="L1829" s="121">
        <v>7.5</v>
      </c>
      <c r="M1829" s="121">
        <v>0</v>
      </c>
      <c r="N1829" s="121">
        <v>0</v>
      </c>
    </row>
    <row r="1830" spans="1:14" hidden="1" x14ac:dyDescent="0.25">
      <c r="A1830" s="120" t="s">
        <v>3591</v>
      </c>
      <c r="B1830" s="120" t="s">
        <v>3698</v>
      </c>
      <c r="C1830" s="120" t="s">
        <v>69</v>
      </c>
      <c r="D1830" s="120" t="s">
        <v>1159</v>
      </c>
      <c r="E1830" s="120" t="s">
        <v>525</v>
      </c>
      <c r="F1830" s="120" t="s">
        <v>18</v>
      </c>
      <c r="G1830" s="120">
        <v>0</v>
      </c>
      <c r="H1830">
        <v>0</v>
      </c>
      <c r="I1830" s="120" t="s">
        <v>57</v>
      </c>
      <c r="J1830">
        <v>0</v>
      </c>
      <c r="K1830">
        <v>1</v>
      </c>
      <c r="L1830" s="121">
        <v>18.5</v>
      </c>
      <c r="M1830" s="121">
        <v>0</v>
      </c>
      <c r="N1830" s="121">
        <v>0</v>
      </c>
    </row>
    <row r="1831" spans="1:14" hidden="1" x14ac:dyDescent="0.25">
      <c r="A1831" s="120" t="s">
        <v>3591</v>
      </c>
      <c r="B1831" s="120" t="s">
        <v>3698</v>
      </c>
      <c r="C1831" s="120" t="s">
        <v>69</v>
      </c>
      <c r="D1831" s="120" t="s">
        <v>1162</v>
      </c>
      <c r="E1831" s="120" t="s">
        <v>526</v>
      </c>
      <c r="F1831" s="120" t="s">
        <v>18</v>
      </c>
      <c r="G1831" s="120">
        <v>0</v>
      </c>
      <c r="H1831">
        <v>0</v>
      </c>
      <c r="I1831" s="120" t="s">
        <v>57</v>
      </c>
      <c r="J1831">
        <v>0</v>
      </c>
      <c r="K1831">
        <v>1</v>
      </c>
      <c r="L1831" s="121">
        <v>13.98</v>
      </c>
      <c r="M1831" s="121">
        <v>0</v>
      </c>
      <c r="N1831" s="121">
        <v>0</v>
      </c>
    </row>
    <row r="1832" spans="1:14" hidden="1" x14ac:dyDescent="0.25">
      <c r="A1832" s="120" t="s">
        <v>3591</v>
      </c>
      <c r="B1832" s="120" t="s">
        <v>3698</v>
      </c>
      <c r="C1832" s="120" t="s">
        <v>69</v>
      </c>
      <c r="D1832" s="120" t="s">
        <v>3509</v>
      </c>
      <c r="E1832" s="120" t="s">
        <v>116</v>
      </c>
      <c r="F1832" s="120" t="s">
        <v>14</v>
      </c>
      <c r="G1832" s="120">
        <v>3</v>
      </c>
      <c r="H1832">
        <v>0</v>
      </c>
      <c r="I1832" s="120" t="s">
        <v>57</v>
      </c>
      <c r="J1832">
        <v>3</v>
      </c>
      <c r="K1832">
        <v>0</v>
      </c>
      <c r="L1832">
        <v>0</v>
      </c>
      <c r="M1832">
        <v>0</v>
      </c>
      <c r="N1832">
        <v>0</v>
      </c>
    </row>
    <row r="1833" spans="1:14" hidden="1" x14ac:dyDescent="0.25">
      <c r="A1833" s="120" t="s">
        <v>3591</v>
      </c>
      <c r="B1833" s="120" t="s">
        <v>3698</v>
      </c>
      <c r="C1833" s="120" t="s">
        <v>69</v>
      </c>
      <c r="D1833" s="120" t="s">
        <v>1191</v>
      </c>
      <c r="E1833" s="120" t="s">
        <v>117</v>
      </c>
      <c r="F1833" s="120" t="s">
        <v>14</v>
      </c>
      <c r="G1833" s="120">
        <v>2</v>
      </c>
      <c r="H1833">
        <v>2</v>
      </c>
      <c r="I1833" s="120" t="s">
        <v>57</v>
      </c>
      <c r="J1833">
        <v>0</v>
      </c>
      <c r="K1833">
        <v>1</v>
      </c>
      <c r="L1833" s="121">
        <v>3.5</v>
      </c>
      <c r="M1833" s="121">
        <v>7</v>
      </c>
      <c r="N1833" s="121">
        <v>7</v>
      </c>
    </row>
    <row r="1834" spans="1:14" hidden="1" x14ac:dyDescent="0.25">
      <c r="A1834" s="120" t="s">
        <v>3591</v>
      </c>
      <c r="B1834" s="120" t="s">
        <v>3701</v>
      </c>
      <c r="C1834" s="120" t="s">
        <v>301</v>
      </c>
      <c r="D1834" s="120" t="s">
        <v>374</v>
      </c>
      <c r="E1834" s="120" t="s">
        <v>375</v>
      </c>
      <c r="F1834" s="120" t="s">
        <v>14</v>
      </c>
      <c r="G1834" s="120">
        <v>4</v>
      </c>
      <c r="H1834">
        <v>0</v>
      </c>
      <c r="I1834" s="120" t="s">
        <v>57</v>
      </c>
      <c r="J1834">
        <v>4</v>
      </c>
      <c r="K1834">
        <v>0</v>
      </c>
      <c r="L1834">
        <v>0</v>
      </c>
      <c r="M1834">
        <v>0</v>
      </c>
      <c r="N1834">
        <v>0</v>
      </c>
    </row>
    <row r="1835" spans="1:14" hidden="1" x14ac:dyDescent="0.25">
      <c r="A1835" s="120" t="s">
        <v>3591</v>
      </c>
      <c r="B1835" s="120" t="s">
        <v>3701</v>
      </c>
      <c r="C1835" s="120" t="s">
        <v>69</v>
      </c>
      <c r="D1835" s="120" t="s">
        <v>1165</v>
      </c>
      <c r="E1835" s="120" t="s">
        <v>527</v>
      </c>
      <c r="F1835" s="120" t="s">
        <v>71</v>
      </c>
      <c r="G1835" s="120">
        <v>1</v>
      </c>
      <c r="H1835">
        <v>5</v>
      </c>
      <c r="I1835" s="120" t="s">
        <v>57</v>
      </c>
      <c r="J1835">
        <v>-4</v>
      </c>
      <c r="K1835">
        <v>0</v>
      </c>
      <c r="L1835">
        <v>20</v>
      </c>
      <c r="M1835">
        <v>20</v>
      </c>
      <c r="N1835">
        <v>100</v>
      </c>
    </row>
    <row r="1836" spans="1:14" hidden="1" x14ac:dyDescent="0.25">
      <c r="A1836" s="120" t="s">
        <v>3591</v>
      </c>
      <c r="B1836" s="120" t="s">
        <v>3701</v>
      </c>
      <c r="C1836" s="120" t="s">
        <v>301</v>
      </c>
      <c r="D1836" s="120" t="s">
        <v>3593</v>
      </c>
      <c r="E1836" s="120" t="s">
        <v>376</v>
      </c>
      <c r="F1836" s="120" t="s">
        <v>10</v>
      </c>
      <c r="G1836" s="120">
        <v>1</v>
      </c>
      <c r="H1836">
        <v>0</v>
      </c>
      <c r="I1836" s="120" t="s">
        <v>57</v>
      </c>
      <c r="J1836">
        <v>1</v>
      </c>
      <c r="K1836">
        <v>0</v>
      </c>
      <c r="L1836">
        <v>0</v>
      </c>
      <c r="M1836">
        <v>0</v>
      </c>
      <c r="N1836">
        <v>0</v>
      </c>
    </row>
    <row r="1837" spans="1:14" hidden="1" x14ac:dyDescent="0.25">
      <c r="A1837" s="120" t="s">
        <v>3591</v>
      </c>
      <c r="B1837" s="120" t="s">
        <v>3701</v>
      </c>
      <c r="C1837" s="120" t="s">
        <v>301</v>
      </c>
      <c r="D1837" s="120" t="s">
        <v>3605</v>
      </c>
      <c r="E1837" s="120" t="s">
        <v>396</v>
      </c>
      <c r="F1837" s="120" t="s">
        <v>10</v>
      </c>
      <c r="G1837" s="120">
        <v>1</v>
      </c>
      <c r="H1837">
        <v>0</v>
      </c>
      <c r="I1837" s="120" t="s">
        <v>57</v>
      </c>
      <c r="J1837">
        <v>1</v>
      </c>
      <c r="K1837">
        <v>0</v>
      </c>
      <c r="L1837">
        <v>0</v>
      </c>
      <c r="M1837">
        <v>0</v>
      </c>
      <c r="N1837">
        <v>0</v>
      </c>
    </row>
    <row r="1838" spans="1:14" hidden="1" x14ac:dyDescent="0.25">
      <c r="A1838" s="120" t="s">
        <v>3591</v>
      </c>
      <c r="B1838" s="120" t="s">
        <v>3701</v>
      </c>
      <c r="C1838" s="120" t="s">
        <v>301</v>
      </c>
      <c r="D1838" s="120" t="s">
        <v>3699</v>
      </c>
      <c r="E1838" s="120" t="s">
        <v>1793</v>
      </c>
      <c r="F1838" s="120" t="s">
        <v>71</v>
      </c>
      <c r="G1838" s="120">
        <v>1</v>
      </c>
      <c r="H1838">
        <v>0</v>
      </c>
      <c r="I1838" s="120" t="s">
        <v>57</v>
      </c>
      <c r="J1838">
        <v>1</v>
      </c>
      <c r="K1838">
        <v>0</v>
      </c>
      <c r="L1838">
        <v>0</v>
      </c>
      <c r="M1838">
        <v>0</v>
      </c>
      <c r="N1838">
        <v>0</v>
      </c>
    </row>
    <row r="1839" spans="1:14" hidden="1" x14ac:dyDescent="0.25">
      <c r="A1839" s="120" t="s">
        <v>3591</v>
      </c>
      <c r="B1839" s="120" t="s">
        <v>3701</v>
      </c>
      <c r="C1839" s="120" t="s">
        <v>301</v>
      </c>
      <c r="D1839" s="120" t="s">
        <v>3608</v>
      </c>
      <c r="E1839" s="120" t="s">
        <v>399</v>
      </c>
      <c r="F1839" s="120" t="s">
        <v>14</v>
      </c>
      <c r="G1839" s="120">
        <v>3</v>
      </c>
      <c r="H1839">
        <v>0</v>
      </c>
      <c r="I1839" s="120" t="s">
        <v>57</v>
      </c>
      <c r="J1839">
        <v>3</v>
      </c>
      <c r="K1839">
        <v>0</v>
      </c>
      <c r="L1839">
        <v>0</v>
      </c>
      <c r="M1839">
        <v>0</v>
      </c>
      <c r="N1839">
        <v>0</v>
      </c>
    </row>
    <row r="1840" spans="1:14" hidden="1" x14ac:dyDescent="0.25">
      <c r="A1840" s="120" t="s">
        <v>3591</v>
      </c>
      <c r="B1840" s="120" t="s">
        <v>3701</v>
      </c>
      <c r="C1840" s="120" t="s">
        <v>301</v>
      </c>
      <c r="D1840" s="120" t="s">
        <v>3612</v>
      </c>
      <c r="E1840" s="120" t="s">
        <v>403</v>
      </c>
      <c r="F1840" s="120" t="s">
        <v>18</v>
      </c>
      <c r="G1840" s="120">
        <v>2</v>
      </c>
      <c r="H1840">
        <v>0</v>
      </c>
      <c r="I1840" s="120" t="s">
        <v>57</v>
      </c>
      <c r="J1840">
        <v>2</v>
      </c>
      <c r="K1840">
        <v>0</v>
      </c>
      <c r="L1840">
        <v>0</v>
      </c>
      <c r="M1840">
        <v>0</v>
      </c>
      <c r="N1840">
        <v>0</v>
      </c>
    </row>
    <row r="1841" spans="1:14" hidden="1" x14ac:dyDescent="0.25">
      <c r="A1841" s="120" t="s">
        <v>3591</v>
      </c>
      <c r="B1841" s="120" t="s">
        <v>3701</v>
      </c>
      <c r="C1841" s="120" t="s">
        <v>301</v>
      </c>
      <c r="D1841" s="120" t="s">
        <v>3624</v>
      </c>
      <c r="E1841" s="120" t="s">
        <v>419</v>
      </c>
      <c r="F1841" s="120" t="s">
        <v>18</v>
      </c>
      <c r="G1841" s="120">
        <v>4</v>
      </c>
      <c r="H1841">
        <v>0</v>
      </c>
      <c r="I1841" s="120" t="s">
        <v>57</v>
      </c>
      <c r="J1841">
        <v>4</v>
      </c>
      <c r="K1841">
        <v>0</v>
      </c>
      <c r="L1841">
        <v>0</v>
      </c>
      <c r="M1841">
        <v>0</v>
      </c>
      <c r="N1841">
        <v>0</v>
      </c>
    </row>
    <row r="1842" spans="1:14" hidden="1" x14ac:dyDescent="0.25">
      <c r="A1842" s="120" t="s">
        <v>3591</v>
      </c>
      <c r="B1842" s="120" t="s">
        <v>3698</v>
      </c>
      <c r="C1842" s="120" t="s">
        <v>301</v>
      </c>
      <c r="D1842" s="120" t="s">
        <v>1224</v>
      </c>
      <c r="E1842" s="120" t="s">
        <v>483</v>
      </c>
      <c r="F1842" s="120" t="s">
        <v>10</v>
      </c>
      <c r="G1842" s="120">
        <v>0</v>
      </c>
      <c r="H1842">
        <v>0</v>
      </c>
      <c r="I1842" s="120" t="s">
        <v>57</v>
      </c>
      <c r="J1842">
        <v>0</v>
      </c>
      <c r="K1842">
        <v>1</v>
      </c>
      <c r="L1842" s="121">
        <v>9.44</v>
      </c>
      <c r="M1842" s="121">
        <v>0</v>
      </c>
      <c r="N1842" s="121">
        <v>0</v>
      </c>
    </row>
    <row r="1843" spans="1:14" hidden="1" x14ac:dyDescent="0.25">
      <c r="A1843" s="120" t="s">
        <v>3591</v>
      </c>
      <c r="B1843" s="120" t="s">
        <v>3701</v>
      </c>
      <c r="C1843" s="120" t="s">
        <v>301</v>
      </c>
      <c r="D1843" s="120" t="s">
        <v>3629</v>
      </c>
      <c r="E1843" s="120" t="s">
        <v>424</v>
      </c>
      <c r="F1843" s="120" t="s">
        <v>18</v>
      </c>
      <c r="G1843" s="120">
        <v>6</v>
      </c>
      <c r="H1843">
        <v>0</v>
      </c>
      <c r="I1843" s="120" t="s">
        <v>57</v>
      </c>
      <c r="J1843">
        <v>6</v>
      </c>
      <c r="K1843">
        <v>0</v>
      </c>
      <c r="L1843">
        <v>0</v>
      </c>
      <c r="M1843">
        <v>0</v>
      </c>
      <c r="N1843">
        <v>0</v>
      </c>
    </row>
    <row r="1844" spans="1:14" hidden="1" x14ac:dyDescent="0.25">
      <c r="A1844" s="120" t="s">
        <v>3591</v>
      </c>
      <c r="B1844" s="120" t="s">
        <v>3701</v>
      </c>
      <c r="C1844" s="120" t="s">
        <v>301</v>
      </c>
      <c r="D1844" s="120" t="s">
        <v>3630</v>
      </c>
      <c r="E1844" s="120" t="s">
        <v>425</v>
      </c>
      <c r="F1844" s="120" t="s">
        <v>18</v>
      </c>
      <c r="G1844" s="120">
        <v>8</v>
      </c>
      <c r="H1844">
        <v>0</v>
      </c>
      <c r="I1844" s="120" t="s">
        <v>57</v>
      </c>
      <c r="J1844">
        <v>8</v>
      </c>
      <c r="K1844">
        <v>0</v>
      </c>
      <c r="L1844">
        <v>0</v>
      </c>
      <c r="M1844">
        <v>0</v>
      </c>
      <c r="N1844">
        <v>0</v>
      </c>
    </row>
    <row r="1845" spans="1:14" hidden="1" x14ac:dyDescent="0.25">
      <c r="A1845" s="120" t="s">
        <v>3591</v>
      </c>
      <c r="B1845" s="120" t="s">
        <v>3701</v>
      </c>
      <c r="C1845" s="120" t="s">
        <v>301</v>
      </c>
      <c r="D1845" s="120" t="s">
        <v>3654</v>
      </c>
      <c r="E1845" s="120" t="s">
        <v>466</v>
      </c>
      <c r="F1845" s="120" t="s">
        <v>467</v>
      </c>
      <c r="G1845" s="120">
        <v>5</v>
      </c>
      <c r="H1845">
        <v>0</v>
      </c>
      <c r="I1845" s="120" t="s">
        <v>57</v>
      </c>
      <c r="J1845">
        <v>5</v>
      </c>
      <c r="K1845">
        <v>0</v>
      </c>
      <c r="L1845">
        <v>0</v>
      </c>
      <c r="M1845">
        <v>0</v>
      </c>
      <c r="N1845">
        <v>0</v>
      </c>
    </row>
    <row r="1846" spans="1:14" hidden="1" x14ac:dyDescent="0.25">
      <c r="A1846" s="120" t="s">
        <v>3591</v>
      </c>
      <c r="B1846" s="120" t="s">
        <v>3701</v>
      </c>
      <c r="C1846" s="120" t="s">
        <v>301</v>
      </c>
      <c r="D1846" s="120" t="s">
        <v>3655</v>
      </c>
      <c r="E1846" s="120" t="s">
        <v>468</v>
      </c>
      <c r="F1846" s="120" t="s">
        <v>18</v>
      </c>
      <c r="G1846" s="120">
        <v>1</v>
      </c>
      <c r="H1846">
        <v>0</v>
      </c>
      <c r="I1846" s="120" t="s">
        <v>57</v>
      </c>
      <c r="J1846">
        <v>1</v>
      </c>
      <c r="K1846">
        <v>0</v>
      </c>
      <c r="L1846">
        <v>0</v>
      </c>
      <c r="M1846">
        <v>0</v>
      </c>
      <c r="N1846">
        <v>0</v>
      </c>
    </row>
    <row r="1847" spans="1:14" hidden="1" x14ac:dyDescent="0.25">
      <c r="A1847" s="120" t="s">
        <v>3591</v>
      </c>
      <c r="B1847" s="120" t="s">
        <v>3701</v>
      </c>
      <c r="C1847" s="120" t="s">
        <v>301</v>
      </c>
      <c r="D1847" s="120" t="s">
        <v>3657</v>
      </c>
      <c r="E1847" s="120" t="s">
        <v>470</v>
      </c>
      <c r="F1847" s="120" t="s">
        <v>10</v>
      </c>
      <c r="G1847" s="120">
        <v>1</v>
      </c>
      <c r="H1847">
        <v>0</v>
      </c>
      <c r="I1847" s="120" t="s">
        <v>57</v>
      </c>
      <c r="J1847">
        <v>1</v>
      </c>
      <c r="K1847">
        <v>0</v>
      </c>
      <c r="L1847">
        <v>0</v>
      </c>
      <c r="M1847">
        <v>0</v>
      </c>
      <c r="N1847">
        <v>0</v>
      </c>
    </row>
    <row r="1848" spans="1:14" hidden="1" x14ac:dyDescent="0.25">
      <c r="A1848" s="120" t="s">
        <v>3591</v>
      </c>
      <c r="B1848" s="120" t="s">
        <v>3701</v>
      </c>
      <c r="C1848" s="120" t="s">
        <v>301</v>
      </c>
      <c r="D1848" s="120" t="s">
        <v>3658</v>
      </c>
      <c r="E1848" s="120" t="s">
        <v>471</v>
      </c>
      <c r="F1848" s="120" t="s">
        <v>14</v>
      </c>
      <c r="G1848" s="120">
        <v>1</v>
      </c>
      <c r="H1848">
        <v>0</v>
      </c>
      <c r="I1848" s="120" t="s">
        <v>57</v>
      </c>
      <c r="J1848">
        <v>1</v>
      </c>
      <c r="K1848">
        <v>0</v>
      </c>
      <c r="L1848">
        <v>0</v>
      </c>
      <c r="M1848">
        <v>0</v>
      </c>
      <c r="N1848">
        <v>0</v>
      </c>
    </row>
    <row r="1849" spans="1:14" hidden="1" x14ac:dyDescent="0.25">
      <c r="A1849" s="120" t="s">
        <v>3591</v>
      </c>
      <c r="B1849" s="120" t="s">
        <v>3701</v>
      </c>
      <c r="C1849" s="120" t="s">
        <v>301</v>
      </c>
      <c r="D1849" s="120" t="s">
        <v>3700</v>
      </c>
      <c r="E1849" s="120" t="s">
        <v>2533</v>
      </c>
      <c r="F1849" s="120" t="s">
        <v>10</v>
      </c>
      <c r="G1849" s="120">
        <v>1</v>
      </c>
      <c r="H1849">
        <v>0</v>
      </c>
      <c r="I1849" s="120" t="s">
        <v>57</v>
      </c>
      <c r="J1849">
        <v>1</v>
      </c>
      <c r="K1849">
        <v>0</v>
      </c>
      <c r="L1849">
        <v>0</v>
      </c>
      <c r="M1849">
        <v>0</v>
      </c>
      <c r="N1849">
        <v>0</v>
      </c>
    </row>
    <row r="1850" spans="1:14" hidden="1" x14ac:dyDescent="0.25">
      <c r="A1850" s="120" t="s">
        <v>3591</v>
      </c>
      <c r="B1850" s="120" t="s">
        <v>3701</v>
      </c>
      <c r="C1850" s="120" t="s">
        <v>301</v>
      </c>
      <c r="D1850" s="120" t="s">
        <v>3667</v>
      </c>
      <c r="E1850" s="120" t="s">
        <v>482</v>
      </c>
      <c r="F1850" s="120" t="s">
        <v>14</v>
      </c>
      <c r="G1850" s="120">
        <v>1</v>
      </c>
      <c r="H1850">
        <v>0</v>
      </c>
      <c r="I1850" s="120" t="s">
        <v>57</v>
      </c>
      <c r="J1850">
        <v>1</v>
      </c>
      <c r="K1850">
        <v>0</v>
      </c>
      <c r="L1850">
        <v>0</v>
      </c>
      <c r="M1850">
        <v>0</v>
      </c>
      <c r="N1850">
        <v>0</v>
      </c>
    </row>
    <row r="1851" spans="1:14" hidden="1" x14ac:dyDescent="0.25">
      <c r="A1851" s="120" t="s">
        <v>3591</v>
      </c>
      <c r="B1851" s="120" t="s">
        <v>3701</v>
      </c>
      <c r="C1851" s="120" t="s">
        <v>301</v>
      </c>
      <c r="D1851" s="120" t="s">
        <v>3705</v>
      </c>
      <c r="E1851" s="120" t="s">
        <v>2560</v>
      </c>
      <c r="F1851" s="120" t="s">
        <v>14</v>
      </c>
      <c r="G1851" s="120">
        <v>1</v>
      </c>
      <c r="H1851">
        <v>0</v>
      </c>
      <c r="I1851" s="120" t="s">
        <v>57</v>
      </c>
      <c r="J1851">
        <v>1</v>
      </c>
      <c r="K1851">
        <v>0</v>
      </c>
      <c r="L1851">
        <v>0</v>
      </c>
      <c r="M1851">
        <v>0</v>
      </c>
      <c r="N1851">
        <v>0</v>
      </c>
    </row>
    <row r="1852" spans="1:14" hidden="1" x14ac:dyDescent="0.25">
      <c r="A1852" s="120" t="s">
        <v>3591</v>
      </c>
      <c r="B1852" s="120" t="s">
        <v>3701</v>
      </c>
      <c r="C1852" s="120" t="s">
        <v>301</v>
      </c>
      <c r="D1852" s="120" t="s">
        <v>3707</v>
      </c>
      <c r="E1852" s="120" t="s">
        <v>2658</v>
      </c>
      <c r="F1852" s="120" t="s">
        <v>3449</v>
      </c>
      <c r="G1852" s="120">
        <v>1</v>
      </c>
      <c r="H1852">
        <v>0</v>
      </c>
      <c r="I1852" s="120" t="s">
        <v>57</v>
      </c>
      <c r="J1852">
        <v>1</v>
      </c>
      <c r="K1852">
        <v>0</v>
      </c>
      <c r="L1852">
        <v>0</v>
      </c>
      <c r="M1852">
        <v>0</v>
      </c>
      <c r="N1852">
        <v>0</v>
      </c>
    </row>
    <row r="1853" spans="1:14" hidden="1" x14ac:dyDescent="0.25">
      <c r="A1853" s="120" t="s">
        <v>3591</v>
      </c>
      <c r="B1853" s="120" t="s">
        <v>3698</v>
      </c>
      <c r="C1853" s="120" t="s">
        <v>301</v>
      </c>
      <c r="D1853" s="120" t="s">
        <v>3696</v>
      </c>
      <c r="E1853" s="120" t="s">
        <v>2543</v>
      </c>
      <c r="F1853" s="120" t="s">
        <v>10</v>
      </c>
      <c r="G1853" s="120">
        <v>0</v>
      </c>
      <c r="H1853">
        <v>0</v>
      </c>
      <c r="I1853" s="120" t="s">
        <v>57</v>
      </c>
      <c r="J1853">
        <v>0</v>
      </c>
      <c r="K1853">
        <v>1</v>
      </c>
      <c r="L1853" s="121">
        <v>0</v>
      </c>
      <c r="M1853" s="121">
        <v>0</v>
      </c>
      <c r="N1853" s="121">
        <v>0</v>
      </c>
    </row>
    <row r="1854" spans="1:14" hidden="1" x14ac:dyDescent="0.25">
      <c r="A1854" s="120" t="s">
        <v>3591</v>
      </c>
      <c r="B1854" s="120" t="s">
        <v>3698</v>
      </c>
      <c r="C1854" s="120" t="s">
        <v>301</v>
      </c>
      <c r="D1854" s="120" t="s">
        <v>1761</v>
      </c>
      <c r="E1854" s="120" t="s">
        <v>1762</v>
      </c>
      <c r="F1854" s="120" t="s">
        <v>14</v>
      </c>
      <c r="G1854" s="120">
        <v>0</v>
      </c>
      <c r="H1854">
        <v>0</v>
      </c>
      <c r="I1854" s="120" t="s">
        <v>57</v>
      </c>
      <c r="J1854">
        <v>0</v>
      </c>
      <c r="K1854">
        <v>1</v>
      </c>
      <c r="L1854" s="121">
        <v>11</v>
      </c>
      <c r="M1854" s="121">
        <v>0</v>
      </c>
      <c r="N1854" s="121">
        <v>0</v>
      </c>
    </row>
    <row r="1855" spans="1:14" hidden="1" x14ac:dyDescent="0.25">
      <c r="A1855" s="120" t="s">
        <v>3591</v>
      </c>
      <c r="B1855" s="120" t="s">
        <v>3701</v>
      </c>
      <c r="C1855" s="120" t="s">
        <v>301</v>
      </c>
      <c r="D1855" s="120" t="s">
        <v>3678</v>
      </c>
      <c r="E1855" s="120" t="s">
        <v>499</v>
      </c>
      <c r="F1855" s="120" t="s">
        <v>18</v>
      </c>
      <c r="G1855" s="120">
        <v>2</v>
      </c>
      <c r="H1855">
        <v>0</v>
      </c>
      <c r="I1855" s="120" t="s">
        <v>57</v>
      </c>
      <c r="J1855">
        <v>2</v>
      </c>
      <c r="K1855">
        <v>0</v>
      </c>
      <c r="L1855">
        <v>0</v>
      </c>
      <c r="M1855">
        <v>0</v>
      </c>
      <c r="N1855">
        <v>0</v>
      </c>
    </row>
    <row r="1856" spans="1:14" hidden="1" x14ac:dyDescent="0.25">
      <c r="A1856" s="120" t="s">
        <v>3591</v>
      </c>
      <c r="B1856" s="120" t="s">
        <v>3701</v>
      </c>
      <c r="C1856" s="120" t="s">
        <v>69</v>
      </c>
      <c r="D1856" s="120" t="s">
        <v>1193</v>
      </c>
      <c r="E1856" s="120" t="s">
        <v>291</v>
      </c>
      <c r="F1856" s="120" t="s">
        <v>14</v>
      </c>
      <c r="G1856" s="120">
        <v>6</v>
      </c>
      <c r="H1856">
        <v>6</v>
      </c>
      <c r="I1856" s="120" t="s">
        <v>57</v>
      </c>
      <c r="J1856">
        <v>0</v>
      </c>
      <c r="K1856">
        <v>1</v>
      </c>
      <c r="L1856" s="121">
        <v>3.5</v>
      </c>
      <c r="M1856" s="121">
        <v>21</v>
      </c>
      <c r="N1856" s="121">
        <v>21</v>
      </c>
    </row>
    <row r="1857" spans="1:14" hidden="1" x14ac:dyDescent="0.25">
      <c r="A1857" s="120" t="s">
        <v>3591</v>
      </c>
      <c r="B1857" s="120" t="s">
        <v>3701</v>
      </c>
      <c r="C1857" s="120" t="s">
        <v>69</v>
      </c>
      <c r="D1857" s="120" t="s">
        <v>3544</v>
      </c>
      <c r="E1857" s="120" t="s">
        <v>3006</v>
      </c>
      <c r="F1857" s="120" t="s">
        <v>14</v>
      </c>
      <c r="G1857" s="120">
        <v>1</v>
      </c>
      <c r="H1857">
        <v>0</v>
      </c>
      <c r="I1857" s="120" t="s">
        <v>57</v>
      </c>
      <c r="J1857">
        <v>1</v>
      </c>
      <c r="K1857">
        <v>0</v>
      </c>
      <c r="L1857">
        <v>0</v>
      </c>
      <c r="M1857">
        <v>0</v>
      </c>
      <c r="N1857">
        <v>0</v>
      </c>
    </row>
    <row r="1858" spans="1:14" hidden="1" x14ac:dyDescent="0.25">
      <c r="A1858" s="120" t="s">
        <v>3591</v>
      </c>
      <c r="B1858" s="120" t="s">
        <v>3701</v>
      </c>
      <c r="C1858" s="120" t="s">
        <v>69</v>
      </c>
      <c r="D1858" s="120" t="s">
        <v>3489</v>
      </c>
      <c r="E1858" s="120" t="s">
        <v>80</v>
      </c>
      <c r="F1858" s="120" t="s">
        <v>10</v>
      </c>
      <c r="G1858" s="120">
        <v>2</v>
      </c>
      <c r="H1858">
        <v>0</v>
      </c>
      <c r="I1858" s="120" t="s">
        <v>57</v>
      </c>
      <c r="J1858">
        <v>2</v>
      </c>
      <c r="K1858">
        <v>0</v>
      </c>
      <c r="L1858">
        <v>0</v>
      </c>
      <c r="M1858">
        <v>0</v>
      </c>
      <c r="N1858">
        <v>0</v>
      </c>
    </row>
    <row r="1859" spans="1:14" hidden="1" x14ac:dyDescent="0.25">
      <c r="A1859" s="120" t="s">
        <v>3591</v>
      </c>
      <c r="B1859" s="120" t="s">
        <v>3701</v>
      </c>
      <c r="C1859" s="120" t="s">
        <v>69</v>
      </c>
      <c r="D1859" s="120" t="s">
        <v>3683</v>
      </c>
      <c r="E1859" s="120" t="s">
        <v>509</v>
      </c>
      <c r="F1859" s="120" t="s">
        <v>14</v>
      </c>
      <c r="G1859" s="120">
        <v>3</v>
      </c>
      <c r="H1859">
        <v>0</v>
      </c>
      <c r="I1859" s="120" t="s">
        <v>57</v>
      </c>
      <c r="J1859">
        <v>3</v>
      </c>
      <c r="K1859">
        <v>0</v>
      </c>
      <c r="L1859">
        <v>0</v>
      </c>
      <c r="M1859">
        <v>0</v>
      </c>
      <c r="N1859">
        <v>0</v>
      </c>
    </row>
    <row r="1860" spans="1:14" hidden="1" x14ac:dyDescent="0.25">
      <c r="A1860" s="120" t="s">
        <v>3591</v>
      </c>
      <c r="B1860" s="120" t="s">
        <v>3701</v>
      </c>
      <c r="C1860" s="120" t="s">
        <v>69</v>
      </c>
      <c r="D1860" s="120" t="s">
        <v>3686</v>
      </c>
      <c r="E1860" s="120" t="s">
        <v>512</v>
      </c>
      <c r="F1860" s="120" t="s">
        <v>10</v>
      </c>
      <c r="G1860" s="120">
        <v>6</v>
      </c>
      <c r="H1860">
        <v>0</v>
      </c>
      <c r="I1860" s="120" t="s">
        <v>57</v>
      </c>
      <c r="J1860">
        <v>6</v>
      </c>
      <c r="K1860">
        <v>0</v>
      </c>
      <c r="L1860">
        <v>0</v>
      </c>
      <c r="M1860">
        <v>0</v>
      </c>
      <c r="N1860">
        <v>0</v>
      </c>
    </row>
    <row r="1861" spans="1:14" hidden="1" x14ac:dyDescent="0.25">
      <c r="A1861" s="120" t="s">
        <v>3591</v>
      </c>
      <c r="B1861" s="120" t="s">
        <v>3701</v>
      </c>
      <c r="C1861" s="120" t="s">
        <v>69</v>
      </c>
      <c r="D1861" s="120" t="s">
        <v>3687</v>
      </c>
      <c r="E1861" s="120" t="s">
        <v>513</v>
      </c>
      <c r="F1861" s="120" t="s">
        <v>10</v>
      </c>
      <c r="G1861" s="120">
        <v>2</v>
      </c>
      <c r="H1861">
        <v>0</v>
      </c>
      <c r="I1861" s="120" t="s">
        <v>57</v>
      </c>
      <c r="J1861">
        <v>2</v>
      </c>
      <c r="K1861">
        <v>0</v>
      </c>
      <c r="L1861">
        <v>0</v>
      </c>
      <c r="M1861">
        <v>0</v>
      </c>
      <c r="N1861">
        <v>0</v>
      </c>
    </row>
    <row r="1862" spans="1:14" hidden="1" x14ac:dyDescent="0.25">
      <c r="A1862" s="120" t="s">
        <v>3591</v>
      </c>
      <c r="B1862" s="120" t="s">
        <v>3701</v>
      </c>
      <c r="C1862" s="120" t="s">
        <v>69</v>
      </c>
      <c r="D1862" s="120" t="s">
        <v>3499</v>
      </c>
      <c r="E1862" s="120" t="s">
        <v>516</v>
      </c>
      <c r="F1862" s="120" t="s">
        <v>18</v>
      </c>
      <c r="G1862" s="120">
        <v>1</v>
      </c>
      <c r="H1862">
        <v>0</v>
      </c>
      <c r="I1862" s="120" t="s">
        <v>57</v>
      </c>
      <c r="J1862">
        <v>1</v>
      </c>
      <c r="K1862">
        <v>0</v>
      </c>
      <c r="L1862">
        <v>0</v>
      </c>
      <c r="M1862">
        <v>0</v>
      </c>
      <c r="N1862">
        <v>0</v>
      </c>
    </row>
    <row r="1863" spans="1:14" hidden="1" x14ac:dyDescent="0.25">
      <c r="A1863" s="120" t="s">
        <v>3591</v>
      </c>
      <c r="B1863" s="120" t="s">
        <v>3701</v>
      </c>
      <c r="C1863" s="120" t="s">
        <v>69</v>
      </c>
      <c r="D1863" s="120" t="s">
        <v>3501</v>
      </c>
      <c r="E1863" s="120" t="s">
        <v>3038</v>
      </c>
      <c r="F1863" s="120" t="s">
        <v>18</v>
      </c>
      <c r="G1863" s="120">
        <v>0</v>
      </c>
      <c r="H1863">
        <v>0</v>
      </c>
      <c r="I1863" s="120" t="s">
        <v>57</v>
      </c>
      <c r="J1863">
        <v>0</v>
      </c>
      <c r="K1863">
        <v>1</v>
      </c>
      <c r="L1863" s="121">
        <v>0</v>
      </c>
      <c r="M1863" s="121">
        <v>0</v>
      </c>
      <c r="N1863" s="121">
        <v>0</v>
      </c>
    </row>
    <row r="1864" spans="1:14" hidden="1" x14ac:dyDescent="0.25">
      <c r="A1864" s="120" t="s">
        <v>3591</v>
      </c>
      <c r="B1864" s="120" t="s">
        <v>3701</v>
      </c>
      <c r="C1864" s="120" t="s">
        <v>69</v>
      </c>
      <c r="D1864" s="120" t="s">
        <v>3582</v>
      </c>
      <c r="E1864" s="120" t="s">
        <v>282</v>
      </c>
      <c r="F1864" s="120" t="s">
        <v>14</v>
      </c>
      <c r="G1864" s="120">
        <v>1</v>
      </c>
      <c r="H1864">
        <v>0</v>
      </c>
      <c r="I1864" s="120" t="s">
        <v>57</v>
      </c>
      <c r="J1864">
        <v>1</v>
      </c>
      <c r="K1864">
        <v>0</v>
      </c>
      <c r="L1864">
        <v>0</v>
      </c>
      <c r="M1864">
        <v>0</v>
      </c>
      <c r="N1864">
        <v>0</v>
      </c>
    </row>
    <row r="1865" spans="1:14" hidden="1" x14ac:dyDescent="0.25">
      <c r="A1865" s="120" t="s">
        <v>3591</v>
      </c>
      <c r="B1865" s="120" t="s">
        <v>3698</v>
      </c>
      <c r="C1865" s="120" t="s">
        <v>301</v>
      </c>
      <c r="D1865" s="120" t="s">
        <v>1767</v>
      </c>
      <c r="E1865" s="120" t="s">
        <v>493</v>
      </c>
      <c r="F1865" s="120" t="s">
        <v>14</v>
      </c>
      <c r="G1865" s="120">
        <v>0</v>
      </c>
      <c r="H1865">
        <v>0</v>
      </c>
      <c r="I1865" s="120" t="s">
        <v>57</v>
      </c>
      <c r="J1865">
        <v>0</v>
      </c>
      <c r="K1865">
        <v>1</v>
      </c>
      <c r="L1865" s="121">
        <v>24</v>
      </c>
      <c r="M1865" s="121">
        <v>0</v>
      </c>
      <c r="N1865" s="121">
        <v>0</v>
      </c>
    </row>
    <row r="1866" spans="1:14" hidden="1" x14ac:dyDescent="0.25">
      <c r="A1866" s="120" t="s">
        <v>3591</v>
      </c>
      <c r="B1866" s="120" t="s">
        <v>3709</v>
      </c>
      <c r="C1866" s="120" t="s">
        <v>301</v>
      </c>
      <c r="D1866" s="120" t="s">
        <v>3600</v>
      </c>
      <c r="E1866" s="120" t="s">
        <v>387</v>
      </c>
      <c r="F1866" s="120" t="s">
        <v>10</v>
      </c>
      <c r="G1866" s="120">
        <v>1</v>
      </c>
      <c r="H1866">
        <v>0</v>
      </c>
      <c r="I1866" s="120" t="s">
        <v>57</v>
      </c>
      <c r="J1866">
        <v>1</v>
      </c>
      <c r="K1866">
        <v>0</v>
      </c>
      <c r="L1866">
        <v>0</v>
      </c>
      <c r="M1866">
        <v>0</v>
      </c>
      <c r="N1866">
        <v>0</v>
      </c>
    </row>
    <row r="1867" spans="1:14" hidden="1" x14ac:dyDescent="0.25">
      <c r="A1867" s="120" t="s">
        <v>3591</v>
      </c>
      <c r="B1867" s="120" t="s">
        <v>3709</v>
      </c>
      <c r="C1867" s="120" t="s">
        <v>301</v>
      </c>
      <c r="D1867" s="120" t="s">
        <v>3605</v>
      </c>
      <c r="E1867" s="120" t="s">
        <v>396</v>
      </c>
      <c r="F1867" s="120" t="s">
        <v>10</v>
      </c>
      <c r="G1867" s="120">
        <v>1</v>
      </c>
      <c r="H1867">
        <v>0</v>
      </c>
      <c r="I1867" s="120" t="s">
        <v>57</v>
      </c>
      <c r="J1867">
        <v>1</v>
      </c>
      <c r="K1867">
        <v>0</v>
      </c>
      <c r="L1867">
        <v>0</v>
      </c>
      <c r="M1867">
        <v>0</v>
      </c>
      <c r="N1867">
        <v>0</v>
      </c>
    </row>
    <row r="1868" spans="1:14" hidden="1" x14ac:dyDescent="0.25">
      <c r="A1868" s="120" t="s">
        <v>3591</v>
      </c>
      <c r="B1868" s="120" t="s">
        <v>3709</v>
      </c>
      <c r="C1868" s="120" t="s">
        <v>301</v>
      </c>
      <c r="D1868" s="120" t="s">
        <v>3608</v>
      </c>
      <c r="E1868" s="120" t="s">
        <v>399</v>
      </c>
      <c r="F1868" s="120" t="s">
        <v>14</v>
      </c>
      <c r="G1868" s="120">
        <v>1</v>
      </c>
      <c r="H1868">
        <v>0</v>
      </c>
      <c r="I1868" s="120" t="s">
        <v>57</v>
      </c>
      <c r="J1868">
        <v>1</v>
      </c>
      <c r="K1868">
        <v>0</v>
      </c>
      <c r="L1868">
        <v>0</v>
      </c>
      <c r="M1868">
        <v>0</v>
      </c>
      <c r="N1868">
        <v>0</v>
      </c>
    </row>
    <row r="1869" spans="1:14" hidden="1" x14ac:dyDescent="0.25">
      <c r="A1869" s="120" t="s">
        <v>3591</v>
      </c>
      <c r="B1869" s="120" t="s">
        <v>3709</v>
      </c>
      <c r="C1869" s="120" t="s">
        <v>301</v>
      </c>
      <c r="D1869" s="120"/>
      <c r="E1869" s="120" t="s">
        <v>3450</v>
      </c>
      <c r="F1869" s="120" t="s">
        <v>10</v>
      </c>
      <c r="G1869" s="120">
        <v>2</v>
      </c>
      <c r="H1869">
        <v>0</v>
      </c>
      <c r="I1869" s="120" t="s">
        <v>57</v>
      </c>
      <c r="J1869">
        <v>2</v>
      </c>
      <c r="K1869">
        <v>0</v>
      </c>
      <c r="L1869">
        <v>0</v>
      </c>
      <c r="M1869">
        <v>0</v>
      </c>
      <c r="N1869">
        <v>0</v>
      </c>
    </row>
    <row r="1870" spans="1:14" hidden="1" x14ac:dyDescent="0.25">
      <c r="A1870" s="120" t="s">
        <v>3591</v>
      </c>
      <c r="B1870" s="120" t="s">
        <v>3709</v>
      </c>
      <c r="C1870" s="120" t="s">
        <v>301</v>
      </c>
      <c r="D1870" s="120" t="s">
        <v>3620</v>
      </c>
      <c r="E1870" s="120" t="s">
        <v>415</v>
      </c>
      <c r="F1870" s="120" t="s">
        <v>10</v>
      </c>
      <c r="G1870" s="120">
        <v>1</v>
      </c>
      <c r="H1870">
        <v>0</v>
      </c>
      <c r="I1870" s="120" t="s">
        <v>57</v>
      </c>
      <c r="J1870">
        <v>1</v>
      </c>
      <c r="K1870">
        <v>0</v>
      </c>
      <c r="L1870">
        <v>0</v>
      </c>
      <c r="M1870">
        <v>0</v>
      </c>
      <c r="N1870">
        <v>0</v>
      </c>
    </row>
    <row r="1871" spans="1:14" hidden="1" x14ac:dyDescent="0.25">
      <c r="A1871" s="120" t="s">
        <v>3591</v>
      </c>
      <c r="B1871" s="120" t="s">
        <v>3709</v>
      </c>
      <c r="C1871" s="120" t="s">
        <v>301</v>
      </c>
      <c r="D1871" s="120" t="s">
        <v>3624</v>
      </c>
      <c r="E1871" s="120" t="s">
        <v>419</v>
      </c>
      <c r="F1871" s="120" t="s">
        <v>10</v>
      </c>
      <c r="G1871" s="120">
        <v>2</v>
      </c>
      <c r="H1871">
        <v>0</v>
      </c>
      <c r="I1871" s="120" t="s">
        <v>57</v>
      </c>
      <c r="J1871">
        <v>2</v>
      </c>
      <c r="K1871">
        <v>0</v>
      </c>
      <c r="L1871">
        <v>0</v>
      </c>
      <c r="M1871">
        <v>0</v>
      </c>
      <c r="N1871">
        <v>0</v>
      </c>
    </row>
    <row r="1872" spans="1:14" hidden="1" x14ac:dyDescent="0.25">
      <c r="A1872" s="120" t="s">
        <v>3591</v>
      </c>
      <c r="B1872" s="120" t="s">
        <v>3709</v>
      </c>
      <c r="C1872" s="120" t="s">
        <v>301</v>
      </c>
      <c r="D1872" s="120" t="s">
        <v>3629</v>
      </c>
      <c r="E1872" s="120" t="s">
        <v>424</v>
      </c>
      <c r="F1872" s="120" t="s">
        <v>10</v>
      </c>
      <c r="G1872" s="120">
        <v>1</v>
      </c>
      <c r="H1872">
        <v>0</v>
      </c>
      <c r="I1872" s="120" t="s">
        <v>57</v>
      </c>
      <c r="J1872">
        <v>1</v>
      </c>
      <c r="K1872">
        <v>0</v>
      </c>
      <c r="L1872">
        <v>0</v>
      </c>
      <c r="M1872">
        <v>0</v>
      </c>
      <c r="N1872">
        <v>0</v>
      </c>
    </row>
    <row r="1873" spans="1:14" hidden="1" x14ac:dyDescent="0.25">
      <c r="A1873" s="120" t="s">
        <v>3591</v>
      </c>
      <c r="B1873" s="120" t="s">
        <v>3709</v>
      </c>
      <c r="C1873" s="120" t="s">
        <v>301</v>
      </c>
      <c r="D1873" s="120" t="s">
        <v>3630</v>
      </c>
      <c r="E1873" s="120" t="s">
        <v>425</v>
      </c>
      <c r="F1873" s="120" t="s">
        <v>10</v>
      </c>
      <c r="G1873" s="120">
        <v>1</v>
      </c>
      <c r="H1873">
        <v>0</v>
      </c>
      <c r="I1873" s="120" t="s">
        <v>57</v>
      </c>
      <c r="J1873">
        <v>1</v>
      </c>
      <c r="K1873">
        <v>0</v>
      </c>
      <c r="L1873">
        <v>0</v>
      </c>
      <c r="M1873">
        <v>0</v>
      </c>
      <c r="N1873">
        <v>0</v>
      </c>
    </row>
    <row r="1874" spans="1:14" hidden="1" x14ac:dyDescent="0.25">
      <c r="A1874" s="120" t="s">
        <v>3591</v>
      </c>
      <c r="B1874" s="120" t="s">
        <v>3698</v>
      </c>
      <c r="C1874" s="120" t="s">
        <v>301</v>
      </c>
      <c r="D1874" s="120" t="s">
        <v>1768</v>
      </c>
      <c r="E1874" s="120" t="s">
        <v>494</v>
      </c>
      <c r="F1874" s="120" t="s">
        <v>14</v>
      </c>
      <c r="G1874" s="120">
        <v>0</v>
      </c>
      <c r="H1874">
        <v>0</v>
      </c>
      <c r="I1874" s="120" t="s">
        <v>57</v>
      </c>
      <c r="J1874">
        <v>0</v>
      </c>
      <c r="K1874">
        <v>1</v>
      </c>
      <c r="L1874" s="121">
        <v>50</v>
      </c>
      <c r="M1874" s="121">
        <v>0</v>
      </c>
      <c r="N1874" s="121">
        <v>0</v>
      </c>
    </row>
    <row r="1875" spans="1:14" hidden="1" x14ac:dyDescent="0.25">
      <c r="A1875" s="120" t="s">
        <v>3591</v>
      </c>
      <c r="B1875" s="120" t="s">
        <v>3709</v>
      </c>
      <c r="C1875" s="120" t="s">
        <v>301</v>
      </c>
      <c r="D1875" s="120" t="s">
        <v>3642</v>
      </c>
      <c r="E1875" s="120" t="s">
        <v>447</v>
      </c>
      <c r="F1875" s="120" t="s">
        <v>14</v>
      </c>
      <c r="G1875" s="120">
        <v>1</v>
      </c>
      <c r="H1875">
        <v>0</v>
      </c>
      <c r="I1875" s="120" t="s">
        <v>57</v>
      </c>
      <c r="J1875">
        <v>1</v>
      </c>
      <c r="K1875">
        <v>0</v>
      </c>
      <c r="L1875">
        <v>0</v>
      </c>
      <c r="M1875">
        <v>0</v>
      </c>
      <c r="N1875">
        <v>0</v>
      </c>
    </row>
    <row r="1876" spans="1:14" hidden="1" x14ac:dyDescent="0.25">
      <c r="A1876" s="120" t="s">
        <v>3591</v>
      </c>
      <c r="B1876" s="120" t="s">
        <v>3709</v>
      </c>
      <c r="C1876" s="120" t="s">
        <v>301</v>
      </c>
      <c r="D1876" s="120" t="s">
        <v>3655</v>
      </c>
      <c r="E1876" s="120" t="s">
        <v>468</v>
      </c>
      <c r="F1876" s="120" t="s">
        <v>10</v>
      </c>
      <c r="G1876" s="120">
        <v>1</v>
      </c>
      <c r="H1876">
        <v>0</v>
      </c>
      <c r="I1876" s="120" t="s">
        <v>57</v>
      </c>
      <c r="J1876">
        <v>1</v>
      </c>
      <c r="K1876">
        <v>0</v>
      </c>
      <c r="L1876">
        <v>0</v>
      </c>
      <c r="M1876">
        <v>0</v>
      </c>
      <c r="N1876">
        <v>0</v>
      </c>
    </row>
    <row r="1877" spans="1:14" hidden="1" x14ac:dyDescent="0.25">
      <c r="A1877" s="120" t="s">
        <v>3591</v>
      </c>
      <c r="B1877" s="120" t="s">
        <v>3709</v>
      </c>
      <c r="C1877" s="120" t="s">
        <v>301</v>
      </c>
      <c r="D1877" s="120" t="s">
        <v>3657</v>
      </c>
      <c r="E1877" s="120" t="s">
        <v>470</v>
      </c>
      <c r="F1877" s="120" t="s">
        <v>10</v>
      </c>
      <c r="G1877" s="120">
        <v>1</v>
      </c>
      <c r="H1877">
        <v>0</v>
      </c>
      <c r="I1877" s="120" t="s">
        <v>57</v>
      </c>
      <c r="J1877">
        <v>1</v>
      </c>
      <c r="K1877">
        <v>0</v>
      </c>
      <c r="L1877">
        <v>0</v>
      </c>
      <c r="M1877">
        <v>0</v>
      </c>
      <c r="N1877">
        <v>0</v>
      </c>
    </row>
    <row r="1878" spans="1:14" hidden="1" x14ac:dyDescent="0.25">
      <c r="A1878" s="120" t="s">
        <v>3591</v>
      </c>
      <c r="B1878" s="120" t="s">
        <v>3709</v>
      </c>
      <c r="C1878" s="120" t="s">
        <v>301</v>
      </c>
      <c r="D1878" s="120" t="s">
        <v>3663</v>
      </c>
      <c r="E1878" s="120" t="s">
        <v>477</v>
      </c>
      <c r="F1878" s="120" t="s">
        <v>71</v>
      </c>
      <c r="G1878" s="120">
        <v>1</v>
      </c>
      <c r="H1878">
        <v>0</v>
      </c>
      <c r="I1878" s="120" t="s">
        <v>57</v>
      </c>
      <c r="J1878">
        <v>1</v>
      </c>
      <c r="K1878">
        <v>0</v>
      </c>
      <c r="L1878">
        <v>0</v>
      </c>
      <c r="M1878">
        <v>0</v>
      </c>
      <c r="N1878">
        <v>0</v>
      </c>
    </row>
    <row r="1879" spans="1:14" hidden="1" x14ac:dyDescent="0.25">
      <c r="A1879" s="120" t="s">
        <v>3591</v>
      </c>
      <c r="B1879" s="120" t="s">
        <v>3709</v>
      </c>
      <c r="C1879" s="120" t="s">
        <v>301</v>
      </c>
      <c r="D1879" s="120" t="s">
        <v>3666</v>
      </c>
      <c r="E1879" s="120" t="s">
        <v>481</v>
      </c>
      <c r="F1879" s="120" t="s">
        <v>14</v>
      </c>
      <c r="G1879" s="120">
        <v>1</v>
      </c>
      <c r="H1879">
        <v>0</v>
      </c>
      <c r="I1879" s="120" t="s">
        <v>57</v>
      </c>
      <c r="J1879">
        <v>1</v>
      </c>
      <c r="K1879">
        <v>0</v>
      </c>
      <c r="L1879">
        <v>0</v>
      </c>
      <c r="M1879">
        <v>0</v>
      </c>
      <c r="N1879">
        <v>0</v>
      </c>
    </row>
    <row r="1880" spans="1:14" hidden="1" x14ac:dyDescent="0.25">
      <c r="A1880" s="120" t="s">
        <v>3591</v>
      </c>
      <c r="B1880" s="120" t="s">
        <v>3709</v>
      </c>
      <c r="C1880" s="120" t="s">
        <v>301</v>
      </c>
      <c r="D1880" s="120" t="s">
        <v>3667</v>
      </c>
      <c r="E1880" s="120" t="s">
        <v>482</v>
      </c>
      <c r="F1880" s="120" t="s">
        <v>14</v>
      </c>
      <c r="G1880" s="120">
        <v>1</v>
      </c>
      <c r="H1880">
        <v>0</v>
      </c>
      <c r="I1880" s="120" t="s">
        <v>57</v>
      </c>
      <c r="J1880">
        <v>1</v>
      </c>
      <c r="K1880">
        <v>0</v>
      </c>
      <c r="L1880">
        <v>0</v>
      </c>
      <c r="M1880">
        <v>0</v>
      </c>
      <c r="N1880">
        <v>0</v>
      </c>
    </row>
    <row r="1881" spans="1:14" hidden="1" x14ac:dyDescent="0.25">
      <c r="A1881" s="120" t="s">
        <v>3591</v>
      </c>
      <c r="B1881" s="120" t="s">
        <v>3709</v>
      </c>
      <c r="C1881" s="120" t="s">
        <v>301</v>
      </c>
      <c r="D1881" s="120" t="s">
        <v>3696</v>
      </c>
      <c r="E1881" s="120" t="s">
        <v>2543</v>
      </c>
      <c r="F1881" s="120" t="s">
        <v>18</v>
      </c>
      <c r="G1881" s="120">
        <v>1</v>
      </c>
      <c r="H1881">
        <v>0</v>
      </c>
      <c r="I1881" s="120" t="s">
        <v>57</v>
      </c>
      <c r="J1881">
        <v>1</v>
      </c>
      <c r="K1881">
        <v>0</v>
      </c>
      <c r="L1881">
        <v>0</v>
      </c>
      <c r="M1881">
        <v>0</v>
      </c>
      <c r="N1881">
        <v>0</v>
      </c>
    </row>
    <row r="1882" spans="1:14" hidden="1" x14ac:dyDescent="0.25">
      <c r="A1882" s="120" t="s">
        <v>3591</v>
      </c>
      <c r="B1882" s="120" t="s">
        <v>3709</v>
      </c>
      <c r="C1882" s="120" t="s">
        <v>301</v>
      </c>
      <c r="D1882" s="120" t="s">
        <v>3705</v>
      </c>
      <c r="E1882" s="120" t="s">
        <v>2560</v>
      </c>
      <c r="F1882" s="120" t="s">
        <v>10</v>
      </c>
      <c r="G1882" s="120">
        <v>1</v>
      </c>
      <c r="H1882">
        <v>0</v>
      </c>
      <c r="I1882" s="120" t="s">
        <v>57</v>
      </c>
      <c r="J1882">
        <v>1</v>
      </c>
      <c r="K1882">
        <v>0</v>
      </c>
      <c r="L1882">
        <v>0</v>
      </c>
      <c r="M1882">
        <v>0</v>
      </c>
      <c r="N1882">
        <v>0</v>
      </c>
    </row>
    <row r="1883" spans="1:14" hidden="1" x14ac:dyDescent="0.25">
      <c r="A1883" s="120" t="s">
        <v>3591</v>
      </c>
      <c r="B1883" s="120" t="s">
        <v>3709</v>
      </c>
      <c r="C1883" s="120" t="s">
        <v>301</v>
      </c>
      <c r="D1883" s="120" t="s">
        <v>3675</v>
      </c>
      <c r="E1883" s="120" t="s">
        <v>492</v>
      </c>
      <c r="F1883" s="120" t="s">
        <v>10</v>
      </c>
      <c r="G1883" s="120">
        <v>1</v>
      </c>
      <c r="H1883">
        <v>0</v>
      </c>
      <c r="I1883" s="120" t="s">
        <v>57</v>
      </c>
      <c r="J1883">
        <v>1</v>
      </c>
      <c r="K1883">
        <v>0</v>
      </c>
      <c r="L1883">
        <v>0</v>
      </c>
      <c r="M1883">
        <v>0</v>
      </c>
      <c r="N1883">
        <v>0</v>
      </c>
    </row>
    <row r="1884" spans="1:14" hidden="1" x14ac:dyDescent="0.25">
      <c r="A1884" s="120" t="s">
        <v>3591</v>
      </c>
      <c r="B1884" s="120" t="s">
        <v>3709</v>
      </c>
      <c r="C1884" s="120" t="s">
        <v>69</v>
      </c>
      <c r="D1884" s="120" t="s">
        <v>3544</v>
      </c>
      <c r="E1884" s="120" t="s">
        <v>3006</v>
      </c>
      <c r="F1884" s="120" t="s">
        <v>10</v>
      </c>
      <c r="G1884" s="120">
        <v>5</v>
      </c>
      <c r="H1884">
        <v>0</v>
      </c>
      <c r="I1884" s="120" t="s">
        <v>57</v>
      </c>
      <c r="J1884">
        <v>5</v>
      </c>
      <c r="K1884">
        <v>0</v>
      </c>
      <c r="L1884">
        <v>0</v>
      </c>
      <c r="M1884">
        <v>0</v>
      </c>
      <c r="N1884">
        <v>0</v>
      </c>
    </row>
    <row r="1885" spans="1:14" hidden="1" x14ac:dyDescent="0.25">
      <c r="A1885" s="120" t="s">
        <v>3591</v>
      </c>
      <c r="B1885" s="120" t="s">
        <v>3709</v>
      </c>
      <c r="C1885" s="120" t="s">
        <v>69</v>
      </c>
      <c r="D1885" s="120" t="s">
        <v>3548</v>
      </c>
      <c r="E1885" s="120" t="s">
        <v>3008</v>
      </c>
      <c r="F1885" s="120" t="s">
        <v>10</v>
      </c>
      <c r="G1885" s="120">
        <v>4</v>
      </c>
      <c r="H1885">
        <v>0</v>
      </c>
      <c r="I1885" s="120" t="s">
        <v>57</v>
      </c>
      <c r="J1885">
        <v>4</v>
      </c>
      <c r="K1885">
        <v>0</v>
      </c>
      <c r="L1885">
        <v>0</v>
      </c>
      <c r="M1885">
        <v>0</v>
      </c>
      <c r="N1885">
        <v>0</v>
      </c>
    </row>
    <row r="1886" spans="1:14" hidden="1" x14ac:dyDescent="0.25">
      <c r="A1886" s="120" t="s">
        <v>3591</v>
      </c>
      <c r="B1886" s="120" t="s">
        <v>3709</v>
      </c>
      <c r="C1886" s="120" t="s">
        <v>69</v>
      </c>
      <c r="D1886" s="120" t="s">
        <v>3489</v>
      </c>
      <c r="E1886" s="120" t="s">
        <v>80</v>
      </c>
      <c r="F1886" s="120" t="s">
        <v>10</v>
      </c>
      <c r="G1886" s="120">
        <v>5</v>
      </c>
      <c r="H1886">
        <v>0</v>
      </c>
      <c r="I1886" s="120" t="s">
        <v>57</v>
      </c>
      <c r="J1886">
        <v>5</v>
      </c>
      <c r="K1886">
        <v>0</v>
      </c>
      <c r="L1886">
        <v>0</v>
      </c>
      <c r="M1886">
        <v>0</v>
      </c>
      <c r="N1886">
        <v>0</v>
      </c>
    </row>
    <row r="1887" spans="1:14" hidden="1" x14ac:dyDescent="0.25">
      <c r="A1887" s="120" t="s">
        <v>3591</v>
      </c>
      <c r="B1887" s="120" t="s">
        <v>3709</v>
      </c>
      <c r="C1887" s="120" t="s">
        <v>69</v>
      </c>
      <c r="D1887" s="120" t="s">
        <v>3683</v>
      </c>
      <c r="E1887" s="120" t="s">
        <v>509</v>
      </c>
      <c r="F1887" s="120" t="s">
        <v>10</v>
      </c>
      <c r="G1887" s="120">
        <v>1</v>
      </c>
      <c r="H1887">
        <v>0</v>
      </c>
      <c r="I1887" s="120" t="s">
        <v>57</v>
      </c>
      <c r="J1887">
        <v>1</v>
      </c>
      <c r="K1887">
        <v>0</v>
      </c>
      <c r="L1887">
        <v>0</v>
      </c>
      <c r="M1887">
        <v>0</v>
      </c>
      <c r="N1887">
        <v>0</v>
      </c>
    </row>
    <row r="1888" spans="1:14" hidden="1" x14ac:dyDescent="0.25">
      <c r="A1888" s="120" t="s">
        <v>3591</v>
      </c>
      <c r="B1888" s="120" t="s">
        <v>3709</v>
      </c>
      <c r="C1888" s="120" t="s">
        <v>69</v>
      </c>
      <c r="D1888" s="120" t="s">
        <v>3685</v>
      </c>
      <c r="E1888" s="120" t="s">
        <v>511</v>
      </c>
      <c r="F1888" s="120" t="s">
        <v>10</v>
      </c>
      <c r="G1888" s="120">
        <v>1</v>
      </c>
      <c r="H1888">
        <v>0</v>
      </c>
      <c r="I1888" s="120" t="s">
        <v>57</v>
      </c>
      <c r="J1888">
        <v>1</v>
      </c>
      <c r="K1888">
        <v>0</v>
      </c>
      <c r="L1888">
        <v>0</v>
      </c>
      <c r="M1888">
        <v>0</v>
      </c>
      <c r="N1888">
        <v>0</v>
      </c>
    </row>
    <row r="1889" spans="1:14" hidden="1" x14ac:dyDescent="0.25">
      <c r="A1889" s="120" t="s">
        <v>3591</v>
      </c>
      <c r="B1889" s="120" t="s">
        <v>3709</v>
      </c>
      <c r="C1889" s="120" t="s">
        <v>69</v>
      </c>
      <c r="D1889" s="120" t="s">
        <v>3687</v>
      </c>
      <c r="E1889" s="120" t="s">
        <v>513</v>
      </c>
      <c r="F1889" s="120" t="s">
        <v>10</v>
      </c>
      <c r="G1889" s="120">
        <v>0</v>
      </c>
      <c r="H1889">
        <v>0</v>
      </c>
      <c r="I1889" s="120" t="s">
        <v>57</v>
      </c>
      <c r="J1889">
        <v>0</v>
      </c>
      <c r="K1889">
        <v>1</v>
      </c>
      <c r="L1889" s="121">
        <v>0</v>
      </c>
      <c r="M1889" s="121">
        <v>0</v>
      </c>
      <c r="N1889" s="121">
        <v>0</v>
      </c>
    </row>
    <row r="1890" spans="1:14" hidden="1" x14ac:dyDescent="0.25">
      <c r="A1890" s="120" t="s">
        <v>3591</v>
      </c>
      <c r="B1890" s="120" t="s">
        <v>3709</v>
      </c>
      <c r="C1890" s="120" t="s">
        <v>69</v>
      </c>
      <c r="D1890" s="120" t="s">
        <v>3688</v>
      </c>
      <c r="E1890" s="120" t="s">
        <v>514</v>
      </c>
      <c r="F1890" s="120" t="s">
        <v>101</v>
      </c>
      <c r="G1890" s="120">
        <v>1</v>
      </c>
      <c r="H1890">
        <v>0</v>
      </c>
      <c r="I1890" s="120" t="s">
        <v>57</v>
      </c>
      <c r="J1890">
        <v>1</v>
      </c>
      <c r="K1890">
        <v>0</v>
      </c>
      <c r="L1890">
        <v>0</v>
      </c>
      <c r="M1890">
        <v>0</v>
      </c>
      <c r="N1890">
        <v>0</v>
      </c>
    </row>
    <row r="1891" spans="1:14" hidden="1" x14ac:dyDescent="0.25">
      <c r="A1891" s="120" t="s">
        <v>3591</v>
      </c>
      <c r="B1891" s="120" t="s">
        <v>3709</v>
      </c>
      <c r="C1891" s="120" t="s">
        <v>69</v>
      </c>
      <c r="D1891" s="120" t="s">
        <v>3499</v>
      </c>
      <c r="E1891" s="120" t="s">
        <v>516</v>
      </c>
      <c r="F1891" s="120" t="s">
        <v>18</v>
      </c>
      <c r="G1891" s="120">
        <v>0</v>
      </c>
      <c r="H1891">
        <v>0</v>
      </c>
      <c r="I1891" s="120" t="s">
        <v>57</v>
      </c>
      <c r="J1891">
        <v>0</v>
      </c>
      <c r="K1891">
        <v>1</v>
      </c>
      <c r="L1891" s="121">
        <v>0</v>
      </c>
      <c r="M1891" s="121">
        <v>0</v>
      </c>
      <c r="N1891" s="121">
        <v>0</v>
      </c>
    </row>
    <row r="1892" spans="1:14" hidden="1" x14ac:dyDescent="0.25">
      <c r="A1892" s="120" t="s">
        <v>3591</v>
      </c>
      <c r="B1892" s="120" t="s">
        <v>3709</v>
      </c>
      <c r="C1892" s="120" t="s">
        <v>69</v>
      </c>
      <c r="D1892" s="120" t="s">
        <v>3501</v>
      </c>
      <c r="E1892" s="120" t="s">
        <v>3038</v>
      </c>
      <c r="F1892" s="120" t="s">
        <v>18</v>
      </c>
      <c r="G1892" s="120">
        <v>2</v>
      </c>
      <c r="H1892">
        <v>0</v>
      </c>
      <c r="I1892" s="120" t="s">
        <v>57</v>
      </c>
      <c r="J1892">
        <v>2</v>
      </c>
      <c r="K1892">
        <v>0</v>
      </c>
      <c r="L1892">
        <v>0</v>
      </c>
      <c r="M1892">
        <v>0</v>
      </c>
      <c r="N1892">
        <v>0</v>
      </c>
    </row>
    <row r="1893" spans="1:14" hidden="1" x14ac:dyDescent="0.25">
      <c r="A1893" s="120" t="s">
        <v>3591</v>
      </c>
      <c r="B1893" s="120" t="s">
        <v>3709</v>
      </c>
      <c r="C1893" s="120" t="s">
        <v>69</v>
      </c>
      <c r="D1893" s="120" t="s">
        <v>723</v>
      </c>
      <c r="E1893" s="120" t="s">
        <v>724</v>
      </c>
      <c r="F1893" s="120" t="s">
        <v>18</v>
      </c>
      <c r="G1893" s="120">
        <v>2</v>
      </c>
      <c r="H1893">
        <v>2</v>
      </c>
      <c r="I1893" s="120" t="s">
        <v>57</v>
      </c>
      <c r="J1893">
        <v>0</v>
      </c>
      <c r="K1893">
        <v>1</v>
      </c>
      <c r="L1893" s="121">
        <v>203.9</v>
      </c>
      <c r="M1893" s="121">
        <v>407.8</v>
      </c>
      <c r="N1893" s="121">
        <v>407.8</v>
      </c>
    </row>
    <row r="1894" spans="1:14" hidden="1" x14ac:dyDescent="0.25">
      <c r="A1894" s="120" t="s">
        <v>3591</v>
      </c>
      <c r="B1894" s="120" t="s">
        <v>3709</v>
      </c>
      <c r="C1894" s="120" t="s">
        <v>69</v>
      </c>
      <c r="D1894" s="120" t="s">
        <v>739</v>
      </c>
      <c r="E1894" s="120" t="s">
        <v>271</v>
      </c>
      <c r="F1894" s="120" t="s">
        <v>14</v>
      </c>
      <c r="G1894" s="120">
        <v>7</v>
      </c>
      <c r="H1894">
        <v>12</v>
      </c>
      <c r="I1894" s="120" t="s">
        <v>57</v>
      </c>
      <c r="J1894">
        <v>-5</v>
      </c>
      <c r="K1894">
        <v>0</v>
      </c>
      <c r="L1894">
        <v>24.5</v>
      </c>
      <c r="M1894">
        <v>171.5</v>
      </c>
      <c r="N1894">
        <v>294</v>
      </c>
    </row>
    <row r="1895" spans="1:14" hidden="1" x14ac:dyDescent="0.25">
      <c r="A1895" s="120" t="s">
        <v>3591</v>
      </c>
      <c r="B1895" s="120" t="s">
        <v>3709</v>
      </c>
      <c r="C1895" s="120" t="s">
        <v>69</v>
      </c>
      <c r="D1895" s="120" t="s">
        <v>3690</v>
      </c>
      <c r="E1895" s="120" t="s">
        <v>520</v>
      </c>
      <c r="F1895" s="120" t="s">
        <v>14</v>
      </c>
      <c r="G1895" s="120">
        <v>0</v>
      </c>
      <c r="H1895">
        <v>0</v>
      </c>
      <c r="I1895" s="120" t="s">
        <v>57</v>
      </c>
      <c r="J1895">
        <v>0</v>
      </c>
      <c r="K1895">
        <v>1</v>
      </c>
      <c r="L1895" s="121">
        <v>0</v>
      </c>
      <c r="M1895" s="121">
        <v>0</v>
      </c>
      <c r="N1895" s="121">
        <v>0</v>
      </c>
    </row>
    <row r="1896" spans="1:14" hidden="1" x14ac:dyDescent="0.25">
      <c r="A1896" s="120" t="s">
        <v>3591</v>
      </c>
      <c r="B1896" s="120" t="s">
        <v>3709</v>
      </c>
      <c r="C1896" s="120" t="s">
        <v>69</v>
      </c>
      <c r="D1896" s="120" t="s">
        <v>3582</v>
      </c>
      <c r="E1896" s="120" t="s">
        <v>282</v>
      </c>
      <c r="F1896" s="120" t="s">
        <v>18</v>
      </c>
      <c r="G1896" s="120">
        <v>0</v>
      </c>
      <c r="H1896">
        <v>0</v>
      </c>
      <c r="I1896" s="120" t="s">
        <v>57</v>
      </c>
      <c r="J1896">
        <v>0</v>
      </c>
      <c r="K1896">
        <v>1</v>
      </c>
      <c r="L1896" s="121">
        <v>0</v>
      </c>
      <c r="M1896" s="121">
        <v>0</v>
      </c>
      <c r="N1896" s="121">
        <v>0</v>
      </c>
    </row>
    <row r="1897" spans="1:14" hidden="1" x14ac:dyDescent="0.25">
      <c r="A1897" s="120" t="s">
        <v>3591</v>
      </c>
      <c r="B1897" s="120" t="s">
        <v>3709</v>
      </c>
      <c r="C1897" s="120" t="s">
        <v>69</v>
      </c>
      <c r="D1897" s="120" t="s">
        <v>3509</v>
      </c>
      <c r="E1897" s="120" t="s">
        <v>116</v>
      </c>
      <c r="F1897" s="120" t="s">
        <v>14</v>
      </c>
      <c r="G1897" s="120">
        <v>0</v>
      </c>
      <c r="H1897">
        <v>0</v>
      </c>
      <c r="I1897" s="120" t="s">
        <v>57</v>
      </c>
      <c r="J1897">
        <v>0</v>
      </c>
      <c r="K1897">
        <v>1</v>
      </c>
      <c r="L1897" s="121">
        <v>0</v>
      </c>
      <c r="M1897" s="121">
        <v>0</v>
      </c>
      <c r="N1897" s="121">
        <v>0</v>
      </c>
    </row>
    <row r="1898" spans="1:14" x14ac:dyDescent="0.25">
      <c r="A1898" s="120" t="s">
        <v>3758</v>
      </c>
      <c r="B1898" s="120" t="s">
        <v>3759</v>
      </c>
      <c r="C1898" s="120" t="s">
        <v>301</v>
      </c>
      <c r="D1898" s="120" t="s">
        <v>3593</v>
      </c>
      <c r="E1898" s="120" t="s">
        <v>376</v>
      </c>
      <c r="F1898" s="120" t="s">
        <v>10</v>
      </c>
      <c r="G1898" s="120">
        <v>66</v>
      </c>
      <c r="H1898">
        <v>0</v>
      </c>
      <c r="I1898" s="120" t="s">
        <v>11</v>
      </c>
      <c r="J1898">
        <v>66</v>
      </c>
      <c r="K1898">
        <v>0</v>
      </c>
      <c r="L1898">
        <v>0</v>
      </c>
      <c r="M1898">
        <v>0</v>
      </c>
      <c r="N1898">
        <v>0</v>
      </c>
    </row>
    <row r="1899" spans="1:14" hidden="1" x14ac:dyDescent="0.25">
      <c r="A1899" s="120" t="s">
        <v>3591</v>
      </c>
      <c r="B1899" s="120" t="s">
        <v>3698</v>
      </c>
      <c r="C1899" s="120" t="s">
        <v>301</v>
      </c>
      <c r="D1899" s="120" t="s">
        <v>1772</v>
      </c>
      <c r="E1899" s="120" t="s">
        <v>1773</v>
      </c>
      <c r="F1899" s="120" t="s">
        <v>14</v>
      </c>
      <c r="G1899" s="120">
        <v>0</v>
      </c>
      <c r="H1899">
        <v>0</v>
      </c>
      <c r="I1899" s="120" t="s">
        <v>57</v>
      </c>
      <c r="J1899">
        <v>0</v>
      </c>
      <c r="K1899">
        <v>1</v>
      </c>
      <c r="L1899" s="121">
        <v>9.8000000000000007</v>
      </c>
      <c r="M1899" s="121">
        <v>0</v>
      </c>
      <c r="N1899" s="121">
        <v>0</v>
      </c>
    </row>
    <row r="1900" spans="1:14" hidden="1" x14ac:dyDescent="0.25">
      <c r="A1900" s="120" t="s">
        <v>3591</v>
      </c>
      <c r="B1900" s="120" t="s">
        <v>3698</v>
      </c>
      <c r="C1900" s="120" t="s">
        <v>301</v>
      </c>
      <c r="D1900" s="120" t="s">
        <v>3677</v>
      </c>
      <c r="E1900" s="120" t="s">
        <v>498</v>
      </c>
      <c r="F1900" s="120" t="s">
        <v>14</v>
      </c>
      <c r="G1900" s="120">
        <v>0</v>
      </c>
      <c r="H1900">
        <v>0</v>
      </c>
      <c r="I1900" s="120" t="s">
        <v>57</v>
      </c>
      <c r="J1900">
        <v>0</v>
      </c>
      <c r="K1900">
        <v>1</v>
      </c>
      <c r="L1900" s="121">
        <v>0</v>
      </c>
      <c r="M1900" s="121">
        <v>0</v>
      </c>
      <c r="N1900" s="121">
        <v>0</v>
      </c>
    </row>
    <row r="1901" spans="1:14" x14ac:dyDescent="0.25">
      <c r="A1901" s="120" t="s">
        <v>3758</v>
      </c>
      <c r="B1901" s="120" t="s">
        <v>3759</v>
      </c>
      <c r="C1901" s="120" t="s">
        <v>301</v>
      </c>
      <c r="D1901" s="120" t="s">
        <v>3713</v>
      </c>
      <c r="E1901" s="120" t="s">
        <v>1919</v>
      </c>
      <c r="F1901" s="120" t="s">
        <v>18</v>
      </c>
      <c r="G1901" s="120">
        <v>1</v>
      </c>
      <c r="H1901">
        <v>0</v>
      </c>
      <c r="I1901" s="120" t="s">
        <v>57</v>
      </c>
      <c r="J1901">
        <v>1</v>
      </c>
      <c r="K1901">
        <v>0</v>
      </c>
      <c r="L1901">
        <v>0</v>
      </c>
      <c r="M1901">
        <v>0</v>
      </c>
      <c r="N1901">
        <v>0</v>
      </c>
    </row>
    <row r="1902" spans="1:14" x14ac:dyDescent="0.25">
      <c r="A1902" s="120" t="s">
        <v>3758</v>
      </c>
      <c r="B1902" s="120" t="s">
        <v>3759</v>
      </c>
      <c r="C1902" s="120" t="s">
        <v>301</v>
      </c>
      <c r="D1902" s="120" t="s">
        <v>3714</v>
      </c>
      <c r="E1902" s="120" t="s">
        <v>1924</v>
      </c>
      <c r="F1902" s="120" t="s">
        <v>18</v>
      </c>
      <c r="G1902" s="120">
        <v>6</v>
      </c>
      <c r="H1902">
        <v>0</v>
      </c>
      <c r="I1902" s="120" t="s">
        <v>57</v>
      </c>
      <c r="J1902">
        <v>6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 s="120" t="s">
        <v>3758</v>
      </c>
      <c r="B1903" s="120" t="s">
        <v>3759</v>
      </c>
      <c r="C1903" s="120" t="s">
        <v>301</v>
      </c>
      <c r="D1903" s="120" t="s">
        <v>3601</v>
      </c>
      <c r="E1903" s="120" t="s">
        <v>390</v>
      </c>
      <c r="F1903" s="120" t="s">
        <v>14</v>
      </c>
      <c r="G1903" s="120">
        <v>1</v>
      </c>
      <c r="H1903">
        <v>0</v>
      </c>
      <c r="I1903" s="120" t="s">
        <v>57</v>
      </c>
      <c r="J1903">
        <v>1</v>
      </c>
      <c r="K1903">
        <v>0</v>
      </c>
      <c r="L1903">
        <v>0</v>
      </c>
      <c r="M1903">
        <v>0</v>
      </c>
      <c r="N1903">
        <v>0</v>
      </c>
    </row>
    <row r="1904" spans="1:14" x14ac:dyDescent="0.25">
      <c r="A1904" s="120" t="s">
        <v>3758</v>
      </c>
      <c r="B1904" s="120" t="s">
        <v>3759</v>
      </c>
      <c r="C1904" s="120" t="s">
        <v>301</v>
      </c>
      <c r="D1904" s="120" t="s">
        <v>3602</v>
      </c>
      <c r="E1904" s="120" t="s">
        <v>391</v>
      </c>
      <c r="F1904" s="120" t="s">
        <v>14</v>
      </c>
      <c r="G1904" s="120">
        <v>1</v>
      </c>
      <c r="H1904">
        <v>0</v>
      </c>
      <c r="I1904" s="120" t="s">
        <v>57</v>
      </c>
      <c r="J1904">
        <v>1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 s="120" t="s">
        <v>3758</v>
      </c>
      <c r="B1905" s="120" t="s">
        <v>3759</v>
      </c>
      <c r="C1905" s="120" t="s">
        <v>301</v>
      </c>
      <c r="D1905" s="120" t="s">
        <v>606</v>
      </c>
      <c r="E1905" s="120" t="s">
        <v>607</v>
      </c>
      <c r="F1905" s="120" t="s">
        <v>10</v>
      </c>
      <c r="G1905" s="120">
        <v>16</v>
      </c>
      <c r="H1905">
        <v>4</v>
      </c>
      <c r="I1905" s="120" t="s">
        <v>47</v>
      </c>
      <c r="J1905">
        <v>12</v>
      </c>
      <c r="K1905">
        <v>0</v>
      </c>
      <c r="L1905">
        <v>12</v>
      </c>
      <c r="M1905">
        <v>192</v>
      </c>
      <c r="N1905">
        <v>48</v>
      </c>
    </row>
    <row r="1906" spans="1:14" x14ac:dyDescent="0.25">
      <c r="A1906" s="120" t="s">
        <v>3758</v>
      </c>
      <c r="B1906" s="120" t="s">
        <v>3759</v>
      </c>
      <c r="C1906" s="120" t="s">
        <v>301</v>
      </c>
      <c r="D1906" s="120" t="s">
        <v>608</v>
      </c>
      <c r="E1906" s="120" t="s">
        <v>609</v>
      </c>
      <c r="F1906" s="120" t="s">
        <v>18</v>
      </c>
      <c r="G1906" s="120">
        <v>11</v>
      </c>
      <c r="H1906">
        <v>4</v>
      </c>
      <c r="I1906" s="120" t="s">
        <v>57</v>
      </c>
      <c r="J1906">
        <v>7</v>
      </c>
      <c r="K1906">
        <v>0</v>
      </c>
      <c r="L1906">
        <v>11</v>
      </c>
      <c r="M1906">
        <v>121</v>
      </c>
      <c r="N1906">
        <v>44</v>
      </c>
    </row>
    <row r="1907" spans="1:14" x14ac:dyDescent="0.25">
      <c r="A1907" s="120" t="s">
        <v>3758</v>
      </c>
      <c r="B1907" s="120" t="s">
        <v>3759</v>
      </c>
      <c r="C1907" s="120" t="s">
        <v>301</v>
      </c>
      <c r="D1907" s="120" t="s">
        <v>610</v>
      </c>
      <c r="E1907" s="120" t="s">
        <v>611</v>
      </c>
      <c r="F1907" s="120" t="s">
        <v>18</v>
      </c>
      <c r="G1907" s="120">
        <v>56</v>
      </c>
      <c r="H1907">
        <v>3</v>
      </c>
      <c r="I1907" s="120" t="s">
        <v>11</v>
      </c>
      <c r="J1907">
        <v>53</v>
      </c>
      <c r="K1907">
        <v>0</v>
      </c>
      <c r="L1907">
        <v>17.333300000000001</v>
      </c>
      <c r="M1907">
        <v>970.66480000000001</v>
      </c>
      <c r="N1907">
        <v>51.999900000000004</v>
      </c>
    </row>
    <row r="1908" spans="1:14" hidden="1" x14ac:dyDescent="0.25">
      <c r="A1908" s="120" t="s">
        <v>3591</v>
      </c>
      <c r="B1908" s="120" t="s">
        <v>3698</v>
      </c>
      <c r="C1908" s="120" t="s">
        <v>301</v>
      </c>
      <c r="D1908" s="120" t="s">
        <v>3678</v>
      </c>
      <c r="E1908" s="120" t="s">
        <v>499</v>
      </c>
      <c r="F1908" s="120" t="s">
        <v>18</v>
      </c>
      <c r="G1908" s="120">
        <v>0</v>
      </c>
      <c r="H1908">
        <v>0</v>
      </c>
      <c r="I1908" s="120" t="s">
        <v>57</v>
      </c>
      <c r="J1908">
        <v>0</v>
      </c>
      <c r="K1908">
        <v>1</v>
      </c>
      <c r="L1908" s="121">
        <v>0</v>
      </c>
      <c r="M1908" s="121">
        <v>0</v>
      </c>
      <c r="N1908" s="121">
        <v>0</v>
      </c>
    </row>
    <row r="1909" spans="1:14" x14ac:dyDescent="0.25">
      <c r="A1909" s="120" t="s">
        <v>3758</v>
      </c>
      <c r="B1909" s="120" t="s">
        <v>3759</v>
      </c>
      <c r="C1909" s="120" t="s">
        <v>301</v>
      </c>
      <c r="D1909" s="120" t="s">
        <v>630</v>
      </c>
      <c r="E1909" s="120" t="s">
        <v>631</v>
      </c>
      <c r="F1909" s="120" t="s">
        <v>18</v>
      </c>
      <c r="G1909" s="120">
        <v>12</v>
      </c>
      <c r="H1909">
        <v>10</v>
      </c>
      <c r="I1909" s="120" t="s">
        <v>47</v>
      </c>
      <c r="J1909">
        <v>2</v>
      </c>
      <c r="K1909">
        <v>0</v>
      </c>
      <c r="L1909">
        <v>14.9</v>
      </c>
      <c r="M1909">
        <v>178.8</v>
      </c>
      <c r="N1909">
        <v>149</v>
      </c>
    </row>
    <row r="1910" spans="1:14" x14ac:dyDescent="0.25">
      <c r="A1910" s="120" t="s">
        <v>3758</v>
      </c>
      <c r="B1910" s="120" t="s">
        <v>3759</v>
      </c>
      <c r="C1910" s="120" t="s">
        <v>301</v>
      </c>
      <c r="D1910" s="120" t="s">
        <v>634</v>
      </c>
      <c r="E1910" s="120" t="s">
        <v>136</v>
      </c>
      <c r="F1910" s="120" t="s">
        <v>18</v>
      </c>
      <c r="G1910" s="120">
        <v>35</v>
      </c>
      <c r="H1910">
        <v>36</v>
      </c>
      <c r="I1910" s="120" t="s">
        <v>11</v>
      </c>
      <c r="J1910">
        <v>-1</v>
      </c>
      <c r="K1910">
        <v>0</v>
      </c>
      <c r="L1910">
        <v>6.9</v>
      </c>
      <c r="M1910">
        <v>241.5</v>
      </c>
      <c r="N1910">
        <v>248.4</v>
      </c>
    </row>
    <row r="1911" spans="1:14" hidden="1" x14ac:dyDescent="0.25">
      <c r="A1911" s="120" t="s">
        <v>3591</v>
      </c>
      <c r="B1911" s="120" t="s">
        <v>3698</v>
      </c>
      <c r="C1911" s="120" t="s">
        <v>301</v>
      </c>
      <c r="D1911" s="120" t="s">
        <v>3679</v>
      </c>
      <c r="E1911" s="120" t="s">
        <v>500</v>
      </c>
      <c r="F1911" s="120" t="s">
        <v>18</v>
      </c>
      <c r="G1911" s="120">
        <v>0</v>
      </c>
      <c r="H1911">
        <v>0</v>
      </c>
      <c r="I1911" s="120" t="s">
        <v>57</v>
      </c>
      <c r="J1911">
        <v>0</v>
      </c>
      <c r="K1911">
        <v>1</v>
      </c>
      <c r="L1911" s="121">
        <v>0</v>
      </c>
      <c r="M1911" s="121">
        <v>0</v>
      </c>
      <c r="N1911" s="121">
        <v>0</v>
      </c>
    </row>
    <row r="1912" spans="1:14" hidden="1" x14ac:dyDescent="0.25">
      <c r="A1912" s="120" t="s">
        <v>3591</v>
      </c>
      <c r="B1912" s="120" t="s">
        <v>3701</v>
      </c>
      <c r="C1912" s="120" t="s">
        <v>301</v>
      </c>
      <c r="D1912" s="120" t="s">
        <v>542</v>
      </c>
      <c r="E1912" s="120" t="s">
        <v>9</v>
      </c>
      <c r="F1912" s="120" t="s">
        <v>10</v>
      </c>
      <c r="G1912" s="120">
        <v>7</v>
      </c>
      <c r="H1912">
        <v>7</v>
      </c>
      <c r="I1912" s="120" t="s">
        <v>11</v>
      </c>
      <c r="J1912">
        <v>0</v>
      </c>
      <c r="K1912">
        <v>1</v>
      </c>
      <c r="L1912" s="121">
        <v>35</v>
      </c>
      <c r="M1912" s="121">
        <v>245</v>
      </c>
      <c r="N1912" s="121">
        <v>245</v>
      </c>
    </row>
    <row r="1913" spans="1:14" x14ac:dyDescent="0.25">
      <c r="A1913" s="120" t="s">
        <v>3758</v>
      </c>
      <c r="B1913" s="120" t="s">
        <v>3759</v>
      </c>
      <c r="C1913" s="120" t="s">
        <v>301</v>
      </c>
      <c r="D1913" s="120" t="s">
        <v>3609</v>
      </c>
      <c r="E1913" s="120" t="s">
        <v>400</v>
      </c>
      <c r="F1913" s="120" t="s">
        <v>10</v>
      </c>
      <c r="G1913" s="120">
        <v>25</v>
      </c>
      <c r="H1913">
        <v>0</v>
      </c>
      <c r="I1913" s="120" t="s">
        <v>47</v>
      </c>
      <c r="J1913">
        <v>25</v>
      </c>
      <c r="K1913">
        <v>0</v>
      </c>
      <c r="L1913">
        <v>0</v>
      </c>
      <c r="M1913">
        <v>0</v>
      </c>
      <c r="N1913">
        <v>0</v>
      </c>
    </row>
    <row r="1914" spans="1:14" hidden="1" x14ac:dyDescent="0.25">
      <c r="A1914" s="120" t="s">
        <v>3591</v>
      </c>
      <c r="B1914" s="120" t="s">
        <v>3701</v>
      </c>
      <c r="C1914" s="120" t="s">
        <v>301</v>
      </c>
      <c r="D1914" s="120" t="s">
        <v>543</v>
      </c>
      <c r="E1914" s="120" t="s">
        <v>12</v>
      </c>
      <c r="F1914" s="120" t="s">
        <v>10</v>
      </c>
      <c r="G1914" s="120">
        <v>3</v>
      </c>
      <c r="H1914">
        <v>3</v>
      </c>
      <c r="I1914" s="120" t="s">
        <v>11</v>
      </c>
      <c r="J1914">
        <v>0</v>
      </c>
      <c r="K1914">
        <v>1</v>
      </c>
      <c r="L1914" s="121">
        <v>35</v>
      </c>
      <c r="M1914" s="121">
        <v>105</v>
      </c>
      <c r="N1914" s="121">
        <v>105</v>
      </c>
    </row>
    <row r="1915" spans="1:14" x14ac:dyDescent="0.25">
      <c r="A1915" s="120" t="s">
        <v>3758</v>
      </c>
      <c r="B1915" s="120" t="s">
        <v>3759</v>
      </c>
      <c r="C1915" s="120" t="s">
        <v>301</v>
      </c>
      <c r="D1915" s="120" t="s">
        <v>3636</v>
      </c>
      <c r="E1915" s="120" t="s">
        <v>438</v>
      </c>
      <c r="F1915" s="120" t="s">
        <v>18</v>
      </c>
      <c r="G1915" s="120">
        <v>43</v>
      </c>
      <c r="H1915">
        <v>0</v>
      </c>
      <c r="I1915" s="120" t="s">
        <v>11</v>
      </c>
      <c r="J1915">
        <v>43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 s="120" t="s">
        <v>3758</v>
      </c>
      <c r="B1916" s="120" t="s">
        <v>3759</v>
      </c>
      <c r="C1916" s="120" t="s">
        <v>301</v>
      </c>
      <c r="D1916" s="120" t="s">
        <v>3718</v>
      </c>
      <c r="E1916" s="120" t="s">
        <v>2063</v>
      </c>
      <c r="F1916" s="120" t="s">
        <v>101</v>
      </c>
      <c r="G1916" s="120">
        <v>1</v>
      </c>
      <c r="H1916">
        <v>0</v>
      </c>
      <c r="I1916" s="120" t="s">
        <v>57</v>
      </c>
      <c r="J1916">
        <v>1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 s="120" t="s">
        <v>3758</v>
      </c>
      <c r="B1917" s="120" t="s">
        <v>3759</v>
      </c>
      <c r="C1917" s="120" t="s">
        <v>301</v>
      </c>
      <c r="D1917" s="120" t="s">
        <v>3720</v>
      </c>
      <c r="E1917" s="120" t="s">
        <v>2094</v>
      </c>
      <c r="F1917" s="120" t="s">
        <v>3721</v>
      </c>
      <c r="G1917" s="120">
        <v>1</v>
      </c>
      <c r="H1917">
        <v>0</v>
      </c>
      <c r="I1917" s="120" t="s">
        <v>57</v>
      </c>
      <c r="J1917">
        <v>1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 s="120" t="s">
        <v>3758</v>
      </c>
      <c r="B1918" s="120" t="s">
        <v>3759</v>
      </c>
      <c r="C1918" s="120" t="s">
        <v>301</v>
      </c>
      <c r="D1918" s="120" t="s">
        <v>3722</v>
      </c>
      <c r="E1918" s="120" t="s">
        <v>1799</v>
      </c>
      <c r="F1918" s="120" t="s">
        <v>10</v>
      </c>
      <c r="G1918" s="120">
        <v>2</v>
      </c>
      <c r="H1918">
        <v>0</v>
      </c>
      <c r="I1918" s="120" t="s">
        <v>57</v>
      </c>
      <c r="J1918">
        <v>2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 s="120" t="s">
        <v>3758</v>
      </c>
      <c r="B1919" s="120" t="s">
        <v>3759</v>
      </c>
      <c r="C1919" s="120" t="s">
        <v>301</v>
      </c>
      <c r="D1919" s="120" t="s">
        <v>3723</v>
      </c>
      <c r="E1919" s="120" t="s">
        <v>1800</v>
      </c>
      <c r="F1919" s="120" t="s">
        <v>10</v>
      </c>
      <c r="G1919" s="120">
        <v>2</v>
      </c>
      <c r="H1919">
        <v>0</v>
      </c>
      <c r="I1919" s="120" t="s">
        <v>57</v>
      </c>
      <c r="J1919">
        <v>2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 s="120" t="s">
        <v>3758</v>
      </c>
      <c r="B1920" s="120" t="s">
        <v>3759</v>
      </c>
      <c r="C1920" s="120" t="s">
        <v>301</v>
      </c>
      <c r="D1920" s="120" t="s">
        <v>3724</v>
      </c>
      <c r="E1920" s="120" t="s">
        <v>2102</v>
      </c>
      <c r="F1920" s="120" t="s">
        <v>10</v>
      </c>
      <c r="G1920" s="120">
        <v>2</v>
      </c>
      <c r="H1920">
        <v>0</v>
      </c>
      <c r="I1920" s="120" t="s">
        <v>57</v>
      </c>
      <c r="J1920">
        <v>2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 s="120" t="s">
        <v>3758</v>
      </c>
      <c r="B1921" s="120" t="s">
        <v>3759</v>
      </c>
      <c r="C1921" s="120" t="s">
        <v>301</v>
      </c>
      <c r="D1921" s="120" t="s">
        <v>3726</v>
      </c>
      <c r="E1921" s="120" t="s">
        <v>2129</v>
      </c>
      <c r="F1921" s="120" t="s">
        <v>14</v>
      </c>
      <c r="G1921" s="120">
        <v>4</v>
      </c>
      <c r="H1921">
        <v>0</v>
      </c>
      <c r="I1921" s="120" t="s">
        <v>57</v>
      </c>
      <c r="J1921">
        <v>4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s="120" t="s">
        <v>3758</v>
      </c>
      <c r="B1922" s="120" t="s">
        <v>3759</v>
      </c>
      <c r="C1922" s="120" t="s">
        <v>301</v>
      </c>
      <c r="D1922" s="120" t="s">
        <v>3640</v>
      </c>
      <c r="E1922" s="120" t="s">
        <v>445</v>
      </c>
      <c r="F1922" s="120" t="s">
        <v>10</v>
      </c>
      <c r="G1922" s="120">
        <v>16</v>
      </c>
      <c r="H1922">
        <v>0</v>
      </c>
      <c r="I1922" s="120" t="s">
        <v>47</v>
      </c>
      <c r="J1922">
        <v>16</v>
      </c>
      <c r="K1922">
        <v>0</v>
      </c>
      <c r="L1922">
        <v>0</v>
      </c>
      <c r="M1922">
        <v>0</v>
      </c>
      <c r="N1922">
        <v>0</v>
      </c>
    </row>
    <row r="1923" spans="1:14" hidden="1" x14ac:dyDescent="0.25">
      <c r="A1923" s="120" t="s">
        <v>3591</v>
      </c>
      <c r="B1923" s="120" t="s">
        <v>3701</v>
      </c>
      <c r="C1923" s="120" t="s">
        <v>301</v>
      </c>
      <c r="D1923" s="120" t="s">
        <v>561</v>
      </c>
      <c r="E1923" s="120" t="s">
        <v>384</v>
      </c>
      <c r="F1923" s="120" t="s">
        <v>14</v>
      </c>
      <c r="G1923" s="120">
        <v>1</v>
      </c>
      <c r="H1923">
        <v>1</v>
      </c>
      <c r="I1923" s="120" t="s">
        <v>11</v>
      </c>
      <c r="J1923">
        <v>0</v>
      </c>
      <c r="K1923">
        <v>1</v>
      </c>
      <c r="L1923" s="121">
        <v>18</v>
      </c>
      <c r="M1923" s="121">
        <v>18</v>
      </c>
      <c r="N1923" s="121">
        <v>18</v>
      </c>
    </row>
    <row r="1924" spans="1:14" x14ac:dyDescent="0.25">
      <c r="A1924" s="120" t="s">
        <v>3758</v>
      </c>
      <c r="B1924" s="120" t="s">
        <v>3759</v>
      </c>
      <c r="C1924" s="120" t="s">
        <v>301</v>
      </c>
      <c r="D1924" s="120" t="s">
        <v>3730</v>
      </c>
      <c r="E1924" s="120" t="s">
        <v>2425</v>
      </c>
      <c r="F1924" s="120" t="s">
        <v>18</v>
      </c>
      <c r="G1924" s="120">
        <v>6</v>
      </c>
      <c r="H1924">
        <v>0</v>
      </c>
      <c r="I1924" s="120" t="s">
        <v>57</v>
      </c>
      <c r="J1924">
        <v>6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 s="120" t="s">
        <v>3758</v>
      </c>
      <c r="B1925" s="120" t="s">
        <v>3759</v>
      </c>
      <c r="C1925" s="120" t="s">
        <v>301</v>
      </c>
      <c r="D1925" s="120" t="s">
        <v>3474</v>
      </c>
      <c r="E1925" s="120" t="s">
        <v>36</v>
      </c>
      <c r="F1925" s="120" t="s">
        <v>14</v>
      </c>
      <c r="G1925" s="120">
        <v>20</v>
      </c>
      <c r="H1925">
        <v>0</v>
      </c>
      <c r="I1925" s="120" t="s">
        <v>47</v>
      </c>
      <c r="J1925">
        <v>20</v>
      </c>
      <c r="K1925">
        <v>0</v>
      </c>
      <c r="L1925">
        <v>0</v>
      </c>
      <c r="M1925">
        <v>0</v>
      </c>
      <c r="N1925">
        <v>0</v>
      </c>
    </row>
    <row r="1926" spans="1:14" hidden="1" x14ac:dyDescent="0.25">
      <c r="A1926" s="120" t="s">
        <v>3591</v>
      </c>
      <c r="B1926" s="120" t="s">
        <v>3701</v>
      </c>
      <c r="C1926" s="120" t="s">
        <v>301</v>
      </c>
      <c r="D1926" s="120" t="s">
        <v>563</v>
      </c>
      <c r="E1926" s="120" t="s">
        <v>388</v>
      </c>
      <c r="F1926" s="120" t="s">
        <v>14</v>
      </c>
      <c r="G1926" s="120">
        <v>3</v>
      </c>
      <c r="H1926">
        <v>3</v>
      </c>
      <c r="I1926" s="120" t="s">
        <v>11</v>
      </c>
      <c r="J1926">
        <v>0</v>
      </c>
      <c r="K1926">
        <v>1</v>
      </c>
      <c r="L1926" s="121">
        <v>19</v>
      </c>
      <c r="M1926" s="121">
        <v>57</v>
      </c>
      <c r="N1926" s="121">
        <v>57</v>
      </c>
    </row>
    <row r="1927" spans="1:14" hidden="1" x14ac:dyDescent="0.25">
      <c r="A1927" s="120" t="s">
        <v>3591</v>
      </c>
      <c r="B1927" s="120" t="s">
        <v>3701</v>
      </c>
      <c r="C1927" s="120" t="s">
        <v>301</v>
      </c>
      <c r="D1927" s="120" t="s">
        <v>1178</v>
      </c>
      <c r="E1927" s="120" t="s">
        <v>43</v>
      </c>
      <c r="F1927" s="120" t="s">
        <v>10</v>
      </c>
      <c r="G1927" s="120">
        <v>3</v>
      </c>
      <c r="H1927">
        <v>3</v>
      </c>
      <c r="I1927" s="120" t="s">
        <v>11</v>
      </c>
      <c r="J1927">
        <v>0</v>
      </c>
      <c r="K1927">
        <v>1</v>
      </c>
      <c r="L1927" s="121">
        <v>17</v>
      </c>
      <c r="M1927" s="121">
        <v>51</v>
      </c>
      <c r="N1927" s="121">
        <v>51</v>
      </c>
    </row>
    <row r="1928" spans="1:14" x14ac:dyDescent="0.25">
      <c r="A1928" s="120" t="s">
        <v>3758</v>
      </c>
      <c r="B1928" s="120" t="s">
        <v>3759</v>
      </c>
      <c r="C1928" s="120" t="s">
        <v>301</v>
      </c>
      <c r="D1928" s="120" t="s">
        <v>3736</v>
      </c>
      <c r="E1928" s="120" t="s">
        <v>2464</v>
      </c>
      <c r="F1928" s="120" t="s">
        <v>14</v>
      </c>
      <c r="G1928" s="120">
        <v>15</v>
      </c>
      <c r="H1928">
        <v>0</v>
      </c>
      <c r="I1928" s="120" t="s">
        <v>47</v>
      </c>
      <c r="J1928">
        <v>15</v>
      </c>
      <c r="K1928">
        <v>0</v>
      </c>
      <c r="L1928">
        <v>0</v>
      </c>
      <c r="M1928">
        <v>0</v>
      </c>
      <c r="N1928">
        <v>0</v>
      </c>
    </row>
    <row r="1929" spans="1:14" hidden="1" x14ac:dyDescent="0.25">
      <c r="A1929" s="120" t="s">
        <v>3591</v>
      </c>
      <c r="B1929" s="120" t="s">
        <v>3701</v>
      </c>
      <c r="C1929" s="120" t="s">
        <v>301</v>
      </c>
      <c r="D1929" s="120" t="s">
        <v>1143</v>
      </c>
      <c r="E1929" s="120" t="s">
        <v>54</v>
      </c>
      <c r="F1929" s="120" t="s">
        <v>14</v>
      </c>
      <c r="G1929" s="120">
        <v>3</v>
      </c>
      <c r="H1929">
        <v>3</v>
      </c>
      <c r="I1929" s="120" t="s">
        <v>11</v>
      </c>
      <c r="J1929">
        <v>0</v>
      </c>
      <c r="K1929">
        <v>1</v>
      </c>
      <c r="L1929" s="121">
        <v>17</v>
      </c>
      <c r="M1929" s="121">
        <v>51</v>
      </c>
      <c r="N1929" s="121">
        <v>51</v>
      </c>
    </row>
    <row r="1930" spans="1:14" hidden="1" x14ac:dyDescent="0.25">
      <c r="A1930" s="120" t="s">
        <v>3591</v>
      </c>
      <c r="B1930" s="120" t="s">
        <v>3701</v>
      </c>
      <c r="C1930" s="120" t="s">
        <v>301</v>
      </c>
      <c r="D1930" s="120" t="s">
        <v>688</v>
      </c>
      <c r="E1930" s="120" t="s">
        <v>411</v>
      </c>
      <c r="F1930" s="120" t="s">
        <v>14</v>
      </c>
      <c r="G1930" s="120">
        <v>1</v>
      </c>
      <c r="H1930">
        <v>1</v>
      </c>
      <c r="I1930" s="120" t="s">
        <v>57</v>
      </c>
      <c r="J1930">
        <v>0</v>
      </c>
      <c r="K1930">
        <v>1</v>
      </c>
      <c r="L1930" s="121">
        <v>13.3</v>
      </c>
      <c r="M1930" s="121">
        <v>13.3</v>
      </c>
      <c r="N1930" s="121">
        <v>13.3</v>
      </c>
    </row>
    <row r="1931" spans="1:14" hidden="1" x14ac:dyDescent="0.25">
      <c r="A1931" s="120" t="s">
        <v>3591</v>
      </c>
      <c r="B1931" s="120" t="s">
        <v>3701</v>
      </c>
      <c r="C1931" s="120" t="s">
        <v>301</v>
      </c>
      <c r="D1931" s="120" t="s">
        <v>690</v>
      </c>
      <c r="E1931" s="120" t="s">
        <v>413</v>
      </c>
      <c r="F1931" s="120" t="s">
        <v>14</v>
      </c>
      <c r="G1931" s="120">
        <v>3</v>
      </c>
      <c r="H1931">
        <v>3</v>
      </c>
      <c r="I1931" s="120" t="s">
        <v>57</v>
      </c>
      <c r="J1931">
        <v>0</v>
      </c>
      <c r="K1931">
        <v>1</v>
      </c>
      <c r="L1931" s="121">
        <v>19</v>
      </c>
      <c r="M1931" s="121">
        <v>57</v>
      </c>
      <c r="N1931" s="121">
        <v>57</v>
      </c>
    </row>
    <row r="1932" spans="1:14" x14ac:dyDescent="0.25">
      <c r="A1932" s="120" t="s">
        <v>3758</v>
      </c>
      <c r="B1932" s="120" t="s">
        <v>3759</v>
      </c>
      <c r="C1932" s="120" t="s">
        <v>301</v>
      </c>
      <c r="D1932" s="120" t="s">
        <v>3737</v>
      </c>
      <c r="E1932" s="120" t="s">
        <v>1809</v>
      </c>
      <c r="F1932" s="120" t="s">
        <v>10</v>
      </c>
      <c r="G1932" s="120">
        <v>2</v>
      </c>
      <c r="H1932">
        <v>0</v>
      </c>
      <c r="I1932" s="120" t="s">
        <v>57</v>
      </c>
      <c r="J1932">
        <v>2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 s="120" t="s">
        <v>3758</v>
      </c>
      <c r="B1933" s="120" t="s">
        <v>3759</v>
      </c>
      <c r="C1933" s="120" t="s">
        <v>301</v>
      </c>
      <c r="D1933" s="120" t="s">
        <v>3738</v>
      </c>
      <c r="E1933" s="120" t="s">
        <v>2467</v>
      </c>
      <c r="F1933" s="120" t="s">
        <v>10</v>
      </c>
      <c r="G1933" s="120">
        <v>2</v>
      </c>
      <c r="H1933">
        <v>0</v>
      </c>
      <c r="I1933" s="120" t="s">
        <v>57</v>
      </c>
      <c r="J1933">
        <v>2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 s="120" t="s">
        <v>3758</v>
      </c>
      <c r="B1934" s="120" t="s">
        <v>3759</v>
      </c>
      <c r="C1934" s="120" t="s">
        <v>301</v>
      </c>
      <c r="D1934" s="120" t="s">
        <v>3739</v>
      </c>
      <c r="E1934" s="120" t="s">
        <v>1810</v>
      </c>
      <c r="F1934" s="120" t="s">
        <v>10</v>
      </c>
      <c r="G1934" s="120">
        <v>2</v>
      </c>
      <c r="H1934">
        <v>0</v>
      </c>
      <c r="I1934" s="120" t="s">
        <v>57</v>
      </c>
      <c r="J1934">
        <v>2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 s="120" t="s">
        <v>3758</v>
      </c>
      <c r="B1935" s="120" t="s">
        <v>3759</v>
      </c>
      <c r="C1935" s="120" t="s">
        <v>301</v>
      </c>
      <c r="D1935" s="120" t="s">
        <v>3743</v>
      </c>
      <c r="E1935" s="120" t="s">
        <v>1812</v>
      </c>
      <c r="F1935" s="120" t="s">
        <v>183</v>
      </c>
      <c r="G1935" s="120">
        <v>4</v>
      </c>
      <c r="H1935">
        <v>0</v>
      </c>
      <c r="I1935" s="120" t="s">
        <v>57</v>
      </c>
      <c r="J1935">
        <v>4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 s="120" t="s">
        <v>3758</v>
      </c>
      <c r="B1936" s="120" t="s">
        <v>3759</v>
      </c>
      <c r="C1936" s="120" t="s">
        <v>301</v>
      </c>
      <c r="D1936" s="120" t="s">
        <v>3744</v>
      </c>
      <c r="E1936" s="120" t="s">
        <v>2497</v>
      </c>
      <c r="F1936" s="120" t="s">
        <v>18</v>
      </c>
      <c r="G1936" s="120">
        <v>1</v>
      </c>
      <c r="H1936">
        <v>0</v>
      </c>
      <c r="I1936" s="120" t="s">
        <v>57</v>
      </c>
      <c r="J1936">
        <v>1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 s="120" t="s">
        <v>3758</v>
      </c>
      <c r="B1937" s="120" t="s">
        <v>3759</v>
      </c>
      <c r="C1937" s="120" t="s">
        <v>301</v>
      </c>
      <c r="D1937" s="120" t="s">
        <v>3745</v>
      </c>
      <c r="E1937" s="120" t="s">
        <v>1814</v>
      </c>
      <c r="F1937" s="120" t="s">
        <v>14</v>
      </c>
      <c r="G1937" s="120">
        <v>2</v>
      </c>
      <c r="H1937">
        <v>0</v>
      </c>
      <c r="I1937" s="120" t="s">
        <v>57</v>
      </c>
      <c r="J1937">
        <v>2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 s="120" t="s">
        <v>3758</v>
      </c>
      <c r="B1938" s="120" t="s">
        <v>3759</v>
      </c>
      <c r="C1938" s="120" t="s">
        <v>301</v>
      </c>
      <c r="D1938" s="120" t="s">
        <v>3748</v>
      </c>
      <c r="E1938" s="120" t="s">
        <v>2528</v>
      </c>
      <c r="F1938" s="120" t="s">
        <v>18</v>
      </c>
      <c r="G1938" s="120">
        <v>1</v>
      </c>
      <c r="H1938">
        <v>0</v>
      </c>
      <c r="I1938" s="120" t="s">
        <v>57</v>
      </c>
      <c r="J1938">
        <v>1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 s="120" t="s">
        <v>3758</v>
      </c>
      <c r="B1939" s="120" t="s">
        <v>3759</v>
      </c>
      <c r="C1939" s="120" t="s">
        <v>301</v>
      </c>
      <c r="D1939" s="120" t="s">
        <v>3749</v>
      </c>
      <c r="E1939" s="120" t="s">
        <v>2532</v>
      </c>
      <c r="F1939" s="120" t="s">
        <v>14</v>
      </c>
      <c r="G1939" s="120">
        <v>6</v>
      </c>
      <c r="H1939">
        <v>0</v>
      </c>
      <c r="I1939" s="120" t="s">
        <v>57</v>
      </c>
      <c r="J1939">
        <v>6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 s="120" t="s">
        <v>3758</v>
      </c>
      <c r="B1940" s="120" t="s">
        <v>3759</v>
      </c>
      <c r="C1940" s="120" t="s">
        <v>301</v>
      </c>
      <c r="D1940" s="120" t="s">
        <v>3750</v>
      </c>
      <c r="E1940" s="120" t="s">
        <v>1822</v>
      </c>
      <c r="F1940" s="120" t="s">
        <v>10</v>
      </c>
      <c r="G1940" s="120">
        <v>2</v>
      </c>
      <c r="H1940">
        <v>0</v>
      </c>
      <c r="I1940" s="120" t="s">
        <v>57</v>
      </c>
      <c r="J1940">
        <v>2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 s="120" t="s">
        <v>3758</v>
      </c>
      <c r="B1941" s="120" t="s">
        <v>3759</v>
      </c>
      <c r="C1941" s="120" t="s">
        <v>301</v>
      </c>
      <c r="D1941" s="120" t="s">
        <v>3705</v>
      </c>
      <c r="E1941" s="120" t="s">
        <v>2560</v>
      </c>
      <c r="F1941" s="120" t="s">
        <v>14</v>
      </c>
      <c r="G1941" s="120">
        <v>8</v>
      </c>
      <c r="H1941">
        <v>0</v>
      </c>
      <c r="I1941" s="120" t="s">
        <v>57</v>
      </c>
      <c r="J1941">
        <v>8</v>
      </c>
      <c r="K1941">
        <v>0</v>
      </c>
      <c r="L1941">
        <v>0</v>
      </c>
      <c r="M1941">
        <v>0</v>
      </c>
      <c r="N1941">
        <v>0</v>
      </c>
    </row>
    <row r="1942" spans="1:14" hidden="1" x14ac:dyDescent="0.25">
      <c r="A1942" s="120" t="s">
        <v>3591</v>
      </c>
      <c r="B1942" s="120" t="s">
        <v>3701</v>
      </c>
      <c r="C1942" s="120" t="s">
        <v>301</v>
      </c>
      <c r="D1942" s="120" t="s">
        <v>706</v>
      </c>
      <c r="E1942" s="120" t="s">
        <v>428</v>
      </c>
      <c r="F1942" s="120" t="s">
        <v>10</v>
      </c>
      <c r="G1942" s="120">
        <v>7</v>
      </c>
      <c r="H1942">
        <v>7</v>
      </c>
      <c r="I1942" s="120" t="s">
        <v>11</v>
      </c>
      <c r="J1942">
        <v>0</v>
      </c>
      <c r="K1942">
        <v>1</v>
      </c>
      <c r="L1942" s="121">
        <v>2.9</v>
      </c>
      <c r="M1942" s="121">
        <v>20.3</v>
      </c>
      <c r="N1942" s="121">
        <v>20.3</v>
      </c>
    </row>
    <row r="1943" spans="1:14" x14ac:dyDescent="0.25">
      <c r="A1943" s="120" t="s">
        <v>3758</v>
      </c>
      <c r="B1943" s="120" t="s">
        <v>3759</v>
      </c>
      <c r="C1943" s="120" t="s">
        <v>301</v>
      </c>
      <c r="D1943" s="120" t="s">
        <v>3752</v>
      </c>
      <c r="E1943" s="120" t="s">
        <v>2655</v>
      </c>
      <c r="F1943" s="120" t="s">
        <v>14</v>
      </c>
      <c r="G1943" s="120">
        <v>6</v>
      </c>
      <c r="H1943">
        <v>0</v>
      </c>
      <c r="I1943" s="120" t="s">
        <v>57</v>
      </c>
      <c r="J1943">
        <v>6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 s="120" t="s">
        <v>3758</v>
      </c>
      <c r="B1944" s="120" t="s">
        <v>3759</v>
      </c>
      <c r="C1944" s="120" t="s">
        <v>301</v>
      </c>
      <c r="D1944" s="120" t="s">
        <v>3753</v>
      </c>
      <c r="E1944" s="120" t="s">
        <v>1850</v>
      </c>
      <c r="F1944" s="120" t="s">
        <v>14</v>
      </c>
      <c r="G1944" s="120">
        <v>5</v>
      </c>
      <c r="H1944">
        <v>0</v>
      </c>
      <c r="I1944" s="120" t="s">
        <v>57</v>
      </c>
      <c r="J1944">
        <v>5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 s="120" t="s">
        <v>3758</v>
      </c>
      <c r="B1945" s="120" t="s">
        <v>3759</v>
      </c>
      <c r="C1945" s="120" t="s">
        <v>301</v>
      </c>
      <c r="D1945" s="120" t="s">
        <v>3754</v>
      </c>
      <c r="E1945" s="120" t="s">
        <v>2988</v>
      </c>
      <c r="F1945" s="120" t="s">
        <v>10</v>
      </c>
      <c r="G1945" s="120">
        <v>9</v>
      </c>
      <c r="H1945">
        <v>0</v>
      </c>
      <c r="I1945" s="120" t="s">
        <v>57</v>
      </c>
      <c r="J1945">
        <v>9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 s="120" t="s">
        <v>3758</v>
      </c>
      <c r="B1946" s="120" t="s">
        <v>3759</v>
      </c>
      <c r="C1946" s="120" t="s">
        <v>301</v>
      </c>
      <c r="D1946" s="120" t="s">
        <v>3486</v>
      </c>
      <c r="E1946" s="120" t="s">
        <v>68</v>
      </c>
      <c r="F1946" s="120" t="s">
        <v>10</v>
      </c>
      <c r="G1946" s="120">
        <v>24</v>
      </c>
      <c r="H1946">
        <v>0</v>
      </c>
      <c r="I1946" s="120" t="s">
        <v>47</v>
      </c>
      <c r="J1946">
        <v>24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 s="120" t="s">
        <v>3758</v>
      </c>
      <c r="B1947" s="120" t="s">
        <v>3759</v>
      </c>
      <c r="C1947" s="120" t="s">
        <v>69</v>
      </c>
      <c r="D1947" s="120" t="s">
        <v>533</v>
      </c>
      <c r="E1947" s="120" t="s">
        <v>534</v>
      </c>
      <c r="F1947" s="120" t="s">
        <v>18</v>
      </c>
      <c r="G1947" s="120">
        <v>2</v>
      </c>
      <c r="H1947">
        <v>1</v>
      </c>
      <c r="I1947" s="120" t="s">
        <v>57</v>
      </c>
      <c r="J1947">
        <v>1</v>
      </c>
      <c r="K1947">
        <v>0</v>
      </c>
      <c r="L1947">
        <v>27.49</v>
      </c>
      <c r="M1947">
        <v>54.98</v>
      </c>
      <c r="N1947">
        <v>27.49</v>
      </c>
    </row>
    <row r="1948" spans="1:14" x14ac:dyDescent="0.25">
      <c r="A1948" s="120" t="s">
        <v>3758</v>
      </c>
      <c r="B1948" s="120" t="s">
        <v>3759</v>
      </c>
      <c r="C1948" s="120" t="s">
        <v>69</v>
      </c>
      <c r="D1948" s="120" t="s">
        <v>3801</v>
      </c>
      <c r="E1948" s="120" t="s">
        <v>2995</v>
      </c>
      <c r="F1948" s="120" t="s">
        <v>18</v>
      </c>
      <c r="G1948" s="120">
        <v>1</v>
      </c>
      <c r="H1948">
        <v>0</v>
      </c>
      <c r="I1948" s="120" t="s">
        <v>57</v>
      </c>
      <c r="J1948">
        <v>1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 s="120" t="s">
        <v>3758</v>
      </c>
      <c r="B1949" s="120" t="s">
        <v>3759</v>
      </c>
      <c r="C1949" s="120" t="s">
        <v>69</v>
      </c>
      <c r="D1949" s="120" t="s">
        <v>600</v>
      </c>
      <c r="E1949" s="120" t="s">
        <v>227</v>
      </c>
      <c r="F1949" s="120" t="s">
        <v>228</v>
      </c>
      <c r="G1949" s="120">
        <v>5</v>
      </c>
      <c r="H1949">
        <v>5</v>
      </c>
      <c r="I1949" s="120" t="s">
        <v>57</v>
      </c>
      <c r="J1949">
        <v>0</v>
      </c>
      <c r="K1949">
        <v>1</v>
      </c>
      <c r="L1949" s="121">
        <v>54</v>
      </c>
      <c r="M1949" s="121">
        <v>270</v>
      </c>
      <c r="N1949" s="121">
        <v>270</v>
      </c>
    </row>
    <row r="1950" spans="1:14" x14ac:dyDescent="0.25">
      <c r="A1950" s="120" t="s">
        <v>3758</v>
      </c>
      <c r="B1950" s="120" t="s">
        <v>3759</v>
      </c>
      <c r="C1950" s="120" t="s">
        <v>69</v>
      </c>
      <c r="D1950" s="120" t="s">
        <v>1089</v>
      </c>
      <c r="E1950" s="120" t="s">
        <v>1090</v>
      </c>
      <c r="F1950" s="120" t="s">
        <v>3771</v>
      </c>
      <c r="G1950" s="120">
        <v>12</v>
      </c>
      <c r="H1950">
        <v>22</v>
      </c>
      <c r="I1950" s="120" t="s">
        <v>57</v>
      </c>
      <c r="J1950">
        <v>-10</v>
      </c>
      <c r="K1950">
        <v>0</v>
      </c>
      <c r="L1950">
        <v>7</v>
      </c>
      <c r="M1950">
        <v>84</v>
      </c>
      <c r="N1950">
        <v>154</v>
      </c>
    </row>
    <row r="1951" spans="1:14" x14ac:dyDescent="0.25">
      <c r="A1951" s="120" t="s">
        <v>3758</v>
      </c>
      <c r="B1951" s="120" t="s">
        <v>3759</v>
      </c>
      <c r="C1951" s="120" t="s">
        <v>69</v>
      </c>
      <c r="D1951" s="120" t="s">
        <v>1200</v>
      </c>
      <c r="E1951" s="120" t="s">
        <v>528</v>
      </c>
      <c r="F1951" s="120" t="s">
        <v>71</v>
      </c>
      <c r="G1951" s="120">
        <v>4</v>
      </c>
      <c r="H1951">
        <v>4</v>
      </c>
      <c r="I1951" s="120" t="s">
        <v>57</v>
      </c>
      <c r="J1951">
        <v>0</v>
      </c>
      <c r="K1951">
        <v>1</v>
      </c>
      <c r="L1951" s="121">
        <v>40</v>
      </c>
      <c r="M1951" s="121">
        <v>160</v>
      </c>
      <c r="N1951" s="121">
        <v>160</v>
      </c>
    </row>
    <row r="1952" spans="1:14" x14ac:dyDescent="0.25">
      <c r="A1952" s="120" t="s">
        <v>3758</v>
      </c>
      <c r="B1952" s="120" t="s">
        <v>3759</v>
      </c>
      <c r="C1952" s="120" t="s">
        <v>69</v>
      </c>
      <c r="D1952" s="120" t="s">
        <v>1759</v>
      </c>
      <c r="E1952" s="120" t="s">
        <v>297</v>
      </c>
      <c r="F1952" s="120" t="s">
        <v>14</v>
      </c>
      <c r="G1952" s="120">
        <v>0</v>
      </c>
      <c r="H1952">
        <v>10</v>
      </c>
      <c r="I1952" s="120" t="s">
        <v>57</v>
      </c>
      <c r="J1952">
        <v>-10</v>
      </c>
      <c r="K1952">
        <v>0</v>
      </c>
      <c r="L1952">
        <v>95</v>
      </c>
      <c r="M1952">
        <v>0</v>
      </c>
      <c r="N1952">
        <v>950</v>
      </c>
    </row>
    <row r="1953" spans="1:14" hidden="1" x14ac:dyDescent="0.25">
      <c r="A1953" s="120" t="s">
        <v>3772</v>
      </c>
      <c r="B1953" s="120" t="s">
        <v>3773</v>
      </c>
      <c r="C1953" s="120" t="s">
        <v>69</v>
      </c>
      <c r="D1953" s="120" t="s">
        <v>580</v>
      </c>
      <c r="E1953" s="120" t="s">
        <v>581</v>
      </c>
      <c r="F1953" s="120" t="s">
        <v>233</v>
      </c>
      <c r="G1953" s="120">
        <v>0</v>
      </c>
      <c r="H1953">
        <v>0</v>
      </c>
      <c r="I1953" s="120" t="s">
        <v>57</v>
      </c>
      <c r="J1953">
        <v>0</v>
      </c>
      <c r="K1953">
        <v>1</v>
      </c>
      <c r="L1953" s="121">
        <v>54</v>
      </c>
      <c r="M1953" s="121">
        <v>0</v>
      </c>
      <c r="N1953" s="121">
        <v>0</v>
      </c>
    </row>
    <row r="1954" spans="1:14" hidden="1" x14ac:dyDescent="0.25">
      <c r="A1954" s="120" t="s">
        <v>3772</v>
      </c>
      <c r="B1954" s="120" t="s">
        <v>3773</v>
      </c>
      <c r="C1954" s="120" t="s">
        <v>69</v>
      </c>
      <c r="D1954" s="120" t="s">
        <v>582</v>
      </c>
      <c r="E1954" s="120" t="s">
        <v>583</v>
      </c>
      <c r="F1954" s="120" t="s">
        <v>233</v>
      </c>
      <c r="G1954" s="120">
        <v>0</v>
      </c>
      <c r="H1954">
        <v>0</v>
      </c>
      <c r="I1954" s="120" t="s">
        <v>57</v>
      </c>
      <c r="J1954">
        <v>0</v>
      </c>
      <c r="K1954">
        <v>1</v>
      </c>
      <c r="L1954" s="121">
        <v>54</v>
      </c>
      <c r="M1954" s="121">
        <v>0</v>
      </c>
      <c r="N1954" s="121">
        <v>0</v>
      </c>
    </row>
    <row r="1955" spans="1:14" hidden="1" x14ac:dyDescent="0.25">
      <c r="A1955" s="120" t="s">
        <v>3772</v>
      </c>
      <c r="B1955" s="120" t="s">
        <v>3773</v>
      </c>
      <c r="C1955" s="120" t="s">
        <v>69</v>
      </c>
      <c r="D1955" s="120" t="s">
        <v>597</v>
      </c>
      <c r="E1955" s="120" t="s">
        <v>174</v>
      </c>
      <c r="F1955" s="120" t="s">
        <v>71</v>
      </c>
      <c r="G1955" s="120">
        <v>21</v>
      </c>
      <c r="H1955">
        <v>0</v>
      </c>
      <c r="I1955" s="120" t="s">
        <v>57</v>
      </c>
      <c r="J1955">
        <v>21</v>
      </c>
      <c r="K1955">
        <v>0</v>
      </c>
      <c r="L1955">
        <v>54</v>
      </c>
      <c r="M1955">
        <v>1134</v>
      </c>
      <c r="N1955">
        <v>0</v>
      </c>
    </row>
    <row r="1956" spans="1:14" hidden="1" x14ac:dyDescent="0.25">
      <c r="A1956" s="120" t="s">
        <v>3772</v>
      </c>
      <c r="B1956" s="120" t="s">
        <v>3773</v>
      </c>
      <c r="C1956" s="120" t="s">
        <v>69</v>
      </c>
      <c r="D1956" s="120" t="s">
        <v>598</v>
      </c>
      <c r="E1956" s="120" t="s">
        <v>77</v>
      </c>
      <c r="F1956" s="120" t="s">
        <v>71</v>
      </c>
      <c r="G1956" s="120">
        <v>17</v>
      </c>
      <c r="H1956">
        <v>0</v>
      </c>
      <c r="I1956" s="120" t="s">
        <v>57</v>
      </c>
      <c r="J1956">
        <v>17</v>
      </c>
      <c r="K1956">
        <v>0</v>
      </c>
      <c r="L1956">
        <v>54</v>
      </c>
      <c r="M1956">
        <v>918</v>
      </c>
      <c r="N1956">
        <v>0</v>
      </c>
    </row>
    <row r="1957" spans="1:14" hidden="1" x14ac:dyDescent="0.25">
      <c r="A1957" s="120" t="s">
        <v>3772</v>
      </c>
      <c r="B1957" s="120" t="s">
        <v>3773</v>
      </c>
      <c r="C1957" s="120" t="s">
        <v>69</v>
      </c>
      <c r="D1957" s="120" t="s">
        <v>599</v>
      </c>
      <c r="E1957" s="120" t="s">
        <v>505</v>
      </c>
      <c r="F1957" s="120" t="s">
        <v>71</v>
      </c>
      <c r="G1957" s="120">
        <v>1</v>
      </c>
      <c r="H1957">
        <v>0</v>
      </c>
      <c r="I1957" s="120" t="s">
        <v>57</v>
      </c>
      <c r="J1957">
        <v>1</v>
      </c>
      <c r="K1957">
        <v>0</v>
      </c>
      <c r="L1957">
        <v>45</v>
      </c>
      <c r="M1957">
        <v>45</v>
      </c>
      <c r="N1957">
        <v>0</v>
      </c>
    </row>
    <row r="1958" spans="1:14" hidden="1" x14ac:dyDescent="0.25">
      <c r="A1958" s="120" t="s">
        <v>3772</v>
      </c>
      <c r="B1958" s="120" t="s">
        <v>3773</v>
      </c>
      <c r="C1958" s="120" t="s">
        <v>69</v>
      </c>
      <c r="D1958" s="120" t="s">
        <v>602</v>
      </c>
      <c r="E1958" s="120" t="s">
        <v>603</v>
      </c>
      <c r="F1958" s="120" t="s">
        <v>10</v>
      </c>
      <c r="G1958" s="120">
        <v>0</v>
      </c>
      <c r="H1958">
        <v>1</v>
      </c>
      <c r="I1958" s="120" t="s">
        <v>57</v>
      </c>
      <c r="J1958">
        <v>-1</v>
      </c>
      <c r="K1958">
        <v>0</v>
      </c>
      <c r="L1958">
        <v>46.9</v>
      </c>
      <c r="M1958">
        <v>0</v>
      </c>
      <c r="N1958">
        <v>46.9</v>
      </c>
    </row>
    <row r="1959" spans="1:14" hidden="1" x14ac:dyDescent="0.25">
      <c r="A1959" s="120" t="s">
        <v>3772</v>
      </c>
      <c r="B1959" s="120" t="s">
        <v>3773</v>
      </c>
      <c r="C1959" s="120" t="s">
        <v>69</v>
      </c>
      <c r="D1959" s="120" t="s">
        <v>3775</v>
      </c>
      <c r="E1959" s="120" t="s">
        <v>3763</v>
      </c>
      <c r="F1959" s="120"/>
      <c r="G1959" s="120">
        <v>2</v>
      </c>
      <c r="H1959">
        <v>0</v>
      </c>
      <c r="I1959" s="120" t="s">
        <v>57</v>
      </c>
      <c r="J1959">
        <v>2</v>
      </c>
      <c r="K1959">
        <v>0</v>
      </c>
      <c r="L1959">
        <v>0</v>
      </c>
      <c r="M1959">
        <v>0</v>
      </c>
      <c r="N1959">
        <v>0</v>
      </c>
    </row>
    <row r="1960" spans="1:14" hidden="1" x14ac:dyDescent="0.25">
      <c r="A1960" s="120" t="s">
        <v>3772</v>
      </c>
      <c r="B1960" s="120" t="s">
        <v>3773</v>
      </c>
      <c r="C1960" s="120" t="s">
        <v>69</v>
      </c>
      <c r="D1960" s="120" t="s">
        <v>644</v>
      </c>
      <c r="E1960" s="120" t="s">
        <v>645</v>
      </c>
      <c r="F1960" s="120" t="s">
        <v>18</v>
      </c>
      <c r="G1960" s="120">
        <v>34</v>
      </c>
      <c r="H1960">
        <v>0</v>
      </c>
      <c r="I1960" s="120" t="s">
        <v>47</v>
      </c>
      <c r="J1960">
        <v>34</v>
      </c>
      <c r="K1960">
        <v>0</v>
      </c>
      <c r="L1960">
        <v>68</v>
      </c>
      <c r="M1960">
        <v>2312</v>
      </c>
      <c r="N1960">
        <v>0</v>
      </c>
    </row>
    <row r="1961" spans="1:14" hidden="1" x14ac:dyDescent="0.25">
      <c r="A1961" s="120" t="s">
        <v>3772</v>
      </c>
      <c r="B1961" s="120" t="s">
        <v>3773</v>
      </c>
      <c r="C1961" s="120" t="s">
        <v>69</v>
      </c>
      <c r="D1961" s="120" t="s">
        <v>3776</v>
      </c>
      <c r="E1961" s="120" t="s">
        <v>3764</v>
      </c>
      <c r="F1961" s="120"/>
      <c r="G1961" s="120">
        <v>9</v>
      </c>
      <c r="H1961">
        <v>0</v>
      </c>
      <c r="I1961" s="120" t="s">
        <v>57</v>
      </c>
      <c r="J1961">
        <v>9</v>
      </c>
      <c r="K1961">
        <v>0</v>
      </c>
      <c r="L1961">
        <v>0</v>
      </c>
      <c r="M1961">
        <v>0</v>
      </c>
      <c r="N1961">
        <v>0</v>
      </c>
    </row>
    <row r="1962" spans="1:14" hidden="1" x14ac:dyDescent="0.25">
      <c r="A1962" s="120" t="s">
        <v>3772</v>
      </c>
      <c r="B1962" s="120" t="s">
        <v>3773</v>
      </c>
      <c r="C1962" s="120" t="s">
        <v>69</v>
      </c>
      <c r="D1962" s="120" t="s">
        <v>3777</v>
      </c>
      <c r="E1962" s="120" t="s">
        <v>3004</v>
      </c>
      <c r="F1962" s="120" t="s">
        <v>18</v>
      </c>
      <c r="G1962" s="120">
        <v>25</v>
      </c>
      <c r="H1962">
        <v>0</v>
      </c>
      <c r="I1962" s="120" t="s">
        <v>57</v>
      </c>
      <c r="J1962">
        <v>25</v>
      </c>
      <c r="K1962">
        <v>0</v>
      </c>
      <c r="L1962">
        <v>0</v>
      </c>
      <c r="M1962">
        <v>0</v>
      </c>
      <c r="N1962">
        <v>0</v>
      </c>
    </row>
    <row r="1963" spans="1:14" hidden="1" x14ac:dyDescent="0.25">
      <c r="A1963" s="120" t="s">
        <v>3772</v>
      </c>
      <c r="B1963" s="120" t="s">
        <v>3773</v>
      </c>
      <c r="C1963" s="120" t="s">
        <v>69</v>
      </c>
      <c r="D1963" s="120" t="s">
        <v>648</v>
      </c>
      <c r="E1963" s="120" t="s">
        <v>649</v>
      </c>
      <c r="F1963" s="120" t="s">
        <v>18</v>
      </c>
      <c r="G1963" s="120">
        <v>1</v>
      </c>
      <c r="H1963">
        <v>10</v>
      </c>
      <c r="I1963" s="120" t="s">
        <v>57</v>
      </c>
      <c r="J1963">
        <v>-9</v>
      </c>
      <c r="K1963">
        <v>0</v>
      </c>
      <c r="L1963">
        <v>73</v>
      </c>
      <c r="M1963">
        <v>73</v>
      </c>
      <c r="N1963">
        <v>730</v>
      </c>
    </row>
    <row r="1964" spans="1:14" hidden="1" x14ac:dyDescent="0.25">
      <c r="A1964" s="120" t="s">
        <v>3772</v>
      </c>
      <c r="B1964" s="120" t="s">
        <v>3773</v>
      </c>
      <c r="C1964" s="120" t="s">
        <v>69</v>
      </c>
      <c r="D1964" s="120" t="s">
        <v>650</v>
      </c>
      <c r="E1964" s="120" t="s">
        <v>651</v>
      </c>
      <c r="F1964" s="120" t="s">
        <v>18</v>
      </c>
      <c r="G1964" s="120">
        <v>54</v>
      </c>
      <c r="H1964">
        <v>0</v>
      </c>
      <c r="I1964" s="120" t="s">
        <v>57</v>
      </c>
      <c r="J1964">
        <v>54</v>
      </c>
      <c r="K1964">
        <v>0</v>
      </c>
      <c r="L1964">
        <v>68</v>
      </c>
      <c r="M1964">
        <v>3672</v>
      </c>
      <c r="N1964">
        <v>0</v>
      </c>
    </row>
    <row r="1965" spans="1:14" hidden="1" x14ac:dyDescent="0.25">
      <c r="A1965" s="120" t="s">
        <v>3772</v>
      </c>
      <c r="B1965" s="120" t="s">
        <v>3773</v>
      </c>
      <c r="C1965" s="120" t="s">
        <v>69</v>
      </c>
      <c r="D1965" s="120" t="s">
        <v>664</v>
      </c>
      <c r="E1965" s="120" t="s">
        <v>665</v>
      </c>
      <c r="F1965" s="120" t="s">
        <v>10</v>
      </c>
      <c r="G1965" s="120">
        <v>12</v>
      </c>
      <c r="H1965">
        <v>12</v>
      </c>
      <c r="I1965" s="120" t="s">
        <v>57</v>
      </c>
      <c r="J1965">
        <v>0</v>
      </c>
      <c r="K1965">
        <v>1</v>
      </c>
      <c r="L1965" s="121">
        <v>68</v>
      </c>
      <c r="M1965" s="121">
        <v>816</v>
      </c>
      <c r="N1965" s="121">
        <v>816</v>
      </c>
    </row>
    <row r="1966" spans="1:14" hidden="1" x14ac:dyDescent="0.25">
      <c r="A1966" s="120" t="s">
        <v>3772</v>
      </c>
      <c r="B1966" s="120" t="s">
        <v>3773</v>
      </c>
      <c r="C1966" s="120" t="s">
        <v>69</v>
      </c>
      <c r="D1966" s="120" t="s">
        <v>674</v>
      </c>
      <c r="E1966" s="120" t="s">
        <v>675</v>
      </c>
      <c r="F1966" s="120" t="s">
        <v>18</v>
      </c>
      <c r="G1966" s="120">
        <v>0</v>
      </c>
      <c r="H1966">
        <v>5</v>
      </c>
      <c r="I1966" s="120" t="s">
        <v>57</v>
      </c>
      <c r="J1966">
        <v>-5</v>
      </c>
      <c r="K1966">
        <v>0</v>
      </c>
      <c r="L1966">
        <v>55</v>
      </c>
      <c r="M1966">
        <v>0</v>
      </c>
      <c r="N1966">
        <v>275</v>
      </c>
    </row>
    <row r="1967" spans="1:14" hidden="1" x14ac:dyDescent="0.25">
      <c r="A1967" s="120" t="s">
        <v>3772</v>
      </c>
      <c r="B1967" s="120" t="s">
        <v>3773</v>
      </c>
      <c r="C1967" s="120" t="s">
        <v>69</v>
      </c>
      <c r="D1967" s="120" t="s">
        <v>3778</v>
      </c>
      <c r="E1967" s="120" t="s">
        <v>3021</v>
      </c>
      <c r="F1967" s="120"/>
      <c r="G1967" s="120">
        <v>10</v>
      </c>
      <c r="H1967">
        <v>0</v>
      </c>
      <c r="I1967" s="120" t="s">
        <v>57</v>
      </c>
      <c r="J1967">
        <v>10</v>
      </c>
      <c r="K1967">
        <v>0</v>
      </c>
      <c r="L1967">
        <v>0</v>
      </c>
      <c r="M1967">
        <v>0</v>
      </c>
      <c r="N1967">
        <v>0</v>
      </c>
    </row>
    <row r="1968" spans="1:14" hidden="1" x14ac:dyDescent="0.25">
      <c r="A1968" s="120" t="s">
        <v>3772</v>
      </c>
      <c r="B1968" s="120" t="s">
        <v>3773</v>
      </c>
      <c r="C1968" s="120" t="s">
        <v>69</v>
      </c>
      <c r="D1968" s="120" t="s">
        <v>676</v>
      </c>
      <c r="E1968" s="120" t="s">
        <v>677</v>
      </c>
      <c r="F1968" s="120" t="s">
        <v>10</v>
      </c>
      <c r="G1968" s="120">
        <v>5</v>
      </c>
      <c r="H1968">
        <v>10</v>
      </c>
      <c r="I1968" s="120" t="s">
        <v>57</v>
      </c>
      <c r="J1968">
        <v>-5</v>
      </c>
      <c r="K1968">
        <v>0</v>
      </c>
      <c r="L1968">
        <v>68</v>
      </c>
      <c r="M1968">
        <v>340</v>
      </c>
      <c r="N1968">
        <v>680</v>
      </c>
    </row>
    <row r="1969" spans="1:14" hidden="1" x14ac:dyDescent="0.25">
      <c r="A1969" s="120" t="s">
        <v>3772</v>
      </c>
      <c r="B1969" s="120" t="s">
        <v>3773</v>
      </c>
      <c r="C1969" s="120" t="s">
        <v>69</v>
      </c>
      <c r="D1969" s="120" t="s">
        <v>3779</v>
      </c>
      <c r="E1969" s="120" t="s">
        <v>3030</v>
      </c>
      <c r="F1969" s="120"/>
      <c r="G1969" s="120">
        <v>24</v>
      </c>
      <c r="H1969">
        <v>0</v>
      </c>
      <c r="I1969" s="120" t="s">
        <v>57</v>
      </c>
      <c r="J1969">
        <v>24</v>
      </c>
      <c r="K1969">
        <v>0</v>
      </c>
      <c r="L1969">
        <v>0</v>
      </c>
      <c r="M1969">
        <v>0</v>
      </c>
      <c r="N1969">
        <v>0</v>
      </c>
    </row>
    <row r="1970" spans="1:14" hidden="1" x14ac:dyDescent="0.25">
      <c r="A1970" s="120" t="s">
        <v>3772</v>
      </c>
      <c r="B1970" s="120" t="s">
        <v>3773</v>
      </c>
      <c r="C1970" s="120" t="s">
        <v>69</v>
      </c>
      <c r="D1970" s="120" t="s">
        <v>3780</v>
      </c>
      <c r="E1970" s="120" t="s">
        <v>2992</v>
      </c>
      <c r="F1970" s="120" t="s">
        <v>18</v>
      </c>
      <c r="G1970" s="120">
        <v>47</v>
      </c>
      <c r="H1970">
        <v>0</v>
      </c>
      <c r="I1970" s="120" t="s">
        <v>57</v>
      </c>
      <c r="J1970">
        <v>47</v>
      </c>
      <c r="K1970">
        <v>0</v>
      </c>
      <c r="L1970">
        <v>0</v>
      </c>
      <c r="M1970">
        <v>0</v>
      </c>
      <c r="N1970">
        <v>0</v>
      </c>
    </row>
    <row r="1971" spans="1:14" hidden="1" x14ac:dyDescent="0.25">
      <c r="A1971" s="120" t="s">
        <v>3772</v>
      </c>
      <c r="B1971" s="120" t="s">
        <v>3773</v>
      </c>
      <c r="C1971" s="120" t="s">
        <v>69</v>
      </c>
      <c r="D1971" s="120" t="s">
        <v>3781</v>
      </c>
      <c r="E1971" s="120" t="s">
        <v>3765</v>
      </c>
      <c r="F1971" s="120"/>
      <c r="G1971" s="120">
        <v>36</v>
      </c>
      <c r="H1971">
        <v>0</v>
      </c>
      <c r="I1971" s="120" t="s">
        <v>57</v>
      </c>
      <c r="J1971">
        <v>36</v>
      </c>
      <c r="K1971">
        <v>0</v>
      </c>
      <c r="L1971">
        <v>0</v>
      </c>
      <c r="M1971">
        <v>0</v>
      </c>
      <c r="N1971">
        <v>0</v>
      </c>
    </row>
    <row r="1972" spans="1:14" hidden="1" x14ac:dyDescent="0.25">
      <c r="A1972" s="120" t="s">
        <v>3772</v>
      </c>
      <c r="B1972" s="120" t="s">
        <v>3773</v>
      </c>
      <c r="C1972" s="120" t="s">
        <v>69</v>
      </c>
      <c r="D1972" s="120" t="s">
        <v>3782</v>
      </c>
      <c r="E1972" s="120" t="s">
        <v>3031</v>
      </c>
      <c r="F1972" s="120" t="s">
        <v>18</v>
      </c>
      <c r="G1972" s="120">
        <v>44</v>
      </c>
      <c r="H1972">
        <v>0</v>
      </c>
      <c r="I1972" s="120" t="s">
        <v>47</v>
      </c>
      <c r="J1972">
        <v>44</v>
      </c>
      <c r="K1972">
        <v>0</v>
      </c>
      <c r="L1972">
        <v>0</v>
      </c>
      <c r="M1972">
        <v>0</v>
      </c>
      <c r="N1972">
        <v>0</v>
      </c>
    </row>
    <row r="1973" spans="1:14" hidden="1" x14ac:dyDescent="0.25">
      <c r="A1973" s="120" t="s">
        <v>3772</v>
      </c>
      <c r="B1973" s="120" t="s">
        <v>3773</v>
      </c>
      <c r="C1973" s="120" t="s">
        <v>69</v>
      </c>
      <c r="D1973" s="120" t="s">
        <v>3783</v>
      </c>
      <c r="E1973" s="120" t="s">
        <v>3766</v>
      </c>
      <c r="F1973" s="120"/>
      <c r="G1973" s="120">
        <v>24</v>
      </c>
      <c r="H1973">
        <v>0</v>
      </c>
      <c r="I1973" s="120" t="s">
        <v>57</v>
      </c>
      <c r="J1973">
        <v>24</v>
      </c>
      <c r="K1973">
        <v>0</v>
      </c>
      <c r="L1973">
        <v>0</v>
      </c>
      <c r="M1973">
        <v>0</v>
      </c>
      <c r="N1973">
        <v>0</v>
      </c>
    </row>
    <row r="1974" spans="1:14" hidden="1" x14ac:dyDescent="0.25">
      <c r="A1974" s="120" t="s">
        <v>3772</v>
      </c>
      <c r="B1974" s="120" t="s">
        <v>3773</v>
      </c>
      <c r="C1974" s="120" t="s">
        <v>69</v>
      </c>
      <c r="D1974" s="120" t="s">
        <v>3785</v>
      </c>
      <c r="E1974" s="120" t="s">
        <v>2993</v>
      </c>
      <c r="F1974" s="120" t="s">
        <v>18</v>
      </c>
      <c r="G1974" s="120">
        <v>22</v>
      </c>
      <c r="H1974">
        <v>0</v>
      </c>
      <c r="I1974" s="120" t="s">
        <v>57</v>
      </c>
      <c r="J1974">
        <v>22</v>
      </c>
      <c r="K1974">
        <v>0</v>
      </c>
      <c r="L1974">
        <v>0</v>
      </c>
      <c r="M1974">
        <v>0</v>
      </c>
      <c r="N1974">
        <v>0</v>
      </c>
    </row>
    <row r="1975" spans="1:14" hidden="1" x14ac:dyDescent="0.25">
      <c r="A1975" s="120" t="s">
        <v>3772</v>
      </c>
      <c r="B1975" s="120" t="s">
        <v>3773</v>
      </c>
      <c r="C1975" s="120" t="s">
        <v>69</v>
      </c>
      <c r="D1975" s="120" t="s">
        <v>3786</v>
      </c>
      <c r="E1975" s="120" t="s">
        <v>3034</v>
      </c>
      <c r="F1975" s="120"/>
      <c r="G1975" s="120">
        <v>5</v>
      </c>
      <c r="H1975">
        <v>0</v>
      </c>
      <c r="I1975" s="120" t="s">
        <v>57</v>
      </c>
      <c r="J1975">
        <v>5</v>
      </c>
      <c r="K1975">
        <v>0</v>
      </c>
      <c r="L1975">
        <v>0</v>
      </c>
      <c r="M1975">
        <v>0</v>
      </c>
      <c r="N1975">
        <v>0</v>
      </c>
    </row>
    <row r="1976" spans="1:14" hidden="1" x14ac:dyDescent="0.25">
      <c r="A1976" s="120" t="s">
        <v>3772</v>
      </c>
      <c r="B1976" s="120" t="s">
        <v>3773</v>
      </c>
      <c r="C1976" s="120" t="s">
        <v>69</v>
      </c>
      <c r="D1976" s="120" t="s">
        <v>3789</v>
      </c>
      <c r="E1976" s="120" t="s">
        <v>3041</v>
      </c>
      <c r="F1976" s="120"/>
      <c r="G1976" s="120">
        <v>0</v>
      </c>
      <c r="H1976">
        <v>0</v>
      </c>
      <c r="I1976" s="120" t="s">
        <v>57</v>
      </c>
      <c r="J1976">
        <v>0</v>
      </c>
      <c r="K1976">
        <v>1</v>
      </c>
      <c r="L1976" s="121">
        <v>0</v>
      </c>
      <c r="M1976" s="121">
        <v>0</v>
      </c>
      <c r="N1976" s="121">
        <v>0</v>
      </c>
    </row>
    <row r="1977" spans="1:14" hidden="1" x14ac:dyDescent="0.25">
      <c r="A1977" s="120" t="s">
        <v>3772</v>
      </c>
      <c r="B1977" s="120" t="s">
        <v>3773</v>
      </c>
      <c r="C1977" s="120" t="s">
        <v>69</v>
      </c>
      <c r="D1977" s="120" t="s">
        <v>3790</v>
      </c>
      <c r="E1977" s="120" t="s">
        <v>3042</v>
      </c>
      <c r="F1977" s="120"/>
      <c r="G1977" s="120">
        <v>30</v>
      </c>
      <c r="H1977">
        <v>0</v>
      </c>
      <c r="I1977" s="120" t="s">
        <v>57</v>
      </c>
      <c r="J1977">
        <v>30</v>
      </c>
      <c r="K1977">
        <v>0</v>
      </c>
      <c r="L1977">
        <v>0</v>
      </c>
      <c r="M1977">
        <v>0</v>
      </c>
      <c r="N1977">
        <v>0</v>
      </c>
    </row>
    <row r="1978" spans="1:14" hidden="1" x14ac:dyDescent="0.25">
      <c r="A1978" s="120" t="s">
        <v>3772</v>
      </c>
      <c r="B1978" s="120" t="s">
        <v>3773</v>
      </c>
      <c r="C1978" s="120" t="s">
        <v>69</v>
      </c>
      <c r="D1978" s="120" t="s">
        <v>743</v>
      </c>
      <c r="E1978" s="120" t="s">
        <v>744</v>
      </c>
      <c r="F1978" s="120" t="s">
        <v>10</v>
      </c>
      <c r="G1978" s="120">
        <v>19</v>
      </c>
      <c r="H1978">
        <v>19</v>
      </c>
      <c r="I1978" s="120" t="s">
        <v>57</v>
      </c>
      <c r="J1978">
        <v>0</v>
      </c>
      <c r="K1978">
        <v>1</v>
      </c>
      <c r="L1978" s="121">
        <v>24.99</v>
      </c>
      <c r="M1978" s="121">
        <v>474.80999999999995</v>
      </c>
      <c r="N1978" s="121">
        <v>474.80999999999995</v>
      </c>
    </row>
    <row r="1979" spans="1:14" hidden="1" x14ac:dyDescent="0.25">
      <c r="A1979" s="120" t="s">
        <v>3772</v>
      </c>
      <c r="B1979" s="120" t="s">
        <v>3773</v>
      </c>
      <c r="C1979" s="120" t="s">
        <v>69</v>
      </c>
      <c r="D1979" s="120" t="s">
        <v>3793</v>
      </c>
      <c r="E1979" s="120" t="s">
        <v>3184</v>
      </c>
      <c r="F1979" s="120"/>
      <c r="G1979" s="120">
        <v>0</v>
      </c>
      <c r="H1979">
        <v>0</v>
      </c>
      <c r="I1979" s="120" t="s">
        <v>57</v>
      </c>
      <c r="J1979">
        <v>0</v>
      </c>
      <c r="K1979">
        <v>1</v>
      </c>
      <c r="L1979" s="121">
        <v>0</v>
      </c>
      <c r="M1979" s="121">
        <v>0</v>
      </c>
      <c r="N1979" s="121">
        <v>0</v>
      </c>
    </row>
    <row r="1980" spans="1:14" hidden="1" x14ac:dyDescent="0.25">
      <c r="A1980" s="120" t="s">
        <v>3772</v>
      </c>
      <c r="B1980" s="120" t="s">
        <v>3773</v>
      </c>
      <c r="C1980" s="120" t="s">
        <v>69</v>
      </c>
      <c r="D1980" s="120" t="s">
        <v>3794</v>
      </c>
      <c r="E1980" s="120" t="s">
        <v>3185</v>
      </c>
      <c r="F1980" s="120" t="s">
        <v>14</v>
      </c>
      <c r="G1980" s="120">
        <v>0</v>
      </c>
      <c r="H1980">
        <v>0</v>
      </c>
      <c r="I1980" s="120" t="s">
        <v>57</v>
      </c>
      <c r="J1980">
        <v>0</v>
      </c>
      <c r="K1980">
        <v>1</v>
      </c>
      <c r="L1980" s="121">
        <v>0</v>
      </c>
      <c r="M1980" s="121">
        <v>0</v>
      </c>
      <c r="N1980" s="121">
        <v>0</v>
      </c>
    </row>
    <row r="1981" spans="1:14" hidden="1" x14ac:dyDescent="0.25">
      <c r="A1981" s="120" t="s">
        <v>3772</v>
      </c>
      <c r="B1981" s="120" t="s">
        <v>3773</v>
      </c>
      <c r="C1981" s="120" t="s">
        <v>69</v>
      </c>
      <c r="D1981" s="120" t="s">
        <v>3795</v>
      </c>
      <c r="E1981" s="120" t="s">
        <v>3186</v>
      </c>
      <c r="F1981" s="120"/>
      <c r="G1981" s="120">
        <v>0</v>
      </c>
      <c r="H1981">
        <v>0</v>
      </c>
      <c r="I1981" s="120" t="s">
        <v>57</v>
      </c>
      <c r="J1981">
        <v>0</v>
      </c>
      <c r="K1981">
        <v>1</v>
      </c>
      <c r="L1981" s="121">
        <v>0</v>
      </c>
      <c r="M1981" s="121">
        <v>0</v>
      </c>
      <c r="N1981" s="121">
        <v>0</v>
      </c>
    </row>
    <row r="1982" spans="1:14" hidden="1" x14ac:dyDescent="0.25">
      <c r="A1982" s="120" t="s">
        <v>3772</v>
      </c>
      <c r="B1982" s="120" t="s">
        <v>3773</v>
      </c>
      <c r="C1982" s="120" t="s">
        <v>69</v>
      </c>
      <c r="D1982" s="120" t="s">
        <v>3796</v>
      </c>
      <c r="E1982" s="120" t="s">
        <v>3187</v>
      </c>
      <c r="F1982" s="120"/>
      <c r="G1982" s="120">
        <v>0</v>
      </c>
      <c r="H1982">
        <v>0</v>
      </c>
      <c r="I1982" s="120" t="s">
        <v>57</v>
      </c>
      <c r="J1982">
        <v>0</v>
      </c>
      <c r="K1982">
        <v>1</v>
      </c>
      <c r="L1982" s="121">
        <v>0</v>
      </c>
      <c r="M1982" s="121">
        <v>0</v>
      </c>
      <c r="N1982" s="121">
        <v>0</v>
      </c>
    </row>
    <row r="1983" spans="1:14" hidden="1" x14ac:dyDescent="0.25">
      <c r="A1983" s="120" t="s">
        <v>3772</v>
      </c>
      <c r="B1983" s="120" t="s">
        <v>3773</v>
      </c>
      <c r="C1983" s="120" t="s">
        <v>69</v>
      </c>
      <c r="D1983" s="120" t="s">
        <v>3797</v>
      </c>
      <c r="E1983" s="120" t="s">
        <v>3188</v>
      </c>
      <c r="F1983" s="120"/>
      <c r="G1983" s="120">
        <v>0</v>
      </c>
      <c r="H1983">
        <v>0</v>
      </c>
      <c r="I1983" s="120" t="s">
        <v>57</v>
      </c>
      <c r="J1983">
        <v>0</v>
      </c>
      <c r="K1983">
        <v>1</v>
      </c>
      <c r="L1983" s="121">
        <v>0</v>
      </c>
      <c r="M1983" s="121">
        <v>0</v>
      </c>
      <c r="N1983" s="121">
        <v>0</v>
      </c>
    </row>
    <row r="1984" spans="1:14" hidden="1" x14ac:dyDescent="0.25">
      <c r="A1984" s="120" t="s">
        <v>3772</v>
      </c>
      <c r="B1984" s="120" t="s">
        <v>3773</v>
      </c>
      <c r="C1984" s="120" t="s">
        <v>69</v>
      </c>
      <c r="D1984" s="120" t="s">
        <v>3798</v>
      </c>
      <c r="E1984" s="120" t="s">
        <v>3768</v>
      </c>
      <c r="F1984" s="120"/>
      <c r="G1984" s="120">
        <v>1</v>
      </c>
      <c r="H1984">
        <v>0</v>
      </c>
      <c r="I1984" s="120" t="s">
        <v>57</v>
      </c>
      <c r="J1984">
        <v>1</v>
      </c>
      <c r="K1984">
        <v>0</v>
      </c>
      <c r="L1984">
        <v>0</v>
      </c>
      <c r="M1984">
        <v>0</v>
      </c>
      <c r="N1984">
        <v>0</v>
      </c>
    </row>
    <row r="1985" spans="1:14" hidden="1" x14ac:dyDescent="0.25">
      <c r="A1985" s="120" t="s">
        <v>3772</v>
      </c>
      <c r="B1985" s="120" t="s">
        <v>3773</v>
      </c>
      <c r="C1985" s="120" t="s">
        <v>69</v>
      </c>
      <c r="D1985" s="120" t="s">
        <v>1194</v>
      </c>
      <c r="E1985" s="120" t="s">
        <v>186</v>
      </c>
      <c r="F1985" s="120" t="s">
        <v>10</v>
      </c>
      <c r="G1985" s="120">
        <v>0</v>
      </c>
      <c r="H1985">
        <v>0</v>
      </c>
      <c r="I1985" s="120" t="s">
        <v>11</v>
      </c>
      <c r="J1985">
        <v>0</v>
      </c>
      <c r="K1985">
        <v>1</v>
      </c>
      <c r="L1985" s="121">
        <v>3.5</v>
      </c>
      <c r="M1985" s="121">
        <v>0</v>
      </c>
      <c r="N1985" s="121">
        <v>0</v>
      </c>
    </row>
    <row r="1986" spans="1:14" hidden="1" x14ac:dyDescent="0.25">
      <c r="A1986" s="120" t="s">
        <v>3772</v>
      </c>
      <c r="B1986" s="120" t="s">
        <v>3773</v>
      </c>
      <c r="C1986" s="120" t="s">
        <v>69</v>
      </c>
      <c r="D1986" s="120" t="s">
        <v>1238</v>
      </c>
      <c r="E1986" s="120" t="s">
        <v>292</v>
      </c>
      <c r="F1986" s="120" t="s">
        <v>14</v>
      </c>
      <c r="G1986" s="120">
        <v>62</v>
      </c>
      <c r="H1986">
        <v>0</v>
      </c>
      <c r="I1986" s="120" t="s">
        <v>11</v>
      </c>
      <c r="J1986">
        <v>62</v>
      </c>
      <c r="K1986">
        <v>0</v>
      </c>
      <c r="L1986">
        <v>0.92</v>
      </c>
      <c r="M1986">
        <v>57.04</v>
      </c>
      <c r="N1986">
        <v>0</v>
      </c>
    </row>
    <row r="1987" spans="1:14" hidden="1" x14ac:dyDescent="0.25">
      <c r="A1987" s="120" t="s">
        <v>3772</v>
      </c>
      <c r="B1987" s="120" t="s">
        <v>3773</v>
      </c>
      <c r="C1987" s="120" t="s">
        <v>69</v>
      </c>
      <c r="D1987" s="120" t="s">
        <v>3697</v>
      </c>
      <c r="E1987" s="120" t="s">
        <v>2645</v>
      </c>
      <c r="F1987" s="120" t="s">
        <v>18</v>
      </c>
      <c r="G1987" s="120">
        <v>20</v>
      </c>
      <c r="H1987">
        <v>0</v>
      </c>
      <c r="I1987" s="120" t="s">
        <v>57</v>
      </c>
      <c r="J1987">
        <v>20</v>
      </c>
      <c r="K1987">
        <v>0</v>
      </c>
      <c r="L1987">
        <v>0</v>
      </c>
      <c r="M1987">
        <v>0</v>
      </c>
      <c r="N1987">
        <v>0</v>
      </c>
    </row>
    <row r="1988" spans="1:14" hidden="1" x14ac:dyDescent="0.25">
      <c r="A1988" s="120" t="s">
        <v>3591</v>
      </c>
      <c r="B1988" s="120" t="s">
        <v>3701</v>
      </c>
      <c r="C1988" s="120" t="s">
        <v>301</v>
      </c>
      <c r="D1988" s="120" t="s">
        <v>1127</v>
      </c>
      <c r="E1988" s="120" t="s">
        <v>457</v>
      </c>
      <c r="F1988" s="120" t="s">
        <v>14</v>
      </c>
      <c r="G1988" s="120">
        <v>1</v>
      </c>
      <c r="H1988">
        <v>1</v>
      </c>
      <c r="I1988" s="120" t="s">
        <v>47</v>
      </c>
      <c r="J1988">
        <v>0</v>
      </c>
      <c r="K1988">
        <v>1</v>
      </c>
      <c r="L1988" s="121">
        <v>188.55</v>
      </c>
      <c r="M1988" s="121">
        <v>188.55</v>
      </c>
      <c r="N1988" s="121">
        <v>188.55</v>
      </c>
    </row>
    <row r="1989" spans="1:14" hidden="1" x14ac:dyDescent="0.25">
      <c r="A1989" s="120" t="s">
        <v>3772</v>
      </c>
      <c r="B1989" s="120" t="s">
        <v>3773</v>
      </c>
      <c r="C1989" s="120" t="s">
        <v>301</v>
      </c>
      <c r="D1989" s="120" t="s">
        <v>538</v>
      </c>
      <c r="E1989" s="120" t="s">
        <v>3820</v>
      </c>
      <c r="F1989" s="120" t="s">
        <v>10</v>
      </c>
      <c r="G1989" s="120">
        <v>7</v>
      </c>
      <c r="H1989">
        <v>26</v>
      </c>
      <c r="I1989" s="120" t="s">
        <v>11</v>
      </c>
      <c r="J1989">
        <v>-19</v>
      </c>
      <c r="K1989">
        <v>0</v>
      </c>
      <c r="L1989">
        <v>21</v>
      </c>
      <c r="M1989">
        <v>147</v>
      </c>
      <c r="N1989">
        <v>546</v>
      </c>
    </row>
    <row r="1990" spans="1:14" hidden="1" x14ac:dyDescent="0.25">
      <c r="A1990" s="120" t="s">
        <v>3772</v>
      </c>
      <c r="B1990" s="120" t="s">
        <v>3773</v>
      </c>
      <c r="C1990" s="120" t="s">
        <v>301</v>
      </c>
      <c r="D1990" s="120" t="s">
        <v>546</v>
      </c>
      <c r="E1990" s="120" t="s">
        <v>15</v>
      </c>
      <c r="F1990" s="120" t="s">
        <v>10</v>
      </c>
      <c r="G1990" s="120">
        <v>49</v>
      </c>
      <c r="H1990">
        <v>0</v>
      </c>
      <c r="I1990" s="120" t="s">
        <v>47</v>
      </c>
      <c r="J1990">
        <v>49</v>
      </c>
      <c r="K1990">
        <v>0</v>
      </c>
      <c r="L1990">
        <v>27.99</v>
      </c>
      <c r="M1990">
        <v>1371.51</v>
      </c>
      <c r="N1990">
        <v>0</v>
      </c>
    </row>
    <row r="1991" spans="1:14" hidden="1" x14ac:dyDescent="0.25">
      <c r="A1991" s="120" t="s">
        <v>3591</v>
      </c>
      <c r="B1991" s="120" t="s">
        <v>3701</v>
      </c>
      <c r="C1991" s="120" t="s">
        <v>301</v>
      </c>
      <c r="D1991" s="120" t="s">
        <v>1132</v>
      </c>
      <c r="E1991" s="120" t="s">
        <v>462</v>
      </c>
      <c r="F1991" s="120" t="s">
        <v>463</v>
      </c>
      <c r="G1991" s="120">
        <v>4</v>
      </c>
      <c r="H1991">
        <v>4</v>
      </c>
      <c r="I1991" s="120" t="s">
        <v>57</v>
      </c>
      <c r="J1991">
        <v>0</v>
      </c>
      <c r="K1991">
        <v>1</v>
      </c>
      <c r="L1991" s="121">
        <v>45</v>
      </c>
      <c r="M1991" s="121">
        <v>180</v>
      </c>
      <c r="N1991" s="121">
        <v>180</v>
      </c>
    </row>
    <row r="1992" spans="1:14" hidden="1" x14ac:dyDescent="0.25">
      <c r="A1992" s="120" t="s">
        <v>3772</v>
      </c>
      <c r="B1992" s="120" t="s">
        <v>3773</v>
      </c>
      <c r="C1992" s="120" t="s">
        <v>301</v>
      </c>
      <c r="D1992" s="120" t="s">
        <v>3838</v>
      </c>
      <c r="E1992" s="120" t="s">
        <v>1902</v>
      </c>
      <c r="F1992" s="120"/>
      <c r="G1992" s="120">
        <v>9</v>
      </c>
      <c r="H1992">
        <v>0</v>
      </c>
      <c r="I1992" s="120" t="s">
        <v>57</v>
      </c>
      <c r="J1992">
        <v>9</v>
      </c>
      <c r="K1992">
        <v>0</v>
      </c>
      <c r="L1992">
        <v>0</v>
      </c>
      <c r="M1992">
        <v>0</v>
      </c>
      <c r="N1992">
        <v>0</v>
      </c>
    </row>
    <row r="1993" spans="1:14" hidden="1" x14ac:dyDescent="0.25">
      <c r="A1993" s="120" t="s">
        <v>3772</v>
      </c>
      <c r="B1993" s="120" t="s">
        <v>3773</v>
      </c>
      <c r="C1993" s="120" t="s">
        <v>301</v>
      </c>
      <c r="D1993" s="120" t="s">
        <v>3599</v>
      </c>
      <c r="E1993" s="120" t="s">
        <v>386</v>
      </c>
      <c r="F1993" s="120" t="s">
        <v>10</v>
      </c>
      <c r="G1993" s="120">
        <v>1</v>
      </c>
      <c r="H1993">
        <v>0</v>
      </c>
      <c r="I1993" s="120" t="s">
        <v>11</v>
      </c>
      <c r="J1993">
        <v>1</v>
      </c>
      <c r="K1993">
        <v>0</v>
      </c>
      <c r="L1993">
        <v>0</v>
      </c>
      <c r="M1993">
        <v>0</v>
      </c>
      <c r="N1993">
        <v>0</v>
      </c>
    </row>
    <row r="1994" spans="1:14" hidden="1" x14ac:dyDescent="0.25">
      <c r="A1994" s="120" t="s">
        <v>3772</v>
      </c>
      <c r="B1994" s="120" t="s">
        <v>3773</v>
      </c>
      <c r="C1994" s="120" t="s">
        <v>301</v>
      </c>
      <c r="D1994" s="120" t="s">
        <v>3600</v>
      </c>
      <c r="E1994" s="120" t="s">
        <v>387</v>
      </c>
      <c r="F1994" s="120" t="s">
        <v>10</v>
      </c>
      <c r="G1994" s="120">
        <v>1</v>
      </c>
      <c r="H1994">
        <v>0</v>
      </c>
      <c r="I1994" s="120" t="s">
        <v>57</v>
      </c>
      <c r="J1994">
        <v>1</v>
      </c>
      <c r="K1994">
        <v>0</v>
      </c>
      <c r="L1994">
        <v>0</v>
      </c>
      <c r="M1994">
        <v>0</v>
      </c>
      <c r="N1994">
        <v>0</v>
      </c>
    </row>
    <row r="1995" spans="1:14" hidden="1" x14ac:dyDescent="0.25">
      <c r="A1995" s="120" t="s">
        <v>3772</v>
      </c>
      <c r="B1995" s="120" t="s">
        <v>3773</v>
      </c>
      <c r="C1995" s="120" t="s">
        <v>301</v>
      </c>
      <c r="D1995" s="120" t="s">
        <v>3511</v>
      </c>
      <c r="E1995" s="120" t="s">
        <v>130</v>
      </c>
      <c r="F1995" s="120" t="s">
        <v>10</v>
      </c>
      <c r="G1995" s="120">
        <v>62</v>
      </c>
      <c r="H1995">
        <v>0</v>
      </c>
      <c r="I1995" s="120" t="s">
        <v>57</v>
      </c>
      <c r="J1995">
        <v>62</v>
      </c>
      <c r="K1995">
        <v>0</v>
      </c>
      <c r="L1995">
        <v>0</v>
      </c>
      <c r="M1995">
        <v>0</v>
      </c>
      <c r="N1995">
        <v>0</v>
      </c>
    </row>
    <row r="1996" spans="1:14" hidden="1" x14ac:dyDescent="0.25">
      <c r="A1996" s="120" t="s">
        <v>3772</v>
      </c>
      <c r="B1996" s="120" t="s">
        <v>3773</v>
      </c>
      <c r="C1996" s="120" t="s">
        <v>301</v>
      </c>
      <c r="D1996" s="120" t="s">
        <v>1921</v>
      </c>
      <c r="E1996" s="120" t="s">
        <v>1922</v>
      </c>
      <c r="F1996" s="120"/>
      <c r="G1996" s="120">
        <v>2</v>
      </c>
      <c r="H1996">
        <v>0</v>
      </c>
      <c r="I1996" s="120" t="s">
        <v>57</v>
      </c>
      <c r="J1996">
        <v>2</v>
      </c>
      <c r="K1996">
        <v>0</v>
      </c>
      <c r="L1996">
        <v>0</v>
      </c>
      <c r="M1996">
        <v>0</v>
      </c>
      <c r="N1996">
        <v>0</v>
      </c>
    </row>
    <row r="1997" spans="1:14" hidden="1" x14ac:dyDescent="0.25">
      <c r="A1997" s="120" t="s">
        <v>3591</v>
      </c>
      <c r="B1997" s="120" t="s">
        <v>3701</v>
      </c>
      <c r="C1997" s="120" t="s">
        <v>301</v>
      </c>
      <c r="D1997" s="120" t="s">
        <v>1139</v>
      </c>
      <c r="E1997" s="120" t="s">
        <v>1140</v>
      </c>
      <c r="F1997" s="120" t="s">
        <v>10</v>
      </c>
      <c r="G1997" s="120">
        <v>1</v>
      </c>
      <c r="H1997">
        <v>1</v>
      </c>
      <c r="I1997" s="120" t="s">
        <v>11</v>
      </c>
      <c r="J1997">
        <v>0</v>
      </c>
      <c r="K1997">
        <v>1</v>
      </c>
      <c r="L1997" s="121">
        <v>16</v>
      </c>
      <c r="M1997" s="121">
        <v>16</v>
      </c>
      <c r="N1997" s="121">
        <v>16</v>
      </c>
    </row>
    <row r="1998" spans="1:14" hidden="1" x14ac:dyDescent="0.25">
      <c r="A1998" s="120" t="s">
        <v>3591</v>
      </c>
      <c r="B1998" s="120" t="s">
        <v>3701</v>
      </c>
      <c r="C1998" s="120" t="s">
        <v>301</v>
      </c>
      <c r="D1998" s="120" t="s">
        <v>3627</v>
      </c>
      <c r="E1998" s="120" t="s">
        <v>421</v>
      </c>
      <c r="F1998" s="120" t="s">
        <v>18</v>
      </c>
      <c r="G1998" s="120">
        <v>0</v>
      </c>
      <c r="H1998">
        <v>0</v>
      </c>
      <c r="I1998" s="120" t="s">
        <v>47</v>
      </c>
      <c r="J1998">
        <v>0</v>
      </c>
      <c r="K1998">
        <v>1</v>
      </c>
      <c r="L1998" s="121">
        <v>0</v>
      </c>
      <c r="M1998" s="121">
        <v>0</v>
      </c>
      <c r="N1998" s="121">
        <v>0</v>
      </c>
    </row>
    <row r="1999" spans="1:14" hidden="1" x14ac:dyDescent="0.25">
      <c r="A1999" s="120" t="s">
        <v>3772</v>
      </c>
      <c r="B1999" s="120" t="s">
        <v>3773</v>
      </c>
      <c r="C1999" s="120" t="s">
        <v>301</v>
      </c>
      <c r="D1999" s="120" t="s">
        <v>3714</v>
      </c>
      <c r="E1999" s="120" t="s">
        <v>1924</v>
      </c>
      <c r="F1999" s="120" t="s">
        <v>18</v>
      </c>
      <c r="G1999" s="120">
        <v>5</v>
      </c>
      <c r="H1999">
        <v>0</v>
      </c>
      <c r="I1999" s="120" t="s">
        <v>57</v>
      </c>
      <c r="J1999">
        <v>5</v>
      </c>
      <c r="K1999">
        <v>0</v>
      </c>
      <c r="L1999">
        <v>0</v>
      </c>
      <c r="M1999">
        <v>0</v>
      </c>
      <c r="N1999">
        <v>0</v>
      </c>
    </row>
    <row r="2000" spans="1:14" hidden="1" x14ac:dyDescent="0.25">
      <c r="A2000" s="120" t="s">
        <v>3591</v>
      </c>
      <c r="B2000" s="120" t="s">
        <v>3701</v>
      </c>
      <c r="C2000" s="120" t="s">
        <v>301</v>
      </c>
      <c r="D2000" s="120" t="s">
        <v>1777</v>
      </c>
      <c r="E2000" s="120" t="s">
        <v>497</v>
      </c>
      <c r="F2000" s="120" t="s">
        <v>10</v>
      </c>
      <c r="G2000" s="120">
        <v>1</v>
      </c>
      <c r="H2000">
        <v>1</v>
      </c>
      <c r="I2000" s="120" t="s">
        <v>47</v>
      </c>
      <c r="J2000">
        <v>0</v>
      </c>
      <c r="K2000">
        <v>1</v>
      </c>
      <c r="L2000" s="121">
        <v>200</v>
      </c>
      <c r="M2000" s="121">
        <v>200</v>
      </c>
      <c r="N2000" s="121">
        <v>200</v>
      </c>
    </row>
    <row r="2001" spans="1:14" hidden="1" x14ac:dyDescent="0.25">
      <c r="A2001" s="120" t="s">
        <v>3772</v>
      </c>
      <c r="B2001" s="120" t="s">
        <v>3773</v>
      </c>
      <c r="C2001" s="120" t="s">
        <v>301</v>
      </c>
      <c r="D2001" s="120" t="s">
        <v>624</v>
      </c>
      <c r="E2001" s="120" t="s">
        <v>392</v>
      </c>
      <c r="F2001" s="120" t="s">
        <v>18</v>
      </c>
      <c r="G2001" s="120">
        <v>16</v>
      </c>
      <c r="H2001">
        <v>0</v>
      </c>
      <c r="I2001" s="120" t="s">
        <v>57</v>
      </c>
      <c r="J2001">
        <v>16</v>
      </c>
      <c r="K2001">
        <v>0</v>
      </c>
      <c r="L2001">
        <v>8</v>
      </c>
      <c r="M2001">
        <v>128</v>
      </c>
      <c r="N2001">
        <v>0</v>
      </c>
    </row>
    <row r="2002" spans="1:14" hidden="1" x14ac:dyDescent="0.25">
      <c r="A2002" s="120" t="s">
        <v>3772</v>
      </c>
      <c r="B2002" s="120" t="s">
        <v>3773</v>
      </c>
      <c r="C2002" s="120" t="s">
        <v>301</v>
      </c>
      <c r="D2002" s="120" t="s">
        <v>3840</v>
      </c>
      <c r="E2002" s="120" t="s">
        <v>3821</v>
      </c>
      <c r="F2002" s="120"/>
      <c r="G2002" s="120">
        <v>15</v>
      </c>
      <c r="H2002">
        <v>0</v>
      </c>
      <c r="I2002" s="120" t="s">
        <v>57</v>
      </c>
      <c r="J2002">
        <v>15</v>
      </c>
      <c r="K2002">
        <v>0</v>
      </c>
      <c r="L2002">
        <v>0</v>
      </c>
      <c r="M2002">
        <v>0</v>
      </c>
      <c r="N2002">
        <v>0</v>
      </c>
    </row>
    <row r="2003" spans="1:14" hidden="1" x14ac:dyDescent="0.25">
      <c r="A2003" s="120" t="s">
        <v>3772</v>
      </c>
      <c r="B2003" s="120" t="s">
        <v>3773</v>
      </c>
      <c r="C2003" s="120" t="s">
        <v>301</v>
      </c>
      <c r="D2003" s="120" t="s">
        <v>3841</v>
      </c>
      <c r="E2003" s="120" t="s">
        <v>3822</v>
      </c>
      <c r="F2003" s="120"/>
      <c r="G2003" s="120">
        <v>15</v>
      </c>
      <c r="H2003">
        <v>0</v>
      </c>
      <c r="I2003" s="120" t="s">
        <v>57</v>
      </c>
      <c r="J2003">
        <v>15</v>
      </c>
      <c r="K2003">
        <v>0</v>
      </c>
      <c r="L2003">
        <v>0</v>
      </c>
      <c r="M2003">
        <v>0</v>
      </c>
      <c r="N2003">
        <v>0</v>
      </c>
    </row>
    <row r="2004" spans="1:14" hidden="1" x14ac:dyDescent="0.25">
      <c r="A2004" s="120" t="s">
        <v>3772</v>
      </c>
      <c r="B2004" s="120" t="s">
        <v>3773</v>
      </c>
      <c r="C2004" s="120" t="s">
        <v>301</v>
      </c>
      <c r="D2004" s="120" t="s">
        <v>632</v>
      </c>
      <c r="E2004" s="120" t="s">
        <v>633</v>
      </c>
      <c r="F2004" s="120"/>
      <c r="G2004" s="120">
        <v>15</v>
      </c>
      <c r="H2004">
        <v>0</v>
      </c>
      <c r="I2004" s="120" t="s">
        <v>57</v>
      </c>
      <c r="J2004">
        <v>15</v>
      </c>
      <c r="K2004">
        <v>0</v>
      </c>
      <c r="L2004">
        <v>12</v>
      </c>
      <c r="M2004">
        <v>180</v>
      </c>
      <c r="N2004">
        <v>0</v>
      </c>
    </row>
    <row r="2005" spans="1:14" hidden="1" x14ac:dyDescent="0.25">
      <c r="A2005" s="120" t="s">
        <v>3772</v>
      </c>
      <c r="B2005" s="120" t="s">
        <v>3773</v>
      </c>
      <c r="C2005" s="120" t="s">
        <v>301</v>
      </c>
      <c r="D2005" s="120" t="s">
        <v>639</v>
      </c>
      <c r="E2005" s="120" t="s">
        <v>137</v>
      </c>
      <c r="F2005" s="120" t="s">
        <v>18</v>
      </c>
      <c r="G2005" s="120">
        <v>15</v>
      </c>
      <c r="H2005">
        <v>0</v>
      </c>
      <c r="I2005" s="120" t="s">
        <v>57</v>
      </c>
      <c r="J2005">
        <v>15</v>
      </c>
      <c r="K2005">
        <v>0</v>
      </c>
      <c r="L2005">
        <v>3.8</v>
      </c>
      <c r="M2005">
        <v>57</v>
      </c>
      <c r="N2005">
        <v>0</v>
      </c>
    </row>
    <row r="2006" spans="1:14" hidden="1" x14ac:dyDescent="0.25">
      <c r="A2006" s="120" t="s">
        <v>3772</v>
      </c>
      <c r="B2006" s="120" t="s">
        <v>3773</v>
      </c>
      <c r="C2006" s="120" t="s">
        <v>301</v>
      </c>
      <c r="D2006" s="120" t="s">
        <v>3842</v>
      </c>
      <c r="E2006" s="120" t="s">
        <v>2005</v>
      </c>
      <c r="F2006" s="120"/>
      <c r="G2006" s="120">
        <v>1</v>
      </c>
      <c r="H2006">
        <v>0</v>
      </c>
      <c r="I2006" s="120" t="s">
        <v>57</v>
      </c>
      <c r="J2006">
        <v>1</v>
      </c>
      <c r="K2006">
        <v>0</v>
      </c>
      <c r="L2006">
        <v>0</v>
      </c>
      <c r="M2006">
        <v>0</v>
      </c>
      <c r="N2006">
        <v>0</v>
      </c>
    </row>
    <row r="2007" spans="1:14" hidden="1" x14ac:dyDescent="0.25">
      <c r="A2007" s="120" t="s">
        <v>3772</v>
      </c>
      <c r="B2007" s="120" t="s">
        <v>3773</v>
      </c>
      <c r="C2007" s="120" t="s">
        <v>301</v>
      </c>
      <c r="D2007" s="120" t="s">
        <v>3843</v>
      </c>
      <c r="E2007" s="120" t="s">
        <v>2002</v>
      </c>
      <c r="F2007" s="120"/>
      <c r="G2007" s="120">
        <v>22</v>
      </c>
      <c r="H2007">
        <v>0</v>
      </c>
      <c r="I2007" s="120" t="s">
        <v>57</v>
      </c>
      <c r="J2007">
        <v>22</v>
      </c>
      <c r="K2007">
        <v>0</v>
      </c>
      <c r="L2007">
        <v>0</v>
      </c>
      <c r="M2007">
        <v>0</v>
      </c>
      <c r="N2007">
        <v>0</v>
      </c>
    </row>
    <row r="2008" spans="1:14" hidden="1" x14ac:dyDescent="0.25">
      <c r="A2008" s="120" t="s">
        <v>3772</v>
      </c>
      <c r="B2008" s="120" t="s">
        <v>3773</v>
      </c>
      <c r="C2008" s="120" t="s">
        <v>301</v>
      </c>
      <c r="D2008" s="120" t="s">
        <v>3845</v>
      </c>
      <c r="E2008" s="120" t="s">
        <v>2008</v>
      </c>
      <c r="F2008" s="120"/>
      <c r="G2008" s="120">
        <v>66</v>
      </c>
      <c r="H2008">
        <v>0</v>
      </c>
      <c r="I2008" s="120" t="s">
        <v>57</v>
      </c>
      <c r="J2008">
        <v>66</v>
      </c>
      <c r="K2008">
        <v>0</v>
      </c>
      <c r="L2008">
        <v>0</v>
      </c>
      <c r="M2008">
        <v>0</v>
      </c>
      <c r="N2008">
        <v>0</v>
      </c>
    </row>
    <row r="2009" spans="1:14" hidden="1" x14ac:dyDescent="0.25">
      <c r="A2009" s="120" t="s">
        <v>3772</v>
      </c>
      <c r="B2009" s="120" t="s">
        <v>3773</v>
      </c>
      <c r="C2009" s="120" t="s">
        <v>301</v>
      </c>
      <c r="D2009" s="120" t="s">
        <v>3604</v>
      </c>
      <c r="E2009" s="120" t="s">
        <v>395</v>
      </c>
      <c r="F2009" s="120" t="s">
        <v>14</v>
      </c>
      <c r="G2009" s="120">
        <v>13</v>
      </c>
      <c r="H2009">
        <v>0</v>
      </c>
      <c r="I2009" s="120" t="s">
        <v>57</v>
      </c>
      <c r="J2009">
        <v>13</v>
      </c>
      <c r="K2009">
        <v>0</v>
      </c>
      <c r="L2009">
        <v>0</v>
      </c>
      <c r="M2009">
        <v>0</v>
      </c>
      <c r="N2009">
        <v>0</v>
      </c>
    </row>
    <row r="2010" spans="1:14" hidden="1" x14ac:dyDescent="0.25">
      <c r="A2010" s="120" t="s">
        <v>3772</v>
      </c>
      <c r="B2010" s="120" t="s">
        <v>3773</v>
      </c>
      <c r="C2010" s="120" t="s">
        <v>301</v>
      </c>
      <c r="D2010" s="120" t="s">
        <v>3606</v>
      </c>
      <c r="E2010" s="120" t="s">
        <v>397</v>
      </c>
      <c r="F2010" s="120" t="s">
        <v>14</v>
      </c>
      <c r="G2010" s="120">
        <v>1</v>
      </c>
      <c r="H2010">
        <v>0</v>
      </c>
      <c r="I2010" s="120" t="s">
        <v>57</v>
      </c>
      <c r="J2010">
        <v>1</v>
      </c>
      <c r="K2010">
        <v>0</v>
      </c>
      <c r="L2010">
        <v>0</v>
      </c>
      <c r="M2010">
        <v>0</v>
      </c>
      <c r="N2010">
        <v>0</v>
      </c>
    </row>
    <row r="2011" spans="1:14" hidden="1" x14ac:dyDescent="0.25">
      <c r="A2011" s="120" t="s">
        <v>3772</v>
      </c>
      <c r="B2011" s="120" t="s">
        <v>3773</v>
      </c>
      <c r="C2011" s="120" t="s">
        <v>301</v>
      </c>
      <c r="D2011" s="120" t="s">
        <v>3479</v>
      </c>
      <c r="E2011" s="120" t="s">
        <v>50</v>
      </c>
      <c r="F2011" s="120" t="s">
        <v>18</v>
      </c>
      <c r="G2011" s="120">
        <v>51</v>
      </c>
      <c r="H2011">
        <v>0</v>
      </c>
      <c r="I2011" s="120" t="s">
        <v>57</v>
      </c>
      <c r="J2011">
        <v>51</v>
      </c>
      <c r="K2011">
        <v>0</v>
      </c>
      <c r="L2011">
        <v>0</v>
      </c>
      <c r="M2011">
        <v>0</v>
      </c>
      <c r="N2011">
        <v>0</v>
      </c>
    </row>
    <row r="2012" spans="1:14" hidden="1" x14ac:dyDescent="0.25">
      <c r="A2012" s="120" t="s">
        <v>3772</v>
      </c>
      <c r="B2012" s="120" t="s">
        <v>3773</v>
      </c>
      <c r="C2012" s="120" t="s">
        <v>301</v>
      </c>
      <c r="D2012" s="120" t="s">
        <v>688</v>
      </c>
      <c r="E2012" s="120" t="s">
        <v>411</v>
      </c>
      <c r="F2012" s="120" t="s">
        <v>18</v>
      </c>
      <c r="G2012" s="120">
        <v>0</v>
      </c>
      <c r="H2012">
        <v>12</v>
      </c>
      <c r="I2012" s="120" t="s">
        <v>47</v>
      </c>
      <c r="J2012">
        <v>-12</v>
      </c>
      <c r="K2012">
        <v>0</v>
      </c>
      <c r="L2012">
        <v>13.3</v>
      </c>
      <c r="M2012">
        <v>0</v>
      </c>
      <c r="N2012">
        <v>159.60000000000002</v>
      </c>
    </row>
    <row r="2013" spans="1:14" hidden="1" x14ac:dyDescent="0.25">
      <c r="A2013" s="120" t="s">
        <v>3772</v>
      </c>
      <c r="B2013" s="120" t="s">
        <v>3773</v>
      </c>
      <c r="C2013" s="120" t="s">
        <v>301</v>
      </c>
      <c r="D2013" s="120" t="s">
        <v>692</v>
      </c>
      <c r="E2013" s="120" t="s">
        <v>61</v>
      </c>
      <c r="F2013" s="120" t="s">
        <v>10</v>
      </c>
      <c r="G2013" s="120">
        <v>20</v>
      </c>
      <c r="H2013">
        <v>0</v>
      </c>
      <c r="I2013" s="120" t="s">
        <v>57</v>
      </c>
      <c r="J2013">
        <v>20</v>
      </c>
      <c r="K2013">
        <v>0</v>
      </c>
      <c r="L2013">
        <v>15</v>
      </c>
      <c r="M2013">
        <v>300</v>
      </c>
      <c r="N2013">
        <v>0</v>
      </c>
    </row>
    <row r="2014" spans="1:14" hidden="1" x14ac:dyDescent="0.25">
      <c r="A2014" s="120" t="s">
        <v>3772</v>
      </c>
      <c r="B2014" s="120" t="s">
        <v>3773</v>
      </c>
      <c r="C2014" s="120" t="s">
        <v>301</v>
      </c>
      <c r="D2014" s="120" t="s">
        <v>711</v>
      </c>
      <c r="E2014" s="120" t="s">
        <v>431</v>
      </c>
      <c r="F2014" s="120" t="s">
        <v>10</v>
      </c>
      <c r="G2014" s="120">
        <v>22</v>
      </c>
      <c r="H2014">
        <v>0</v>
      </c>
      <c r="I2014" s="120" t="s">
        <v>57</v>
      </c>
      <c r="J2014">
        <v>22</v>
      </c>
      <c r="K2014">
        <v>0</v>
      </c>
      <c r="L2014">
        <v>10</v>
      </c>
      <c r="M2014">
        <v>220</v>
      </c>
      <c r="N2014">
        <v>0</v>
      </c>
    </row>
    <row r="2015" spans="1:14" hidden="1" x14ac:dyDescent="0.25">
      <c r="A2015" s="120" t="s">
        <v>3772</v>
      </c>
      <c r="B2015" s="120" t="s">
        <v>3773</v>
      </c>
      <c r="C2015" s="120" t="s">
        <v>301</v>
      </c>
      <c r="D2015" s="120" t="s">
        <v>3846</v>
      </c>
      <c r="E2015" s="120" t="s">
        <v>3823</v>
      </c>
      <c r="F2015" s="120"/>
      <c r="G2015" s="120">
        <v>8</v>
      </c>
      <c r="H2015">
        <v>0</v>
      </c>
      <c r="I2015" s="120" t="s">
        <v>57</v>
      </c>
      <c r="J2015">
        <v>8</v>
      </c>
      <c r="K2015">
        <v>0</v>
      </c>
      <c r="L2015">
        <v>0</v>
      </c>
      <c r="M2015">
        <v>0</v>
      </c>
      <c r="N2015">
        <v>0</v>
      </c>
    </row>
    <row r="2016" spans="1:14" hidden="1" x14ac:dyDescent="0.25">
      <c r="A2016" s="120" t="s">
        <v>3772</v>
      </c>
      <c r="B2016" s="120" t="s">
        <v>3773</v>
      </c>
      <c r="C2016" s="120" t="s">
        <v>301</v>
      </c>
      <c r="D2016" s="120" t="s">
        <v>3847</v>
      </c>
      <c r="E2016" s="120" t="s">
        <v>1797</v>
      </c>
      <c r="F2016" s="120"/>
      <c r="G2016" s="120">
        <v>8</v>
      </c>
      <c r="H2016">
        <v>0</v>
      </c>
      <c r="I2016" s="120" t="s">
        <v>57</v>
      </c>
      <c r="J2016">
        <v>8</v>
      </c>
      <c r="K2016">
        <v>0</v>
      </c>
      <c r="L2016">
        <v>0</v>
      </c>
      <c r="M2016">
        <v>0</v>
      </c>
      <c r="N2016">
        <v>0</v>
      </c>
    </row>
    <row r="2017" spans="1:14" hidden="1" x14ac:dyDescent="0.25">
      <c r="A2017" s="120" t="s">
        <v>3772</v>
      </c>
      <c r="B2017" s="120" t="s">
        <v>3773</v>
      </c>
      <c r="C2017" s="120" t="s">
        <v>301</v>
      </c>
      <c r="D2017" s="120" t="s">
        <v>3472</v>
      </c>
      <c r="E2017" s="120" t="s">
        <v>32</v>
      </c>
      <c r="F2017" s="120" t="s">
        <v>10</v>
      </c>
      <c r="G2017" s="120">
        <v>53</v>
      </c>
      <c r="H2017">
        <v>0</v>
      </c>
      <c r="I2017" s="120" t="s">
        <v>57</v>
      </c>
      <c r="J2017">
        <v>53</v>
      </c>
      <c r="K2017">
        <v>0</v>
      </c>
      <c r="L2017">
        <v>0</v>
      </c>
      <c r="M2017">
        <v>0</v>
      </c>
      <c r="N2017">
        <v>0</v>
      </c>
    </row>
    <row r="2018" spans="1:14" hidden="1" x14ac:dyDescent="0.25">
      <c r="A2018" s="120" t="s">
        <v>3772</v>
      </c>
      <c r="B2018" s="120" t="s">
        <v>3773</v>
      </c>
      <c r="C2018" s="120" t="s">
        <v>301</v>
      </c>
      <c r="D2018" s="120" t="s">
        <v>3636</v>
      </c>
      <c r="E2018" s="120" t="s">
        <v>438</v>
      </c>
      <c r="F2018" s="120" t="s">
        <v>18</v>
      </c>
      <c r="G2018" s="120">
        <v>14</v>
      </c>
      <c r="H2018">
        <v>0</v>
      </c>
      <c r="I2018" s="120" t="s">
        <v>11</v>
      </c>
      <c r="J2018">
        <v>14</v>
      </c>
      <c r="K2018">
        <v>0</v>
      </c>
      <c r="L2018">
        <v>0</v>
      </c>
      <c r="M2018">
        <v>0</v>
      </c>
      <c r="N2018">
        <v>0</v>
      </c>
    </row>
    <row r="2019" spans="1:14" hidden="1" x14ac:dyDescent="0.25">
      <c r="A2019" s="120" t="s">
        <v>3772</v>
      </c>
      <c r="B2019" s="120" t="s">
        <v>3773</v>
      </c>
      <c r="C2019" s="120" t="s">
        <v>301</v>
      </c>
      <c r="D2019" s="120" t="s">
        <v>3638</v>
      </c>
      <c r="E2019" s="120" t="s">
        <v>442</v>
      </c>
      <c r="F2019" s="120" t="s">
        <v>14</v>
      </c>
      <c r="G2019" s="120">
        <v>1</v>
      </c>
      <c r="H2019">
        <v>0</v>
      </c>
      <c r="I2019" s="120" t="s">
        <v>47</v>
      </c>
      <c r="J2019">
        <v>1</v>
      </c>
      <c r="K2019">
        <v>0</v>
      </c>
      <c r="L2019">
        <v>0</v>
      </c>
      <c r="M2019">
        <v>0</v>
      </c>
      <c r="N2019">
        <v>0</v>
      </c>
    </row>
    <row r="2020" spans="1:14" hidden="1" x14ac:dyDescent="0.25">
      <c r="A2020" s="120" t="s">
        <v>3772</v>
      </c>
      <c r="B2020" s="120" t="s">
        <v>3773</v>
      </c>
      <c r="C2020" s="120" t="s">
        <v>301</v>
      </c>
      <c r="D2020" s="120" t="s">
        <v>749</v>
      </c>
      <c r="E2020" s="120" t="s">
        <v>147</v>
      </c>
      <c r="F2020" s="120" t="s">
        <v>18</v>
      </c>
      <c r="G2020" s="120">
        <v>32</v>
      </c>
      <c r="H2020">
        <v>0</v>
      </c>
      <c r="I2020" s="120" t="s">
        <v>11</v>
      </c>
      <c r="J2020">
        <v>32</v>
      </c>
      <c r="K2020">
        <v>0</v>
      </c>
      <c r="L2020">
        <v>40</v>
      </c>
      <c r="M2020">
        <v>1280</v>
      </c>
      <c r="N2020">
        <v>0</v>
      </c>
    </row>
    <row r="2021" spans="1:14" hidden="1" x14ac:dyDescent="0.25">
      <c r="A2021" s="120" t="s">
        <v>3591</v>
      </c>
      <c r="B2021" s="120" t="s">
        <v>3701</v>
      </c>
      <c r="C2021" s="120" t="s">
        <v>301</v>
      </c>
      <c r="D2021" s="120" t="s">
        <v>3669</v>
      </c>
      <c r="E2021" s="120" t="s">
        <v>486</v>
      </c>
      <c r="F2021" s="120" t="s">
        <v>18</v>
      </c>
      <c r="G2021" s="120">
        <v>0</v>
      </c>
      <c r="H2021">
        <v>0</v>
      </c>
      <c r="I2021" s="120" t="s">
        <v>57</v>
      </c>
      <c r="J2021">
        <v>0</v>
      </c>
      <c r="K2021">
        <v>1</v>
      </c>
      <c r="L2021" s="121">
        <v>0</v>
      </c>
      <c r="M2021" s="121">
        <v>0</v>
      </c>
      <c r="N2021" s="121">
        <v>0</v>
      </c>
    </row>
    <row r="2022" spans="1:14" hidden="1" x14ac:dyDescent="0.25">
      <c r="A2022" s="120" t="s">
        <v>3591</v>
      </c>
      <c r="B2022" s="120" t="s">
        <v>3701</v>
      </c>
      <c r="C2022" s="120" t="s">
        <v>301</v>
      </c>
      <c r="D2022" s="120" t="s">
        <v>3708</v>
      </c>
      <c r="E2022" s="120" t="s">
        <v>2983</v>
      </c>
      <c r="F2022" s="120" t="s">
        <v>10</v>
      </c>
      <c r="G2022" s="120">
        <v>0</v>
      </c>
      <c r="H2022">
        <v>0</v>
      </c>
      <c r="I2022" s="120" t="s">
        <v>57</v>
      </c>
      <c r="J2022">
        <v>0</v>
      </c>
      <c r="K2022">
        <v>1</v>
      </c>
      <c r="L2022" s="121">
        <v>0</v>
      </c>
      <c r="M2022" s="121">
        <v>0</v>
      </c>
      <c r="N2022" s="121">
        <v>0</v>
      </c>
    </row>
    <row r="2023" spans="1:14" hidden="1" x14ac:dyDescent="0.25">
      <c r="A2023" s="120" t="s">
        <v>3772</v>
      </c>
      <c r="B2023" s="120" t="s">
        <v>3773</v>
      </c>
      <c r="C2023" s="120" t="s">
        <v>301</v>
      </c>
      <c r="D2023" s="120" t="s">
        <v>3849</v>
      </c>
      <c r="E2023" s="120" t="s">
        <v>2426</v>
      </c>
      <c r="F2023" s="120"/>
      <c r="G2023" s="120">
        <v>1</v>
      </c>
      <c r="H2023">
        <v>0</v>
      </c>
      <c r="I2023" s="120" t="s">
        <v>57</v>
      </c>
      <c r="J2023">
        <v>1</v>
      </c>
      <c r="K2023">
        <v>0</v>
      </c>
      <c r="L2023">
        <v>0</v>
      </c>
      <c r="M2023">
        <v>0</v>
      </c>
      <c r="N2023">
        <v>0</v>
      </c>
    </row>
    <row r="2024" spans="1:14" hidden="1" x14ac:dyDescent="0.25">
      <c r="A2024" s="120" t="s">
        <v>3772</v>
      </c>
      <c r="B2024" s="120" t="s">
        <v>3773</v>
      </c>
      <c r="C2024" s="120" t="s">
        <v>301</v>
      </c>
      <c r="D2024" s="120" t="s">
        <v>3475</v>
      </c>
      <c r="E2024" s="120" t="s">
        <v>37</v>
      </c>
      <c r="F2024" s="120" t="s">
        <v>14</v>
      </c>
      <c r="G2024" s="120">
        <v>61</v>
      </c>
      <c r="H2024">
        <v>0</v>
      </c>
      <c r="I2024" s="120" t="s">
        <v>11</v>
      </c>
      <c r="J2024">
        <v>61</v>
      </c>
      <c r="K2024">
        <v>0</v>
      </c>
      <c r="L2024">
        <v>0</v>
      </c>
      <c r="M2024">
        <v>0</v>
      </c>
      <c r="N2024">
        <v>0</v>
      </c>
    </row>
    <row r="2025" spans="1:14" hidden="1" x14ac:dyDescent="0.25">
      <c r="A2025" s="120" t="s">
        <v>3772</v>
      </c>
      <c r="B2025" s="120" t="s">
        <v>3773</v>
      </c>
      <c r="C2025" s="120" t="s">
        <v>301</v>
      </c>
      <c r="D2025" s="120" t="s">
        <v>3648</v>
      </c>
      <c r="E2025" s="120" t="s">
        <v>456</v>
      </c>
      <c r="F2025" s="120" t="s">
        <v>14</v>
      </c>
      <c r="G2025" s="120">
        <v>57</v>
      </c>
      <c r="H2025">
        <v>0</v>
      </c>
      <c r="I2025" s="120" t="s">
        <v>11</v>
      </c>
      <c r="J2025">
        <v>57</v>
      </c>
      <c r="K2025">
        <v>0</v>
      </c>
      <c r="L2025">
        <v>0</v>
      </c>
      <c r="M2025">
        <v>0</v>
      </c>
      <c r="N2025">
        <v>0</v>
      </c>
    </row>
    <row r="2026" spans="1:14" hidden="1" x14ac:dyDescent="0.25">
      <c r="A2026" s="120" t="s">
        <v>3772</v>
      </c>
      <c r="B2026" s="120" t="s">
        <v>3773</v>
      </c>
      <c r="C2026" s="120" t="s">
        <v>301</v>
      </c>
      <c r="D2026" s="120" t="s">
        <v>3650</v>
      </c>
      <c r="E2026" s="120" t="s">
        <v>459</v>
      </c>
      <c r="F2026" s="120" t="s">
        <v>14</v>
      </c>
      <c r="G2026" s="120">
        <v>2</v>
      </c>
      <c r="H2026">
        <v>0</v>
      </c>
      <c r="I2026" s="120" t="s">
        <v>57</v>
      </c>
      <c r="J2026">
        <v>2</v>
      </c>
      <c r="K2026">
        <v>0</v>
      </c>
      <c r="L2026">
        <v>0</v>
      </c>
      <c r="M2026">
        <v>0</v>
      </c>
      <c r="N2026">
        <v>0</v>
      </c>
    </row>
    <row r="2027" spans="1:14" hidden="1" x14ac:dyDescent="0.25">
      <c r="A2027" s="120" t="s">
        <v>3772</v>
      </c>
      <c r="B2027" s="120" t="s">
        <v>3773</v>
      </c>
      <c r="C2027" s="120" t="s">
        <v>301</v>
      </c>
      <c r="D2027" s="120" t="s">
        <v>3851</v>
      </c>
      <c r="E2027" s="120" t="s">
        <v>2461</v>
      </c>
      <c r="F2027" s="120"/>
      <c r="G2027" s="120">
        <v>14</v>
      </c>
      <c r="H2027">
        <v>0</v>
      </c>
      <c r="I2027" s="120" t="s">
        <v>57</v>
      </c>
      <c r="J2027">
        <v>14</v>
      </c>
      <c r="K2027">
        <v>0</v>
      </c>
      <c r="L2027">
        <v>0</v>
      </c>
      <c r="M2027">
        <v>0</v>
      </c>
      <c r="N2027">
        <v>0</v>
      </c>
    </row>
    <row r="2028" spans="1:14" hidden="1" x14ac:dyDescent="0.25">
      <c r="A2028" s="120" t="s">
        <v>3772</v>
      </c>
      <c r="B2028" s="120" t="s">
        <v>3773</v>
      </c>
      <c r="C2028" s="120" t="s">
        <v>301</v>
      </c>
      <c r="D2028" s="120" t="s">
        <v>3741</v>
      </c>
      <c r="E2028" s="120" t="s">
        <v>1811</v>
      </c>
      <c r="F2028" s="120" t="s">
        <v>18</v>
      </c>
      <c r="G2028" s="120">
        <v>15</v>
      </c>
      <c r="H2028">
        <v>0</v>
      </c>
      <c r="I2028" s="120" t="s">
        <v>47</v>
      </c>
      <c r="J2028">
        <v>15</v>
      </c>
      <c r="K2028">
        <v>0</v>
      </c>
      <c r="L2028">
        <v>0</v>
      </c>
      <c r="M2028">
        <v>0</v>
      </c>
      <c r="N2028">
        <v>0</v>
      </c>
    </row>
    <row r="2029" spans="1:14" hidden="1" x14ac:dyDescent="0.25">
      <c r="A2029" s="120" t="s">
        <v>3772</v>
      </c>
      <c r="B2029" s="120" t="s">
        <v>3773</v>
      </c>
      <c r="C2029" s="120" t="s">
        <v>301</v>
      </c>
      <c r="D2029" s="120" t="s">
        <v>3654</v>
      </c>
      <c r="E2029" s="120" t="s">
        <v>466</v>
      </c>
      <c r="F2029" s="120" t="s">
        <v>467</v>
      </c>
      <c r="G2029" s="120">
        <v>3</v>
      </c>
      <c r="H2029">
        <v>0</v>
      </c>
      <c r="I2029" s="120" t="s">
        <v>11</v>
      </c>
      <c r="J2029">
        <v>3</v>
      </c>
      <c r="K2029">
        <v>0</v>
      </c>
      <c r="L2029">
        <v>0</v>
      </c>
      <c r="M2029">
        <v>0</v>
      </c>
      <c r="N2029">
        <v>0</v>
      </c>
    </row>
    <row r="2030" spans="1:14" hidden="1" x14ac:dyDescent="0.25">
      <c r="A2030" s="120" t="s">
        <v>3772</v>
      </c>
      <c r="B2030" s="120" t="s">
        <v>3773</v>
      </c>
      <c r="C2030" s="120" t="s">
        <v>301</v>
      </c>
      <c r="D2030" s="120" t="s">
        <v>1163</v>
      </c>
      <c r="E2030" s="120" t="s">
        <v>1164</v>
      </c>
      <c r="F2030" s="120"/>
      <c r="G2030" s="120">
        <v>0</v>
      </c>
      <c r="H2030">
        <v>1</v>
      </c>
      <c r="I2030" s="120" t="s">
        <v>57</v>
      </c>
      <c r="J2030">
        <v>-1</v>
      </c>
      <c r="K2030">
        <v>0</v>
      </c>
      <c r="L2030">
        <v>54</v>
      </c>
      <c r="M2030">
        <v>0</v>
      </c>
      <c r="N2030">
        <v>54</v>
      </c>
    </row>
    <row r="2031" spans="1:14" hidden="1" x14ac:dyDescent="0.25">
      <c r="A2031" s="120" t="s">
        <v>3772</v>
      </c>
      <c r="B2031" s="120" t="s">
        <v>3773</v>
      </c>
      <c r="C2031" s="120" t="s">
        <v>301</v>
      </c>
      <c r="D2031" s="120" t="s">
        <v>3852</v>
      </c>
      <c r="E2031" s="120" t="s">
        <v>2525</v>
      </c>
      <c r="F2031" s="120"/>
      <c r="G2031" s="120">
        <v>21</v>
      </c>
      <c r="H2031">
        <v>0</v>
      </c>
      <c r="I2031" s="120" t="s">
        <v>57</v>
      </c>
      <c r="J2031">
        <v>21</v>
      </c>
      <c r="K2031">
        <v>0</v>
      </c>
      <c r="L2031">
        <v>0</v>
      </c>
      <c r="M2031">
        <v>0</v>
      </c>
      <c r="N2031">
        <v>0</v>
      </c>
    </row>
    <row r="2032" spans="1:14" hidden="1" x14ac:dyDescent="0.25">
      <c r="A2032" s="120" t="s">
        <v>3772</v>
      </c>
      <c r="B2032" s="120" t="s">
        <v>3773</v>
      </c>
      <c r="C2032" s="120" t="s">
        <v>301</v>
      </c>
      <c r="D2032" s="120" t="s">
        <v>3747</v>
      </c>
      <c r="E2032" s="120" t="s">
        <v>1820</v>
      </c>
      <c r="F2032" s="120" t="s">
        <v>14</v>
      </c>
      <c r="G2032" s="120">
        <v>1</v>
      </c>
      <c r="H2032">
        <v>0</v>
      </c>
      <c r="I2032" s="120" t="s">
        <v>57</v>
      </c>
      <c r="J2032">
        <v>1</v>
      </c>
      <c r="K2032">
        <v>0</v>
      </c>
      <c r="L2032">
        <v>0</v>
      </c>
      <c r="M2032">
        <v>0</v>
      </c>
      <c r="N2032">
        <v>0</v>
      </c>
    </row>
    <row r="2033" spans="1:14" hidden="1" x14ac:dyDescent="0.25">
      <c r="A2033" s="120" t="s">
        <v>3772</v>
      </c>
      <c r="B2033" s="120" t="s">
        <v>3773</v>
      </c>
      <c r="C2033" s="120" t="s">
        <v>301</v>
      </c>
      <c r="D2033" s="120" t="s">
        <v>3662</v>
      </c>
      <c r="E2033" s="120" t="s">
        <v>476</v>
      </c>
      <c r="F2033" s="120" t="s">
        <v>10</v>
      </c>
      <c r="G2033" s="120">
        <v>2</v>
      </c>
      <c r="H2033">
        <v>0</v>
      </c>
      <c r="I2033" s="120" t="s">
        <v>57</v>
      </c>
      <c r="J2033">
        <v>2</v>
      </c>
      <c r="K2033">
        <v>0</v>
      </c>
      <c r="L2033">
        <v>0</v>
      </c>
      <c r="M2033">
        <v>0</v>
      </c>
      <c r="N2033">
        <v>0</v>
      </c>
    </row>
    <row r="2034" spans="1:14" hidden="1" x14ac:dyDescent="0.25">
      <c r="A2034" s="120" t="s">
        <v>3772</v>
      </c>
      <c r="B2034" s="120" t="s">
        <v>3773</v>
      </c>
      <c r="C2034" s="120" t="s">
        <v>301</v>
      </c>
      <c r="D2034" s="120" t="s">
        <v>3664</v>
      </c>
      <c r="E2034" s="120" t="s">
        <v>478</v>
      </c>
      <c r="F2034" s="120" t="s">
        <v>18</v>
      </c>
      <c r="G2034" s="120">
        <v>3</v>
      </c>
      <c r="H2034">
        <v>0</v>
      </c>
      <c r="I2034" s="120" t="s">
        <v>57</v>
      </c>
      <c r="J2034">
        <v>3</v>
      </c>
      <c r="K2034">
        <v>0</v>
      </c>
      <c r="L2034">
        <v>0</v>
      </c>
      <c r="M2034">
        <v>0</v>
      </c>
      <c r="N2034">
        <v>0</v>
      </c>
    </row>
    <row r="2035" spans="1:14" hidden="1" x14ac:dyDescent="0.25">
      <c r="A2035" s="120" t="s">
        <v>3591</v>
      </c>
      <c r="B2035" s="120" t="s">
        <v>3701</v>
      </c>
      <c r="C2035" s="120" t="s">
        <v>301</v>
      </c>
      <c r="D2035" s="120" t="s">
        <v>555</v>
      </c>
      <c r="E2035" s="120" t="s">
        <v>382</v>
      </c>
      <c r="F2035" s="120" t="s">
        <v>14</v>
      </c>
      <c r="G2035" s="120">
        <v>1</v>
      </c>
      <c r="H2035">
        <v>1</v>
      </c>
      <c r="I2035" s="120" t="s">
        <v>57</v>
      </c>
      <c r="J2035">
        <v>0</v>
      </c>
      <c r="K2035">
        <v>1</v>
      </c>
      <c r="L2035" s="121">
        <v>39.99</v>
      </c>
      <c r="M2035" s="121">
        <v>39.99</v>
      </c>
      <c r="N2035" s="121">
        <v>39.99</v>
      </c>
    </row>
    <row r="2036" spans="1:14" hidden="1" x14ac:dyDescent="0.25">
      <c r="A2036" s="120" t="s">
        <v>3591</v>
      </c>
      <c r="B2036" s="120" t="s">
        <v>3701</v>
      </c>
      <c r="C2036" s="120" t="s">
        <v>301</v>
      </c>
      <c r="D2036" s="120" t="s">
        <v>1077</v>
      </c>
      <c r="E2036" s="120" t="s">
        <v>34</v>
      </c>
      <c r="F2036" s="120" t="s">
        <v>18</v>
      </c>
      <c r="G2036" s="120">
        <v>1</v>
      </c>
      <c r="H2036">
        <v>1</v>
      </c>
      <c r="I2036" s="120" t="s">
        <v>11</v>
      </c>
      <c r="J2036">
        <v>0</v>
      </c>
      <c r="K2036">
        <v>1</v>
      </c>
      <c r="L2036" s="121">
        <v>189</v>
      </c>
      <c r="M2036" s="121">
        <v>189</v>
      </c>
      <c r="N2036" s="121">
        <v>189</v>
      </c>
    </row>
    <row r="2037" spans="1:14" hidden="1" x14ac:dyDescent="0.25">
      <c r="A2037" s="120" t="s">
        <v>3772</v>
      </c>
      <c r="B2037" s="120" t="s">
        <v>3773</v>
      </c>
      <c r="C2037" s="120" t="s">
        <v>301</v>
      </c>
      <c r="D2037" s="120" t="s">
        <v>637</v>
      </c>
      <c r="E2037" s="120" t="s">
        <v>393</v>
      </c>
      <c r="F2037" s="120" t="s">
        <v>18</v>
      </c>
      <c r="G2037" s="120">
        <v>1</v>
      </c>
      <c r="H2037">
        <v>0</v>
      </c>
      <c r="I2037" s="120" t="s">
        <v>57</v>
      </c>
      <c r="J2037">
        <v>1</v>
      </c>
      <c r="K2037">
        <v>0</v>
      </c>
      <c r="L2037">
        <v>1.82</v>
      </c>
      <c r="M2037">
        <v>1.82</v>
      </c>
      <c r="N2037">
        <v>0</v>
      </c>
    </row>
    <row r="2038" spans="1:14" hidden="1" x14ac:dyDescent="0.25">
      <c r="A2038" s="120" t="s">
        <v>3772</v>
      </c>
      <c r="B2038" s="120" t="s">
        <v>3773</v>
      </c>
      <c r="C2038" s="120" t="s">
        <v>301</v>
      </c>
      <c r="D2038" s="120" t="s">
        <v>3855</v>
      </c>
      <c r="E2038" s="120" t="s">
        <v>1789</v>
      </c>
      <c r="F2038" s="120"/>
      <c r="G2038" s="120">
        <v>1</v>
      </c>
      <c r="H2038">
        <v>0</v>
      </c>
      <c r="I2038" s="120" t="s">
        <v>57</v>
      </c>
      <c r="J2038">
        <v>1</v>
      </c>
      <c r="K2038">
        <v>0</v>
      </c>
      <c r="L2038">
        <v>0</v>
      </c>
      <c r="M2038">
        <v>0</v>
      </c>
      <c r="N2038">
        <v>0</v>
      </c>
    </row>
    <row r="2039" spans="1:14" hidden="1" x14ac:dyDescent="0.25">
      <c r="A2039" s="120" t="s">
        <v>3772</v>
      </c>
      <c r="B2039" s="120" t="s">
        <v>3773</v>
      </c>
      <c r="C2039" s="120" t="s">
        <v>301</v>
      </c>
      <c r="D2039" s="120" t="s">
        <v>703</v>
      </c>
      <c r="E2039" s="120" t="s">
        <v>704</v>
      </c>
      <c r="F2039" s="120"/>
      <c r="G2039" s="120">
        <v>13</v>
      </c>
      <c r="H2039">
        <v>0</v>
      </c>
      <c r="I2039" s="120" t="s">
        <v>57</v>
      </c>
      <c r="J2039">
        <v>13</v>
      </c>
      <c r="K2039">
        <v>0</v>
      </c>
      <c r="L2039">
        <v>3.43</v>
      </c>
      <c r="M2039">
        <v>44.59</v>
      </c>
      <c r="N2039">
        <v>0</v>
      </c>
    </row>
    <row r="2040" spans="1:14" hidden="1" x14ac:dyDescent="0.25">
      <c r="A2040" s="120" t="s">
        <v>3772</v>
      </c>
      <c r="B2040" s="120" t="s">
        <v>3773</v>
      </c>
      <c r="C2040" s="120" t="s">
        <v>301</v>
      </c>
      <c r="D2040" s="120" t="s">
        <v>705</v>
      </c>
      <c r="E2040" s="120" t="s">
        <v>427</v>
      </c>
      <c r="F2040" s="120" t="s">
        <v>10</v>
      </c>
      <c r="G2040" s="120">
        <v>1</v>
      </c>
      <c r="H2040">
        <v>0</v>
      </c>
      <c r="I2040" s="120" t="s">
        <v>11</v>
      </c>
      <c r="J2040">
        <v>1</v>
      </c>
      <c r="K2040">
        <v>0</v>
      </c>
      <c r="L2040">
        <v>5.9</v>
      </c>
      <c r="M2040">
        <v>5.9</v>
      </c>
      <c r="N2040">
        <v>0</v>
      </c>
    </row>
    <row r="2041" spans="1:14" hidden="1" x14ac:dyDescent="0.25">
      <c r="A2041" s="120" t="s">
        <v>3772</v>
      </c>
      <c r="B2041" s="120" t="s">
        <v>3773</v>
      </c>
      <c r="C2041" s="120" t="s">
        <v>301</v>
      </c>
      <c r="D2041" s="120" t="s">
        <v>3856</v>
      </c>
      <c r="E2041" s="120" t="s">
        <v>3825</v>
      </c>
      <c r="F2041" s="120"/>
      <c r="G2041" s="120">
        <v>1</v>
      </c>
      <c r="H2041">
        <v>0</v>
      </c>
      <c r="I2041" s="120" t="s">
        <v>57</v>
      </c>
      <c r="J2041">
        <v>1</v>
      </c>
      <c r="K2041">
        <v>0</v>
      </c>
      <c r="L2041">
        <v>0</v>
      </c>
      <c r="M2041">
        <v>0</v>
      </c>
      <c r="N2041">
        <v>0</v>
      </c>
    </row>
    <row r="2042" spans="1:14" hidden="1" x14ac:dyDescent="0.25">
      <c r="A2042" s="120" t="s">
        <v>3772</v>
      </c>
      <c r="B2042" s="120" t="s">
        <v>3773</v>
      </c>
      <c r="C2042" s="120" t="s">
        <v>301</v>
      </c>
      <c r="D2042" s="120" t="s">
        <v>1459</v>
      </c>
      <c r="E2042" s="120" t="s">
        <v>1460</v>
      </c>
      <c r="F2042" s="120"/>
      <c r="G2042" s="120">
        <v>3</v>
      </c>
      <c r="H2042">
        <v>2</v>
      </c>
      <c r="I2042" s="120" t="s">
        <v>57</v>
      </c>
      <c r="J2042">
        <v>1</v>
      </c>
      <c r="K2042">
        <v>0</v>
      </c>
      <c r="L2042">
        <v>365.47</v>
      </c>
      <c r="M2042">
        <v>1096.4100000000001</v>
      </c>
      <c r="N2042">
        <v>730.94</v>
      </c>
    </row>
    <row r="2043" spans="1:14" hidden="1" x14ac:dyDescent="0.25">
      <c r="A2043" s="120" t="s">
        <v>3772</v>
      </c>
      <c r="B2043" s="120" t="s">
        <v>3773</v>
      </c>
      <c r="C2043" s="120" t="s">
        <v>301</v>
      </c>
      <c r="D2043" s="120" t="s">
        <v>3858</v>
      </c>
      <c r="E2043" s="120" t="s">
        <v>3826</v>
      </c>
      <c r="F2043" s="120"/>
      <c r="G2043" s="120">
        <v>1</v>
      </c>
      <c r="H2043">
        <v>0</v>
      </c>
      <c r="I2043" s="120" t="s">
        <v>57</v>
      </c>
      <c r="J2043">
        <v>1</v>
      </c>
      <c r="K2043">
        <v>0</v>
      </c>
      <c r="L2043">
        <v>0</v>
      </c>
      <c r="M2043">
        <v>0</v>
      </c>
      <c r="N2043">
        <v>0</v>
      </c>
    </row>
    <row r="2044" spans="1:14" hidden="1" x14ac:dyDescent="0.25">
      <c r="A2044" s="120" t="s">
        <v>3772</v>
      </c>
      <c r="B2044" s="120" t="s">
        <v>3773</v>
      </c>
      <c r="C2044" s="120" t="s">
        <v>301</v>
      </c>
      <c r="D2044" s="120" t="s">
        <v>3859</v>
      </c>
      <c r="E2044" s="120" t="s">
        <v>164</v>
      </c>
      <c r="F2044" s="120"/>
      <c r="G2044" s="120">
        <v>10</v>
      </c>
      <c r="H2044">
        <v>0</v>
      </c>
      <c r="I2044" s="120" t="s">
        <v>57</v>
      </c>
      <c r="J2044">
        <v>10</v>
      </c>
      <c r="K2044">
        <v>0</v>
      </c>
      <c r="L2044">
        <v>0</v>
      </c>
      <c r="M2044">
        <v>0</v>
      </c>
      <c r="N2044">
        <v>0</v>
      </c>
    </row>
    <row r="2045" spans="1:14" hidden="1" x14ac:dyDescent="0.25">
      <c r="A2045" s="120" t="s">
        <v>3772</v>
      </c>
      <c r="B2045" s="120" t="s">
        <v>3773</v>
      </c>
      <c r="C2045" s="120" t="s">
        <v>301</v>
      </c>
      <c r="D2045" s="120" t="s">
        <v>3672</v>
      </c>
      <c r="E2045" s="120" t="s">
        <v>489</v>
      </c>
      <c r="F2045" s="120" t="s">
        <v>14</v>
      </c>
      <c r="G2045" s="120">
        <v>17</v>
      </c>
      <c r="H2045">
        <v>0</v>
      </c>
      <c r="I2045" s="120" t="s">
        <v>47</v>
      </c>
      <c r="J2045">
        <v>17</v>
      </c>
      <c r="K2045">
        <v>0</v>
      </c>
      <c r="L2045">
        <v>0</v>
      </c>
      <c r="M2045">
        <v>0</v>
      </c>
      <c r="N2045">
        <v>0</v>
      </c>
    </row>
    <row r="2046" spans="1:14" hidden="1" x14ac:dyDescent="0.25">
      <c r="A2046" s="120" t="s">
        <v>3772</v>
      </c>
      <c r="B2046" s="120" t="s">
        <v>3773</v>
      </c>
      <c r="C2046" s="120" t="s">
        <v>301</v>
      </c>
      <c r="D2046" s="120" t="s">
        <v>3860</v>
      </c>
      <c r="E2046" s="120" t="s">
        <v>3827</v>
      </c>
      <c r="F2046" s="120"/>
      <c r="G2046" s="120">
        <v>3</v>
      </c>
      <c r="H2046">
        <v>0</v>
      </c>
      <c r="I2046" s="120" t="s">
        <v>57</v>
      </c>
      <c r="J2046">
        <v>3</v>
      </c>
      <c r="K2046">
        <v>0</v>
      </c>
      <c r="L2046">
        <v>0</v>
      </c>
      <c r="M2046">
        <v>0</v>
      </c>
      <c r="N2046">
        <v>0</v>
      </c>
    </row>
    <row r="2047" spans="1:14" hidden="1" x14ac:dyDescent="0.25">
      <c r="A2047" s="120" t="s">
        <v>3772</v>
      </c>
      <c r="B2047" s="120" t="s">
        <v>3773</v>
      </c>
      <c r="C2047" s="120" t="s">
        <v>301</v>
      </c>
      <c r="D2047" s="120" t="s">
        <v>3707</v>
      </c>
      <c r="E2047" s="120" t="s">
        <v>2658</v>
      </c>
      <c r="F2047" s="120" t="s">
        <v>3449</v>
      </c>
      <c r="G2047" s="120">
        <v>34</v>
      </c>
      <c r="H2047">
        <v>0</v>
      </c>
      <c r="I2047" s="120" t="s">
        <v>57</v>
      </c>
      <c r="J2047">
        <v>34</v>
      </c>
      <c r="K2047">
        <v>0</v>
      </c>
      <c r="L2047">
        <v>0</v>
      </c>
      <c r="M2047">
        <v>0</v>
      </c>
      <c r="N2047">
        <v>0</v>
      </c>
    </row>
    <row r="2048" spans="1:14" hidden="1" x14ac:dyDescent="0.25">
      <c r="A2048" s="120" t="s">
        <v>3591</v>
      </c>
      <c r="B2048" s="120" t="s">
        <v>3701</v>
      </c>
      <c r="C2048" s="120" t="s">
        <v>301</v>
      </c>
      <c r="D2048" s="120" t="s">
        <v>3704</v>
      </c>
      <c r="E2048" s="120" t="s">
        <v>2060</v>
      </c>
      <c r="F2048" s="120" t="s">
        <v>10</v>
      </c>
      <c r="G2048" s="120">
        <v>0</v>
      </c>
      <c r="H2048">
        <v>0</v>
      </c>
      <c r="I2048" s="120" t="s">
        <v>57</v>
      </c>
      <c r="J2048">
        <v>0</v>
      </c>
      <c r="K2048">
        <v>1</v>
      </c>
      <c r="L2048" s="121">
        <v>0</v>
      </c>
      <c r="M2048" s="121">
        <v>0</v>
      </c>
      <c r="N2048" s="121">
        <v>0</v>
      </c>
    </row>
    <row r="2049" spans="1:14" hidden="1" x14ac:dyDescent="0.25">
      <c r="A2049" s="120" t="s">
        <v>3591</v>
      </c>
      <c r="B2049" s="120" t="s">
        <v>3701</v>
      </c>
      <c r="C2049" s="120" t="s">
        <v>301</v>
      </c>
      <c r="D2049" s="120" t="s">
        <v>1761</v>
      </c>
      <c r="E2049" s="120" t="s">
        <v>1762</v>
      </c>
      <c r="F2049" s="120" t="s">
        <v>14</v>
      </c>
      <c r="G2049" s="120">
        <v>1</v>
      </c>
      <c r="H2049">
        <v>1</v>
      </c>
      <c r="I2049" s="120" t="s">
        <v>57</v>
      </c>
      <c r="J2049">
        <v>0</v>
      </c>
      <c r="K2049">
        <v>1</v>
      </c>
      <c r="L2049" s="121">
        <v>11</v>
      </c>
      <c r="M2049" s="121">
        <v>11</v>
      </c>
      <c r="N2049" s="121">
        <v>11</v>
      </c>
    </row>
    <row r="2050" spans="1:14" hidden="1" x14ac:dyDescent="0.25">
      <c r="A2050" s="120" t="s">
        <v>3591</v>
      </c>
      <c r="B2050" s="120" t="s">
        <v>3701</v>
      </c>
      <c r="C2050" s="120" t="s">
        <v>301</v>
      </c>
      <c r="D2050" s="120" t="s">
        <v>1767</v>
      </c>
      <c r="E2050" s="120" t="s">
        <v>493</v>
      </c>
      <c r="F2050" s="120" t="s">
        <v>14</v>
      </c>
      <c r="G2050" s="120">
        <v>3</v>
      </c>
      <c r="H2050">
        <v>3</v>
      </c>
      <c r="I2050" s="120" t="s">
        <v>57</v>
      </c>
      <c r="J2050">
        <v>0</v>
      </c>
      <c r="K2050">
        <v>1</v>
      </c>
      <c r="L2050" s="121">
        <v>24</v>
      </c>
      <c r="M2050" s="121">
        <v>72</v>
      </c>
      <c r="N2050" s="121">
        <v>72</v>
      </c>
    </row>
    <row r="2051" spans="1:14" x14ac:dyDescent="0.25">
      <c r="A2051" s="120" t="s">
        <v>3758</v>
      </c>
      <c r="B2051" s="120" t="s">
        <v>3759</v>
      </c>
      <c r="C2051" s="120" t="s">
        <v>301</v>
      </c>
      <c r="D2051" s="120" t="s">
        <v>1114</v>
      </c>
      <c r="E2051" s="120" t="s">
        <v>38</v>
      </c>
      <c r="F2051" s="120" t="s">
        <v>14</v>
      </c>
      <c r="G2051" s="120">
        <v>39</v>
      </c>
      <c r="H2051">
        <v>39</v>
      </c>
      <c r="I2051" s="120" t="s">
        <v>11</v>
      </c>
      <c r="J2051">
        <v>0</v>
      </c>
      <c r="K2051">
        <v>1</v>
      </c>
      <c r="L2051" s="121">
        <v>140</v>
      </c>
      <c r="M2051" s="121">
        <v>5460</v>
      </c>
      <c r="N2051" s="121">
        <v>5460</v>
      </c>
    </row>
    <row r="2052" spans="1:14" x14ac:dyDescent="0.25">
      <c r="A2052" s="120" t="s">
        <v>3758</v>
      </c>
      <c r="B2052" s="120" t="s">
        <v>3759</v>
      </c>
      <c r="C2052" s="120" t="s">
        <v>301</v>
      </c>
      <c r="D2052" s="120" t="s">
        <v>1077</v>
      </c>
      <c r="E2052" s="120" t="s">
        <v>34</v>
      </c>
      <c r="F2052" s="120" t="s">
        <v>18</v>
      </c>
      <c r="G2052" s="120">
        <v>28</v>
      </c>
      <c r="H2052">
        <v>28</v>
      </c>
      <c r="I2052" s="120" t="s">
        <v>11</v>
      </c>
      <c r="J2052">
        <v>0</v>
      </c>
      <c r="K2052">
        <v>1</v>
      </c>
      <c r="L2052" s="121">
        <v>189</v>
      </c>
      <c r="M2052" s="121">
        <v>5292</v>
      </c>
      <c r="N2052" s="121">
        <v>5292</v>
      </c>
    </row>
    <row r="2053" spans="1:14" x14ac:dyDescent="0.25">
      <c r="A2053" s="120" t="s">
        <v>3758</v>
      </c>
      <c r="B2053" s="120" t="s">
        <v>3759</v>
      </c>
      <c r="C2053" s="120" t="s">
        <v>301</v>
      </c>
      <c r="D2053" s="120" t="s">
        <v>1078</v>
      </c>
      <c r="E2053" s="120" t="s">
        <v>449</v>
      </c>
      <c r="F2053" s="120" t="s">
        <v>14</v>
      </c>
      <c r="G2053" s="120">
        <v>1</v>
      </c>
      <c r="H2053">
        <v>1</v>
      </c>
      <c r="I2053" s="120" t="s">
        <v>11</v>
      </c>
      <c r="J2053">
        <v>0</v>
      </c>
      <c r="K2053">
        <v>1</v>
      </c>
      <c r="L2053" s="121">
        <v>760</v>
      </c>
      <c r="M2053" s="121">
        <v>760</v>
      </c>
      <c r="N2053" s="121">
        <v>760</v>
      </c>
    </row>
    <row r="2054" spans="1:14" x14ac:dyDescent="0.25">
      <c r="A2054" s="120" t="s">
        <v>3758</v>
      </c>
      <c r="B2054" s="120" t="s">
        <v>3759</v>
      </c>
      <c r="C2054" s="120" t="s">
        <v>301</v>
      </c>
      <c r="D2054" s="120" t="s">
        <v>1082</v>
      </c>
      <c r="E2054" s="120" t="s">
        <v>150</v>
      </c>
      <c r="F2054" s="120" t="s">
        <v>14</v>
      </c>
      <c r="G2054" s="120">
        <v>31</v>
      </c>
      <c r="H2054">
        <v>31</v>
      </c>
      <c r="I2054" s="120" t="s">
        <v>11</v>
      </c>
      <c r="J2054">
        <v>0</v>
      </c>
      <c r="K2054">
        <v>1</v>
      </c>
      <c r="L2054" s="121">
        <v>560</v>
      </c>
      <c r="M2054" s="121">
        <v>17360</v>
      </c>
      <c r="N2054" s="121">
        <v>17360</v>
      </c>
    </row>
    <row r="2055" spans="1:14" x14ac:dyDescent="0.25">
      <c r="A2055" s="120" t="s">
        <v>3758</v>
      </c>
      <c r="B2055" s="120" t="s">
        <v>3759</v>
      </c>
      <c r="C2055" s="120" t="s">
        <v>301</v>
      </c>
      <c r="D2055" s="120" t="s">
        <v>713</v>
      </c>
      <c r="E2055" s="120" t="s">
        <v>28</v>
      </c>
      <c r="F2055" s="120" t="s">
        <v>14</v>
      </c>
      <c r="G2055" s="120">
        <v>2</v>
      </c>
      <c r="H2055">
        <v>2</v>
      </c>
      <c r="I2055" s="120" t="s">
        <v>11</v>
      </c>
      <c r="J2055">
        <v>0</v>
      </c>
      <c r="K2055">
        <v>1</v>
      </c>
      <c r="L2055" s="121">
        <v>5.9</v>
      </c>
      <c r="M2055" s="121">
        <v>11.8</v>
      </c>
      <c r="N2055" s="121">
        <v>11.8</v>
      </c>
    </row>
    <row r="2056" spans="1:14" x14ac:dyDescent="0.25">
      <c r="A2056" s="120" t="s">
        <v>3758</v>
      </c>
      <c r="B2056" s="120" t="s">
        <v>3759</v>
      </c>
      <c r="C2056" s="120" t="s">
        <v>301</v>
      </c>
      <c r="D2056" s="120" t="s">
        <v>626</v>
      </c>
      <c r="E2056" s="120" t="s">
        <v>135</v>
      </c>
      <c r="F2056" s="120" t="s">
        <v>10</v>
      </c>
      <c r="G2056" s="120">
        <v>32</v>
      </c>
      <c r="H2056">
        <v>32</v>
      </c>
      <c r="I2056" s="120" t="s">
        <v>11</v>
      </c>
      <c r="J2056">
        <v>0</v>
      </c>
      <c r="K2056">
        <v>1</v>
      </c>
      <c r="L2056" s="121">
        <v>14.9</v>
      </c>
      <c r="M2056" s="121">
        <v>476.8</v>
      </c>
      <c r="N2056" s="121">
        <v>476.8</v>
      </c>
    </row>
    <row r="2057" spans="1:14" x14ac:dyDescent="0.25">
      <c r="A2057" s="120" t="s">
        <v>3758</v>
      </c>
      <c r="B2057" s="120" t="s">
        <v>3759</v>
      </c>
      <c r="C2057" s="120" t="s">
        <v>301</v>
      </c>
      <c r="D2057" s="120" t="s">
        <v>1145</v>
      </c>
      <c r="E2057" s="120" t="s">
        <v>1146</v>
      </c>
      <c r="F2057" s="120" t="s">
        <v>18</v>
      </c>
      <c r="G2057" s="120">
        <v>29</v>
      </c>
      <c r="H2057">
        <v>29</v>
      </c>
      <c r="I2057" s="120" t="s">
        <v>47</v>
      </c>
      <c r="J2057">
        <v>0</v>
      </c>
      <c r="K2057">
        <v>1</v>
      </c>
      <c r="L2057" s="121">
        <v>17</v>
      </c>
      <c r="M2057" s="121">
        <v>493</v>
      </c>
      <c r="N2057" s="121">
        <v>493</v>
      </c>
    </row>
    <row r="2058" spans="1:14" x14ac:dyDescent="0.25">
      <c r="A2058" s="120" t="s">
        <v>3758</v>
      </c>
      <c r="B2058" s="120" t="s">
        <v>3759</v>
      </c>
      <c r="C2058" s="120" t="s">
        <v>301</v>
      </c>
      <c r="D2058" s="120" t="s">
        <v>627</v>
      </c>
      <c r="E2058" s="120" t="s">
        <v>58</v>
      </c>
      <c r="F2058" s="120" t="s">
        <v>59</v>
      </c>
      <c r="G2058" s="120">
        <v>11</v>
      </c>
      <c r="H2058">
        <v>11</v>
      </c>
      <c r="I2058" s="120" t="s">
        <v>47</v>
      </c>
      <c r="J2058">
        <v>0</v>
      </c>
      <c r="K2058">
        <v>1</v>
      </c>
      <c r="L2058" s="121">
        <v>3.8</v>
      </c>
      <c r="M2058" s="121">
        <v>41.8</v>
      </c>
      <c r="N2058" s="121">
        <v>41.8</v>
      </c>
    </row>
    <row r="2059" spans="1:14" x14ac:dyDescent="0.25">
      <c r="A2059" s="120" t="s">
        <v>3758</v>
      </c>
      <c r="B2059" s="120" t="s">
        <v>3759</v>
      </c>
      <c r="C2059" s="120" t="s">
        <v>301</v>
      </c>
      <c r="D2059" s="120" t="s">
        <v>544</v>
      </c>
      <c r="E2059" s="120" t="s">
        <v>13</v>
      </c>
      <c r="F2059" s="120" t="s">
        <v>14</v>
      </c>
      <c r="G2059" s="120">
        <v>30</v>
      </c>
      <c r="H2059">
        <v>30</v>
      </c>
      <c r="I2059" s="120" t="s">
        <v>47</v>
      </c>
      <c r="J2059">
        <v>0</v>
      </c>
      <c r="K2059">
        <v>1</v>
      </c>
      <c r="L2059" s="121">
        <v>30</v>
      </c>
      <c r="M2059" s="121">
        <v>900</v>
      </c>
      <c r="N2059" s="121">
        <v>900</v>
      </c>
    </row>
    <row r="2060" spans="1:14" x14ac:dyDescent="0.25">
      <c r="A2060" s="120" t="s">
        <v>3758</v>
      </c>
      <c r="B2060" s="120" t="s">
        <v>3759</v>
      </c>
      <c r="C2060" s="120" t="s">
        <v>301</v>
      </c>
      <c r="D2060" s="120" t="s">
        <v>3702</v>
      </c>
      <c r="E2060" s="120" t="s">
        <v>2048</v>
      </c>
      <c r="F2060" s="120" t="s">
        <v>14</v>
      </c>
      <c r="G2060" s="120">
        <v>0</v>
      </c>
      <c r="H2060">
        <v>0</v>
      </c>
      <c r="I2060" s="120" t="s">
        <v>47</v>
      </c>
      <c r="J2060">
        <v>0</v>
      </c>
      <c r="K2060">
        <v>1</v>
      </c>
      <c r="L2060" s="121">
        <v>0</v>
      </c>
      <c r="M2060" s="121">
        <v>0</v>
      </c>
      <c r="N2060" s="121">
        <v>0</v>
      </c>
    </row>
    <row r="2061" spans="1:14" x14ac:dyDescent="0.25">
      <c r="A2061" s="120" t="s">
        <v>3758</v>
      </c>
      <c r="B2061" s="120" t="s">
        <v>3759</v>
      </c>
      <c r="C2061" s="120" t="s">
        <v>301</v>
      </c>
      <c r="D2061" s="120" t="s">
        <v>561</v>
      </c>
      <c r="E2061" s="120" t="s">
        <v>384</v>
      </c>
      <c r="F2061" s="120" t="s">
        <v>14</v>
      </c>
      <c r="G2061" s="120">
        <v>25</v>
      </c>
      <c r="H2061">
        <v>25</v>
      </c>
      <c r="I2061" s="120" t="s">
        <v>47</v>
      </c>
      <c r="J2061">
        <v>0</v>
      </c>
      <c r="K2061">
        <v>1</v>
      </c>
      <c r="L2061" s="121">
        <v>18</v>
      </c>
      <c r="M2061" s="121">
        <v>450</v>
      </c>
      <c r="N2061" s="121">
        <v>450</v>
      </c>
    </row>
    <row r="2062" spans="1:14" x14ac:dyDescent="0.25">
      <c r="A2062" s="120" t="s">
        <v>3758</v>
      </c>
      <c r="B2062" s="120" t="s">
        <v>3759</v>
      </c>
      <c r="C2062" s="120" t="s">
        <v>301</v>
      </c>
      <c r="D2062" s="120" t="s">
        <v>1776</v>
      </c>
      <c r="E2062" s="120" t="s">
        <v>67</v>
      </c>
      <c r="F2062" s="120" t="s">
        <v>10</v>
      </c>
      <c r="G2062" s="120">
        <v>28</v>
      </c>
      <c r="H2062">
        <v>28</v>
      </c>
      <c r="I2062" s="120" t="s">
        <v>47</v>
      </c>
      <c r="J2062">
        <v>0</v>
      </c>
      <c r="K2062">
        <v>1</v>
      </c>
      <c r="L2062" s="121">
        <v>26.9</v>
      </c>
      <c r="M2062" s="121">
        <v>753.19999999999993</v>
      </c>
      <c r="N2062" s="121">
        <v>753.19999999999993</v>
      </c>
    </row>
    <row r="2063" spans="1:14" x14ac:dyDescent="0.25">
      <c r="A2063" s="120" t="s">
        <v>3758</v>
      </c>
      <c r="B2063" s="120" t="s">
        <v>3759</v>
      </c>
      <c r="C2063" s="120" t="s">
        <v>301</v>
      </c>
      <c r="D2063" s="120" t="s">
        <v>712</v>
      </c>
      <c r="E2063" s="120" t="s">
        <v>51</v>
      </c>
      <c r="F2063" s="120" t="s">
        <v>14</v>
      </c>
      <c r="G2063" s="120">
        <v>1</v>
      </c>
      <c r="H2063">
        <v>1</v>
      </c>
      <c r="I2063" s="120" t="s">
        <v>47</v>
      </c>
      <c r="J2063">
        <v>0</v>
      </c>
      <c r="K2063">
        <v>1</v>
      </c>
      <c r="L2063" s="121">
        <v>10</v>
      </c>
      <c r="M2063" s="121">
        <v>10</v>
      </c>
      <c r="N2063" s="121">
        <v>10</v>
      </c>
    </row>
    <row r="2064" spans="1:14" hidden="1" x14ac:dyDescent="0.25">
      <c r="A2064" s="120" t="s">
        <v>3772</v>
      </c>
      <c r="B2064" s="120" t="s">
        <v>3773</v>
      </c>
      <c r="C2064" s="120" t="s">
        <v>301</v>
      </c>
      <c r="D2064" s="120" t="s">
        <v>3477</v>
      </c>
      <c r="E2064" s="120" t="s">
        <v>165</v>
      </c>
      <c r="F2064" s="120" t="s">
        <v>18</v>
      </c>
      <c r="G2064" s="120">
        <v>1</v>
      </c>
      <c r="H2064">
        <v>0</v>
      </c>
      <c r="I2064" s="120" t="s">
        <v>11</v>
      </c>
      <c r="J2064">
        <v>1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 s="120" t="s">
        <v>3758</v>
      </c>
      <c r="B2065" s="120" t="s">
        <v>3759</v>
      </c>
      <c r="C2065" s="120" t="s">
        <v>301</v>
      </c>
      <c r="D2065" s="120" t="s">
        <v>1143</v>
      </c>
      <c r="E2065" s="120" t="s">
        <v>54</v>
      </c>
      <c r="F2065" s="120" t="s">
        <v>14</v>
      </c>
      <c r="G2065" s="120">
        <v>31</v>
      </c>
      <c r="H2065">
        <v>31</v>
      </c>
      <c r="I2065" s="120" t="s">
        <v>47</v>
      </c>
      <c r="J2065">
        <v>0</v>
      </c>
      <c r="K2065">
        <v>1</v>
      </c>
      <c r="L2065" s="121">
        <v>17</v>
      </c>
      <c r="M2065" s="121">
        <v>527</v>
      </c>
      <c r="N2065" s="121">
        <v>527</v>
      </c>
    </row>
    <row r="2066" spans="1:14" x14ac:dyDescent="0.25">
      <c r="A2066" s="120" t="s">
        <v>3758</v>
      </c>
      <c r="B2066" s="120" t="s">
        <v>3759</v>
      </c>
      <c r="C2066" s="120" t="s">
        <v>301</v>
      </c>
      <c r="D2066" s="120" t="s">
        <v>551</v>
      </c>
      <c r="E2066" s="120" t="s">
        <v>552</v>
      </c>
      <c r="F2066" s="120" t="s">
        <v>14</v>
      </c>
      <c r="G2066" s="120">
        <v>10</v>
      </c>
      <c r="H2066">
        <v>10</v>
      </c>
      <c r="I2066" s="120" t="s">
        <v>57</v>
      </c>
      <c r="J2066">
        <v>0</v>
      </c>
      <c r="K2066">
        <v>1</v>
      </c>
      <c r="L2066" s="121">
        <v>28</v>
      </c>
      <c r="M2066" s="121">
        <v>280</v>
      </c>
      <c r="N2066" s="121">
        <v>280</v>
      </c>
    </row>
    <row r="2067" spans="1:14" x14ac:dyDescent="0.25">
      <c r="A2067" s="120" t="s">
        <v>3758</v>
      </c>
      <c r="B2067" s="120" t="s">
        <v>3759</v>
      </c>
      <c r="C2067" s="120" t="s">
        <v>301</v>
      </c>
      <c r="D2067" s="120" t="s">
        <v>1079</v>
      </c>
      <c r="E2067" s="120" t="s">
        <v>1080</v>
      </c>
      <c r="F2067" s="120" t="s">
        <v>18</v>
      </c>
      <c r="G2067" s="120">
        <v>2</v>
      </c>
      <c r="H2067">
        <v>2</v>
      </c>
      <c r="I2067" s="120" t="s">
        <v>57</v>
      </c>
      <c r="J2067">
        <v>0</v>
      </c>
      <c r="K2067">
        <v>1</v>
      </c>
      <c r="L2067" s="121">
        <v>782.99249999999995</v>
      </c>
      <c r="M2067" s="121">
        <v>1565.9849999999999</v>
      </c>
      <c r="N2067" s="121">
        <v>1565.9849999999999</v>
      </c>
    </row>
    <row r="2068" spans="1:14" hidden="1" x14ac:dyDescent="0.25">
      <c r="A2068" s="120" t="s">
        <v>3772</v>
      </c>
      <c r="B2068" s="120" t="s">
        <v>3773</v>
      </c>
      <c r="C2068" s="120" t="s">
        <v>301</v>
      </c>
      <c r="D2068" s="120" t="s">
        <v>3676</v>
      </c>
      <c r="E2068" s="120" t="s">
        <v>495</v>
      </c>
      <c r="F2068" s="120" t="s">
        <v>14</v>
      </c>
      <c r="G2068" s="120">
        <v>1</v>
      </c>
      <c r="H2068">
        <v>0</v>
      </c>
      <c r="I2068" s="120" t="s">
        <v>47</v>
      </c>
      <c r="J2068">
        <v>1</v>
      </c>
      <c r="K2068">
        <v>0</v>
      </c>
      <c r="L2068">
        <v>0</v>
      </c>
      <c r="M2068">
        <v>0</v>
      </c>
      <c r="N2068">
        <v>0</v>
      </c>
    </row>
    <row r="2069" spans="1:14" hidden="1" x14ac:dyDescent="0.25">
      <c r="A2069" s="120" t="s">
        <v>3772</v>
      </c>
      <c r="B2069" s="120" t="s">
        <v>3773</v>
      </c>
      <c r="C2069" s="120" t="s">
        <v>301</v>
      </c>
      <c r="D2069" s="120" t="s">
        <v>3753</v>
      </c>
      <c r="E2069" s="120" t="s">
        <v>1850</v>
      </c>
      <c r="F2069" s="120" t="s">
        <v>14</v>
      </c>
      <c r="G2069" s="120">
        <v>2</v>
      </c>
      <c r="H2069">
        <v>0</v>
      </c>
      <c r="I2069" s="120" t="s">
        <v>57</v>
      </c>
      <c r="J2069">
        <v>2</v>
      </c>
      <c r="K2069">
        <v>0</v>
      </c>
      <c r="L2069">
        <v>0</v>
      </c>
      <c r="M2069">
        <v>0</v>
      </c>
      <c r="N2069">
        <v>0</v>
      </c>
    </row>
    <row r="2070" spans="1:14" hidden="1" x14ac:dyDescent="0.25">
      <c r="A2070" s="120" t="s">
        <v>3772</v>
      </c>
      <c r="B2070" s="120" t="s">
        <v>3773</v>
      </c>
      <c r="C2070" s="120" t="s">
        <v>301</v>
      </c>
      <c r="D2070" s="120" t="s">
        <v>3754</v>
      </c>
      <c r="E2070" s="120" t="s">
        <v>2988</v>
      </c>
      <c r="F2070" s="120" t="s">
        <v>10</v>
      </c>
      <c r="G2070" s="120">
        <v>23</v>
      </c>
      <c r="H2070">
        <v>0</v>
      </c>
      <c r="I2070" s="120" t="s">
        <v>57</v>
      </c>
      <c r="J2070">
        <v>23</v>
      </c>
      <c r="K2070">
        <v>0</v>
      </c>
      <c r="L2070">
        <v>0</v>
      </c>
      <c r="M2070">
        <v>0</v>
      </c>
      <c r="N2070">
        <v>0</v>
      </c>
    </row>
    <row r="2071" spans="1:14" hidden="1" x14ac:dyDescent="0.25">
      <c r="A2071" s="120" t="s">
        <v>3463</v>
      </c>
      <c r="B2071" s="120" t="s">
        <v>3805</v>
      </c>
      <c r="C2071" s="120" t="s">
        <v>301</v>
      </c>
      <c r="D2071" s="120" t="s">
        <v>3808</v>
      </c>
      <c r="E2071" s="120" t="s">
        <v>1926</v>
      </c>
      <c r="F2071" s="120"/>
      <c r="G2071" s="120">
        <v>7</v>
      </c>
      <c r="H2071">
        <v>0</v>
      </c>
      <c r="I2071" s="120" t="s">
        <v>57</v>
      </c>
      <c r="J2071">
        <v>7</v>
      </c>
      <c r="K2071">
        <v>0</v>
      </c>
      <c r="L2071">
        <v>0</v>
      </c>
      <c r="M2071">
        <v>0</v>
      </c>
      <c r="N2071">
        <v>0</v>
      </c>
    </row>
    <row r="2072" spans="1:14" hidden="1" x14ac:dyDescent="0.25">
      <c r="A2072" s="120" t="s">
        <v>3463</v>
      </c>
      <c r="B2072" s="120" t="s">
        <v>3805</v>
      </c>
      <c r="C2072" s="120" t="s">
        <v>301</v>
      </c>
      <c r="D2072" s="120" t="s">
        <v>606</v>
      </c>
      <c r="E2072" s="120" t="s">
        <v>607</v>
      </c>
      <c r="F2072" s="120" t="s">
        <v>10</v>
      </c>
      <c r="G2072" s="120">
        <v>6</v>
      </c>
      <c r="H2072">
        <v>5</v>
      </c>
      <c r="I2072" s="120" t="s">
        <v>47</v>
      </c>
      <c r="J2072">
        <v>1</v>
      </c>
      <c r="K2072">
        <v>0</v>
      </c>
      <c r="L2072">
        <v>12</v>
      </c>
      <c r="M2072">
        <v>72</v>
      </c>
      <c r="N2072">
        <v>60</v>
      </c>
    </row>
    <row r="2073" spans="1:14" x14ac:dyDescent="0.25">
      <c r="A2073" s="120" t="s">
        <v>3758</v>
      </c>
      <c r="B2073" s="120" t="s">
        <v>3759</v>
      </c>
      <c r="C2073" s="120" t="s">
        <v>301</v>
      </c>
      <c r="D2073" s="120" t="s">
        <v>1130</v>
      </c>
      <c r="E2073" s="120" t="s">
        <v>1131</v>
      </c>
      <c r="F2073" s="120" t="s">
        <v>157</v>
      </c>
      <c r="G2073" s="120">
        <v>12</v>
      </c>
      <c r="H2073">
        <v>12</v>
      </c>
      <c r="I2073" s="120" t="s">
        <v>57</v>
      </c>
      <c r="J2073">
        <v>0</v>
      </c>
      <c r="K2073">
        <v>1</v>
      </c>
      <c r="L2073" s="121">
        <v>90</v>
      </c>
      <c r="M2073" s="121">
        <v>1080</v>
      </c>
      <c r="N2073" s="121">
        <v>1080</v>
      </c>
    </row>
    <row r="2074" spans="1:14" x14ac:dyDescent="0.25">
      <c r="A2074" s="120" t="s">
        <v>3758</v>
      </c>
      <c r="B2074" s="120" t="s">
        <v>3759</v>
      </c>
      <c r="C2074" s="120" t="s">
        <v>301</v>
      </c>
      <c r="D2074" s="120" t="s">
        <v>695</v>
      </c>
      <c r="E2074" s="120" t="s">
        <v>62</v>
      </c>
      <c r="F2074" s="120" t="s">
        <v>10</v>
      </c>
      <c r="G2074" s="120">
        <v>21</v>
      </c>
      <c r="H2074">
        <v>21</v>
      </c>
      <c r="I2074" s="120" t="s">
        <v>57</v>
      </c>
      <c r="J2074">
        <v>0</v>
      </c>
      <c r="K2074">
        <v>1</v>
      </c>
      <c r="L2074" s="121">
        <v>15.9</v>
      </c>
      <c r="M2074" s="121">
        <v>333.90000000000003</v>
      </c>
      <c r="N2074" s="121">
        <v>333.90000000000003</v>
      </c>
    </row>
    <row r="2075" spans="1:14" hidden="1" x14ac:dyDescent="0.25">
      <c r="A2075" s="120" t="s">
        <v>3463</v>
      </c>
      <c r="B2075" s="120" t="s">
        <v>3805</v>
      </c>
      <c r="C2075" s="120" t="s">
        <v>301</v>
      </c>
      <c r="D2075" s="120" t="s">
        <v>3467</v>
      </c>
      <c r="E2075" s="120" t="s">
        <v>23</v>
      </c>
      <c r="F2075" s="120" t="s">
        <v>18</v>
      </c>
      <c r="G2075" s="120">
        <v>2</v>
      </c>
      <c r="H2075">
        <v>0</v>
      </c>
      <c r="I2075" s="120" t="s">
        <v>11</v>
      </c>
      <c r="J2075">
        <v>2</v>
      </c>
      <c r="K2075">
        <v>0</v>
      </c>
      <c r="L2075">
        <v>0</v>
      </c>
      <c r="M2075">
        <v>0</v>
      </c>
      <c r="N2075">
        <v>0</v>
      </c>
    </row>
    <row r="2076" spans="1:14" hidden="1" x14ac:dyDescent="0.25">
      <c r="A2076" s="120" t="s">
        <v>3463</v>
      </c>
      <c r="B2076" s="120" t="s">
        <v>3805</v>
      </c>
      <c r="C2076" s="120" t="s">
        <v>301</v>
      </c>
      <c r="D2076" s="120" t="s">
        <v>3652</v>
      </c>
      <c r="E2076" s="120" t="s">
        <v>1785</v>
      </c>
      <c r="F2076" s="120" t="s">
        <v>10</v>
      </c>
      <c r="G2076" s="120">
        <v>2</v>
      </c>
      <c r="H2076">
        <v>0</v>
      </c>
      <c r="I2076" s="120" t="s">
        <v>57</v>
      </c>
      <c r="J2076">
        <v>2</v>
      </c>
      <c r="K2076">
        <v>0</v>
      </c>
      <c r="L2076">
        <v>0</v>
      </c>
      <c r="M2076">
        <v>0</v>
      </c>
      <c r="N2076">
        <v>0</v>
      </c>
    </row>
    <row r="2077" spans="1:14" hidden="1" x14ac:dyDescent="0.25">
      <c r="A2077" s="120" t="s">
        <v>3463</v>
      </c>
      <c r="B2077" s="120" t="s">
        <v>3805</v>
      </c>
      <c r="C2077" s="120" t="s">
        <v>301</v>
      </c>
      <c r="D2077" s="120" t="s">
        <v>3736</v>
      </c>
      <c r="E2077" s="120" t="s">
        <v>2464</v>
      </c>
      <c r="F2077" s="120" t="s">
        <v>14</v>
      </c>
      <c r="G2077" s="120">
        <v>1</v>
      </c>
      <c r="H2077">
        <v>0</v>
      </c>
      <c r="I2077" s="120" t="s">
        <v>47</v>
      </c>
      <c r="J2077">
        <v>1</v>
      </c>
      <c r="K2077">
        <v>0</v>
      </c>
      <c r="L2077">
        <v>0</v>
      </c>
      <c r="M2077">
        <v>0</v>
      </c>
      <c r="N2077">
        <v>0</v>
      </c>
    </row>
    <row r="2078" spans="1:14" hidden="1" x14ac:dyDescent="0.25">
      <c r="A2078" s="120" t="s">
        <v>3463</v>
      </c>
      <c r="B2078" s="120" t="s">
        <v>3805</v>
      </c>
      <c r="C2078" s="120" t="s">
        <v>301</v>
      </c>
      <c r="D2078" s="120" t="s">
        <v>3809</v>
      </c>
      <c r="E2078" s="120" t="s">
        <v>2465</v>
      </c>
      <c r="F2078" s="120"/>
      <c r="G2078" s="120">
        <v>1</v>
      </c>
      <c r="H2078">
        <v>0</v>
      </c>
      <c r="I2078" s="120" t="s">
        <v>57</v>
      </c>
      <c r="J2078">
        <v>1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 s="120" t="s">
        <v>3758</v>
      </c>
      <c r="B2079" s="120" t="s">
        <v>3759</v>
      </c>
      <c r="C2079" s="120" t="s">
        <v>301</v>
      </c>
      <c r="D2079" s="120" t="s">
        <v>689</v>
      </c>
      <c r="E2079" s="120" t="s">
        <v>412</v>
      </c>
      <c r="F2079" s="120" t="s">
        <v>10</v>
      </c>
      <c r="G2079" s="120">
        <v>48</v>
      </c>
      <c r="H2079">
        <v>48</v>
      </c>
      <c r="I2079" s="120" t="s">
        <v>57</v>
      </c>
      <c r="J2079">
        <v>0</v>
      </c>
      <c r="K2079">
        <v>1</v>
      </c>
      <c r="L2079" s="121">
        <v>17.399999999999999</v>
      </c>
      <c r="M2079" s="121">
        <v>835.19999999999993</v>
      </c>
      <c r="N2079" s="121">
        <v>835.19999999999993</v>
      </c>
    </row>
    <row r="2080" spans="1:14" x14ac:dyDescent="0.25">
      <c r="A2080" s="120" t="s">
        <v>3758</v>
      </c>
      <c r="B2080" s="120" t="s">
        <v>3759</v>
      </c>
      <c r="C2080" s="120" t="s">
        <v>301</v>
      </c>
      <c r="D2080" s="120" t="s">
        <v>698</v>
      </c>
      <c r="E2080" s="120" t="s">
        <v>426</v>
      </c>
      <c r="F2080" s="120" t="s">
        <v>10</v>
      </c>
      <c r="G2080" s="120">
        <v>22</v>
      </c>
      <c r="H2080">
        <v>22</v>
      </c>
      <c r="I2080" s="120" t="s">
        <v>57</v>
      </c>
      <c r="J2080">
        <v>0</v>
      </c>
      <c r="K2080">
        <v>1</v>
      </c>
      <c r="L2080" s="121">
        <v>5.3</v>
      </c>
      <c r="M2080" s="121">
        <v>116.6</v>
      </c>
      <c r="N2080" s="121">
        <v>116.6</v>
      </c>
    </row>
    <row r="2081" spans="1:14" hidden="1" x14ac:dyDescent="0.25">
      <c r="A2081" s="120" t="s">
        <v>3463</v>
      </c>
      <c r="B2081" s="120" t="s">
        <v>3805</v>
      </c>
      <c r="C2081" s="120" t="s">
        <v>301</v>
      </c>
      <c r="D2081" s="120" t="s">
        <v>3659</v>
      </c>
      <c r="E2081" s="120" t="s">
        <v>472</v>
      </c>
      <c r="F2081" s="120" t="s">
        <v>10</v>
      </c>
      <c r="G2081" s="120">
        <v>3</v>
      </c>
      <c r="H2081">
        <v>0</v>
      </c>
      <c r="I2081" s="120" t="s">
        <v>57</v>
      </c>
      <c r="J2081">
        <v>3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 s="120" t="s">
        <v>3758</v>
      </c>
      <c r="B2082" s="120" t="s">
        <v>3759</v>
      </c>
      <c r="C2082" s="120" t="s">
        <v>301</v>
      </c>
      <c r="D2082" s="120" t="s">
        <v>699</v>
      </c>
      <c r="E2082" s="120" t="s">
        <v>700</v>
      </c>
      <c r="F2082" s="120" t="s">
        <v>10</v>
      </c>
      <c r="G2082" s="120">
        <v>22</v>
      </c>
      <c r="H2082">
        <v>22</v>
      </c>
      <c r="I2082" s="120" t="s">
        <v>57</v>
      </c>
      <c r="J2082">
        <v>0</v>
      </c>
      <c r="K2082">
        <v>1</v>
      </c>
      <c r="L2082" s="121">
        <v>5.3</v>
      </c>
      <c r="M2082" s="121">
        <v>116.6</v>
      </c>
      <c r="N2082" s="121">
        <v>116.6</v>
      </c>
    </row>
    <row r="2083" spans="1:14" hidden="1" x14ac:dyDescent="0.25">
      <c r="A2083" s="120" t="s">
        <v>3463</v>
      </c>
      <c r="B2083" s="120" t="s">
        <v>3805</v>
      </c>
      <c r="C2083" s="120" t="s">
        <v>69</v>
      </c>
      <c r="D2083" s="120" t="s">
        <v>3574</v>
      </c>
      <c r="E2083" s="120" t="s">
        <v>261</v>
      </c>
      <c r="F2083" s="120" t="s">
        <v>18</v>
      </c>
      <c r="G2083" s="120">
        <v>1</v>
      </c>
      <c r="H2083">
        <v>0</v>
      </c>
      <c r="I2083" s="120" t="s">
        <v>57</v>
      </c>
      <c r="J2083">
        <v>1</v>
      </c>
      <c r="K2083">
        <v>0</v>
      </c>
      <c r="L2083">
        <v>0</v>
      </c>
      <c r="M2083">
        <v>0</v>
      </c>
      <c r="N2083">
        <v>0</v>
      </c>
    </row>
    <row r="2084" spans="1:14" hidden="1" x14ac:dyDescent="0.25">
      <c r="A2084" s="120" t="s">
        <v>3463</v>
      </c>
      <c r="B2084" s="120" t="s">
        <v>3805</v>
      </c>
      <c r="C2084" s="120" t="s">
        <v>69</v>
      </c>
      <c r="D2084" s="120" t="s">
        <v>3497</v>
      </c>
      <c r="E2084" s="120" t="s">
        <v>91</v>
      </c>
      <c r="F2084" s="120" t="s">
        <v>18</v>
      </c>
      <c r="G2084" s="120">
        <v>16</v>
      </c>
      <c r="H2084">
        <v>0</v>
      </c>
      <c r="I2084" s="120" t="s">
        <v>11</v>
      </c>
      <c r="J2084">
        <v>16</v>
      </c>
      <c r="K2084">
        <v>0</v>
      </c>
      <c r="L2084">
        <v>0</v>
      </c>
      <c r="M2084">
        <v>0</v>
      </c>
      <c r="N2084">
        <v>0</v>
      </c>
    </row>
    <row r="2085" spans="1:14" hidden="1" x14ac:dyDescent="0.25">
      <c r="A2085" s="120" t="s">
        <v>3463</v>
      </c>
      <c r="B2085" s="120" t="s">
        <v>3805</v>
      </c>
      <c r="C2085" s="120" t="s">
        <v>69</v>
      </c>
      <c r="D2085" s="120" t="s">
        <v>3489</v>
      </c>
      <c r="E2085" s="120" t="s">
        <v>80</v>
      </c>
      <c r="F2085" s="120" t="s">
        <v>10</v>
      </c>
      <c r="G2085" s="120">
        <v>3</v>
      </c>
      <c r="H2085">
        <v>0</v>
      </c>
      <c r="I2085" s="120" t="s">
        <v>47</v>
      </c>
      <c r="J2085">
        <v>3</v>
      </c>
      <c r="K2085">
        <v>0</v>
      </c>
      <c r="L2085">
        <v>0</v>
      </c>
      <c r="M2085">
        <v>0</v>
      </c>
      <c r="N2085">
        <v>0</v>
      </c>
    </row>
    <row r="2086" spans="1:14" hidden="1" x14ac:dyDescent="0.25">
      <c r="A2086" s="120" t="s">
        <v>3463</v>
      </c>
      <c r="B2086" s="120" t="s">
        <v>3805</v>
      </c>
      <c r="C2086" s="120" t="s">
        <v>69</v>
      </c>
      <c r="D2086" s="120" t="s">
        <v>572</v>
      </c>
      <c r="E2086" s="120" t="s">
        <v>502</v>
      </c>
      <c r="F2086" s="120" t="s">
        <v>18</v>
      </c>
      <c r="G2086" s="120">
        <v>2</v>
      </c>
      <c r="H2086">
        <v>0</v>
      </c>
      <c r="I2086" s="120" t="s">
        <v>57</v>
      </c>
      <c r="J2086">
        <v>2</v>
      </c>
      <c r="K2086">
        <v>0</v>
      </c>
      <c r="L2086">
        <v>33.979999999999997</v>
      </c>
      <c r="M2086">
        <v>67.959999999999994</v>
      </c>
      <c r="N2086">
        <v>0</v>
      </c>
    </row>
    <row r="2087" spans="1:14" hidden="1" x14ac:dyDescent="0.25">
      <c r="A2087" s="120" t="s">
        <v>3463</v>
      </c>
      <c r="B2087" s="120" t="s">
        <v>3805</v>
      </c>
      <c r="C2087" s="120" t="s">
        <v>69</v>
      </c>
      <c r="D2087" s="120" t="s">
        <v>582</v>
      </c>
      <c r="E2087" s="120" t="s">
        <v>583</v>
      </c>
      <c r="F2087" s="120" t="s">
        <v>233</v>
      </c>
      <c r="G2087" s="120">
        <v>1</v>
      </c>
      <c r="H2087">
        <v>0</v>
      </c>
      <c r="I2087" s="120" t="s">
        <v>57</v>
      </c>
      <c r="J2087">
        <v>1</v>
      </c>
      <c r="K2087">
        <v>0</v>
      </c>
      <c r="L2087">
        <v>54</v>
      </c>
      <c r="M2087">
        <v>54</v>
      </c>
      <c r="N2087">
        <v>0</v>
      </c>
    </row>
    <row r="2088" spans="1:14" hidden="1" x14ac:dyDescent="0.25">
      <c r="A2088" s="120" t="s">
        <v>3463</v>
      </c>
      <c r="B2088" s="120" t="s">
        <v>3805</v>
      </c>
      <c r="C2088" s="120" t="s">
        <v>69</v>
      </c>
      <c r="D2088" s="120" t="s">
        <v>578</v>
      </c>
      <c r="E2088" s="120" t="s">
        <v>579</v>
      </c>
      <c r="F2088" s="120" t="s">
        <v>233</v>
      </c>
      <c r="G2088" s="120">
        <v>5</v>
      </c>
      <c r="H2088">
        <v>0</v>
      </c>
      <c r="I2088" s="120" t="s">
        <v>57</v>
      </c>
      <c r="J2088">
        <v>5</v>
      </c>
      <c r="K2088">
        <v>0</v>
      </c>
      <c r="L2088">
        <v>54</v>
      </c>
      <c r="M2088">
        <v>270</v>
      </c>
      <c r="N2088">
        <v>0</v>
      </c>
    </row>
    <row r="2089" spans="1:14" hidden="1" x14ac:dyDescent="0.25">
      <c r="A2089" s="120" t="s">
        <v>3463</v>
      </c>
      <c r="B2089" s="120" t="s">
        <v>3805</v>
      </c>
      <c r="C2089" s="120" t="s">
        <v>69</v>
      </c>
      <c r="D2089" s="120" t="s">
        <v>580</v>
      </c>
      <c r="E2089" s="120" t="s">
        <v>581</v>
      </c>
      <c r="F2089" s="120" t="s">
        <v>233</v>
      </c>
      <c r="G2089" s="120">
        <v>2</v>
      </c>
      <c r="H2089">
        <v>0</v>
      </c>
      <c r="I2089" s="120" t="s">
        <v>57</v>
      </c>
      <c r="J2089">
        <v>2</v>
      </c>
      <c r="K2089">
        <v>0</v>
      </c>
      <c r="L2089">
        <v>54</v>
      </c>
      <c r="M2089">
        <v>108</v>
      </c>
      <c r="N2089">
        <v>0</v>
      </c>
    </row>
    <row r="2090" spans="1:14" hidden="1" x14ac:dyDescent="0.25">
      <c r="A2090" s="120" t="s">
        <v>3463</v>
      </c>
      <c r="B2090" s="120" t="s">
        <v>3805</v>
      </c>
      <c r="C2090" s="120" t="s">
        <v>69</v>
      </c>
      <c r="D2090" s="120" t="s">
        <v>576</v>
      </c>
      <c r="E2090" s="120" t="s">
        <v>503</v>
      </c>
      <c r="F2090" s="120" t="s">
        <v>18</v>
      </c>
      <c r="G2090" s="120">
        <v>6</v>
      </c>
      <c r="H2090">
        <v>0</v>
      </c>
      <c r="I2090" s="120" t="s">
        <v>57</v>
      </c>
      <c r="J2090">
        <v>6</v>
      </c>
      <c r="K2090">
        <v>0</v>
      </c>
      <c r="L2090">
        <v>33.979999999999997</v>
      </c>
      <c r="M2090">
        <v>203.88</v>
      </c>
      <c r="N2090">
        <v>0</v>
      </c>
    </row>
    <row r="2091" spans="1:14" hidden="1" x14ac:dyDescent="0.25">
      <c r="A2091" s="120" t="s">
        <v>3463</v>
      </c>
      <c r="B2091" s="120" t="s">
        <v>3805</v>
      </c>
      <c r="C2091" s="120" t="s">
        <v>69</v>
      </c>
      <c r="D2091" s="120" t="s">
        <v>584</v>
      </c>
      <c r="E2091" s="120" t="s">
        <v>585</v>
      </c>
      <c r="F2091" s="120" t="s">
        <v>233</v>
      </c>
      <c r="G2091" s="120">
        <v>5</v>
      </c>
      <c r="H2091">
        <v>0</v>
      </c>
      <c r="I2091" s="120" t="s">
        <v>57</v>
      </c>
      <c r="J2091">
        <v>5</v>
      </c>
      <c r="K2091">
        <v>0</v>
      </c>
      <c r="L2091">
        <v>54</v>
      </c>
      <c r="M2091">
        <v>270</v>
      </c>
      <c r="N2091">
        <v>0</v>
      </c>
    </row>
    <row r="2092" spans="1:14" hidden="1" x14ac:dyDescent="0.25">
      <c r="A2092" s="120" t="s">
        <v>3463</v>
      </c>
      <c r="B2092" s="120" t="s">
        <v>3805</v>
      </c>
      <c r="C2092" s="120" t="s">
        <v>69</v>
      </c>
      <c r="D2092" s="120" t="s">
        <v>586</v>
      </c>
      <c r="E2092" s="120" t="s">
        <v>226</v>
      </c>
      <c r="F2092" s="120" t="s">
        <v>18</v>
      </c>
      <c r="G2092" s="120">
        <v>5</v>
      </c>
      <c r="H2092">
        <v>0</v>
      </c>
      <c r="I2092" s="120" t="s">
        <v>57</v>
      </c>
      <c r="J2092">
        <v>5</v>
      </c>
      <c r="K2092">
        <v>0</v>
      </c>
      <c r="L2092">
        <v>54</v>
      </c>
      <c r="M2092">
        <v>270</v>
      </c>
      <c r="N2092">
        <v>0</v>
      </c>
    </row>
    <row r="2093" spans="1:14" hidden="1" x14ac:dyDescent="0.25">
      <c r="A2093" s="120" t="s">
        <v>3463</v>
      </c>
      <c r="B2093" s="120" t="s">
        <v>3805</v>
      </c>
      <c r="C2093" s="120" t="s">
        <v>69</v>
      </c>
      <c r="D2093" s="120" t="s">
        <v>685</v>
      </c>
      <c r="E2093" s="120" t="s">
        <v>98</v>
      </c>
      <c r="F2093" s="120" t="s">
        <v>18</v>
      </c>
      <c r="G2093" s="120">
        <v>18</v>
      </c>
      <c r="H2093">
        <v>0</v>
      </c>
      <c r="I2093" s="120" t="s">
        <v>57</v>
      </c>
      <c r="J2093">
        <v>18</v>
      </c>
      <c r="K2093">
        <v>0</v>
      </c>
      <c r="L2093">
        <v>22.8</v>
      </c>
      <c r="M2093">
        <v>410.40000000000003</v>
      </c>
      <c r="N2093">
        <v>0</v>
      </c>
    </row>
    <row r="2094" spans="1:14" hidden="1" x14ac:dyDescent="0.25">
      <c r="A2094" s="120" t="s">
        <v>3463</v>
      </c>
      <c r="B2094" s="120" t="s">
        <v>3805</v>
      </c>
      <c r="C2094" s="120" t="s">
        <v>69</v>
      </c>
      <c r="D2094" s="120" t="s">
        <v>3509</v>
      </c>
      <c r="E2094" s="120" t="s">
        <v>116</v>
      </c>
      <c r="F2094" s="120" t="s">
        <v>14</v>
      </c>
      <c r="G2094" s="120">
        <v>41</v>
      </c>
      <c r="H2094">
        <v>0</v>
      </c>
      <c r="I2094" s="120" t="s">
        <v>47</v>
      </c>
      <c r="J2094">
        <v>41</v>
      </c>
      <c r="K2094">
        <v>0</v>
      </c>
      <c r="L2094">
        <v>0</v>
      </c>
      <c r="M2094">
        <v>0</v>
      </c>
      <c r="N2094">
        <v>0</v>
      </c>
    </row>
    <row r="2095" spans="1:14" hidden="1" x14ac:dyDescent="0.25">
      <c r="A2095" s="120" t="s">
        <v>3463</v>
      </c>
      <c r="B2095" s="120" t="s">
        <v>3805</v>
      </c>
      <c r="C2095" s="120" t="s">
        <v>69</v>
      </c>
      <c r="D2095" s="120" t="s">
        <v>3578</v>
      </c>
      <c r="E2095" s="120" t="s">
        <v>267</v>
      </c>
      <c r="F2095" s="120" t="s">
        <v>10</v>
      </c>
      <c r="G2095" s="120">
        <v>19</v>
      </c>
      <c r="H2095">
        <v>0</v>
      </c>
      <c r="I2095" s="120" t="s">
        <v>57</v>
      </c>
      <c r="J2095">
        <v>19</v>
      </c>
      <c r="K2095">
        <v>0</v>
      </c>
      <c r="L2095">
        <v>0</v>
      </c>
      <c r="M2095">
        <v>0</v>
      </c>
      <c r="N2095">
        <v>0</v>
      </c>
    </row>
    <row r="2096" spans="1:14" hidden="1" x14ac:dyDescent="0.25">
      <c r="A2096" s="120" t="s">
        <v>3463</v>
      </c>
      <c r="B2096" s="120" t="s">
        <v>3805</v>
      </c>
      <c r="C2096" s="120" t="s">
        <v>69</v>
      </c>
      <c r="D2096" s="120" t="s">
        <v>728</v>
      </c>
      <c r="E2096" s="120" t="s">
        <v>100</v>
      </c>
      <c r="F2096" s="120" t="s">
        <v>101</v>
      </c>
      <c r="G2096" s="120">
        <v>20</v>
      </c>
      <c r="H2096">
        <v>0</v>
      </c>
      <c r="I2096" s="120" t="s">
        <v>11</v>
      </c>
      <c r="J2096">
        <v>20</v>
      </c>
      <c r="K2096">
        <v>0</v>
      </c>
      <c r="L2096">
        <v>165</v>
      </c>
      <c r="M2096">
        <v>3300</v>
      </c>
      <c r="N2096">
        <v>0</v>
      </c>
    </row>
    <row r="2097" spans="1:14" hidden="1" x14ac:dyDescent="0.25">
      <c r="A2097" s="120" t="s">
        <v>3463</v>
      </c>
      <c r="B2097" s="120" t="s">
        <v>3805</v>
      </c>
      <c r="C2097" s="120" t="s">
        <v>69</v>
      </c>
      <c r="D2097" s="120" t="s">
        <v>3791</v>
      </c>
      <c r="E2097" s="120" t="s">
        <v>3044</v>
      </c>
      <c r="F2097" s="120" t="s">
        <v>14</v>
      </c>
      <c r="G2097" s="120">
        <v>28</v>
      </c>
      <c r="H2097">
        <v>0</v>
      </c>
      <c r="I2097" s="120" t="s">
        <v>47</v>
      </c>
      <c r="J2097">
        <v>28</v>
      </c>
      <c r="K2097">
        <v>0</v>
      </c>
      <c r="L2097">
        <v>0</v>
      </c>
      <c r="M2097">
        <v>0</v>
      </c>
      <c r="N2097">
        <v>0</v>
      </c>
    </row>
    <row r="2098" spans="1:14" hidden="1" x14ac:dyDescent="0.25">
      <c r="A2098" s="120" t="s">
        <v>3463</v>
      </c>
      <c r="B2098" s="120" t="s">
        <v>3805</v>
      </c>
      <c r="C2098" s="120" t="s">
        <v>69</v>
      </c>
      <c r="D2098" s="120" t="s">
        <v>3525</v>
      </c>
      <c r="E2098" s="120" t="s">
        <v>212</v>
      </c>
      <c r="F2098" s="120" t="s">
        <v>18</v>
      </c>
      <c r="G2098" s="120">
        <v>21</v>
      </c>
      <c r="H2098">
        <v>0</v>
      </c>
      <c r="I2098" s="120" t="s">
        <v>57</v>
      </c>
      <c r="J2098">
        <v>21</v>
      </c>
      <c r="K2098">
        <v>0</v>
      </c>
      <c r="L2098">
        <v>0</v>
      </c>
      <c r="M2098">
        <v>0</v>
      </c>
      <c r="N2098">
        <v>0</v>
      </c>
    </row>
    <row r="2099" spans="1:14" hidden="1" x14ac:dyDescent="0.25">
      <c r="A2099" s="120" t="s">
        <v>3463</v>
      </c>
      <c r="B2099" s="120" t="s">
        <v>3805</v>
      </c>
      <c r="C2099" s="120" t="s">
        <v>69</v>
      </c>
      <c r="D2099" s="120"/>
      <c r="E2099" s="120" t="s">
        <v>361</v>
      </c>
      <c r="F2099" s="120" t="s">
        <v>18</v>
      </c>
      <c r="G2099" s="120">
        <v>23</v>
      </c>
      <c r="H2099">
        <v>0</v>
      </c>
      <c r="I2099" s="120" t="s">
        <v>57</v>
      </c>
      <c r="J2099">
        <v>23</v>
      </c>
      <c r="K2099">
        <v>0</v>
      </c>
      <c r="L2099">
        <v>0</v>
      </c>
      <c r="M2099">
        <v>0</v>
      </c>
      <c r="N2099">
        <v>0</v>
      </c>
    </row>
    <row r="2100" spans="1:14" hidden="1" x14ac:dyDescent="0.25">
      <c r="A2100" s="120" t="s">
        <v>3463</v>
      </c>
      <c r="B2100" s="120" t="s">
        <v>3805</v>
      </c>
      <c r="C2100" s="120" t="s">
        <v>69</v>
      </c>
      <c r="D2100" s="120" t="s">
        <v>1193</v>
      </c>
      <c r="E2100" s="120" t="s">
        <v>291</v>
      </c>
      <c r="F2100" s="120" t="s">
        <v>14</v>
      </c>
      <c r="G2100" s="120">
        <v>13</v>
      </c>
      <c r="H2100">
        <v>0</v>
      </c>
      <c r="I2100" s="120" t="s">
        <v>57</v>
      </c>
      <c r="J2100">
        <v>13</v>
      </c>
      <c r="K2100">
        <v>0</v>
      </c>
      <c r="L2100">
        <v>3.5</v>
      </c>
      <c r="M2100">
        <v>45.5</v>
      </c>
      <c r="N2100">
        <v>0</v>
      </c>
    </row>
    <row r="2101" spans="1:14" hidden="1" x14ac:dyDescent="0.25">
      <c r="A2101" s="120" t="s">
        <v>3463</v>
      </c>
      <c r="B2101" s="120" t="s">
        <v>3805</v>
      </c>
      <c r="C2101" s="120" t="s">
        <v>69</v>
      </c>
      <c r="D2101" s="120" t="s">
        <v>1160</v>
      </c>
      <c r="E2101" s="120" t="s">
        <v>288</v>
      </c>
      <c r="F2101" s="120" t="s">
        <v>71</v>
      </c>
      <c r="G2101" s="120">
        <v>25</v>
      </c>
      <c r="H2101">
        <v>0</v>
      </c>
      <c r="I2101" s="120" t="s">
        <v>57</v>
      </c>
      <c r="J2101">
        <v>25</v>
      </c>
      <c r="K2101">
        <v>0</v>
      </c>
      <c r="L2101">
        <v>16.899999999999999</v>
      </c>
      <c r="M2101">
        <v>422.49999999999994</v>
      </c>
      <c r="N2101">
        <v>0</v>
      </c>
    </row>
    <row r="2102" spans="1:14" hidden="1" x14ac:dyDescent="0.25">
      <c r="A2102" s="120" t="s">
        <v>3463</v>
      </c>
      <c r="B2102" s="120" t="s">
        <v>3818</v>
      </c>
      <c r="C2102" s="120" t="s">
        <v>69</v>
      </c>
      <c r="D2102" s="120" t="s">
        <v>725</v>
      </c>
      <c r="E2102" s="120" t="s">
        <v>519</v>
      </c>
      <c r="F2102" s="120" t="s">
        <v>10</v>
      </c>
      <c r="G2102" s="120">
        <v>0</v>
      </c>
      <c r="H2102">
        <v>2</v>
      </c>
      <c r="I2102" s="120" t="s">
        <v>11</v>
      </c>
      <c r="J2102">
        <v>-2</v>
      </c>
      <c r="K2102">
        <v>0</v>
      </c>
      <c r="L2102">
        <v>140</v>
      </c>
      <c r="M2102">
        <v>0</v>
      </c>
      <c r="N2102">
        <v>280</v>
      </c>
    </row>
    <row r="2103" spans="1:14" hidden="1" x14ac:dyDescent="0.25">
      <c r="A2103" s="120" t="s">
        <v>3463</v>
      </c>
      <c r="B2103" s="120" t="s">
        <v>3818</v>
      </c>
      <c r="C2103" s="120" t="s">
        <v>69</v>
      </c>
      <c r="D2103" s="120" t="s">
        <v>3503</v>
      </c>
      <c r="E2103" s="120" t="s">
        <v>105</v>
      </c>
      <c r="F2103" s="120" t="s">
        <v>10</v>
      </c>
      <c r="G2103" s="120">
        <v>0</v>
      </c>
      <c r="H2103">
        <v>0</v>
      </c>
      <c r="I2103" s="120" t="s">
        <v>11</v>
      </c>
      <c r="J2103">
        <v>0</v>
      </c>
      <c r="K2103">
        <v>1</v>
      </c>
      <c r="L2103" s="121">
        <v>0</v>
      </c>
      <c r="M2103" s="121">
        <v>0</v>
      </c>
      <c r="N2103" s="121">
        <v>0</v>
      </c>
    </row>
    <row r="2104" spans="1:14" hidden="1" x14ac:dyDescent="0.25">
      <c r="A2104" s="120" t="s">
        <v>3463</v>
      </c>
      <c r="B2104" s="120" t="s">
        <v>3818</v>
      </c>
      <c r="C2104" s="120" t="s">
        <v>69</v>
      </c>
      <c r="D2104" s="120" t="s">
        <v>3489</v>
      </c>
      <c r="E2104" s="120" t="s">
        <v>80</v>
      </c>
      <c r="F2104" s="120" t="s">
        <v>10</v>
      </c>
      <c r="G2104" s="120">
        <v>2</v>
      </c>
      <c r="H2104">
        <v>0</v>
      </c>
      <c r="I2104" s="120" t="s">
        <v>11</v>
      </c>
      <c r="J2104">
        <v>2</v>
      </c>
      <c r="K2104">
        <v>0</v>
      </c>
      <c r="L2104">
        <v>0</v>
      </c>
      <c r="M2104">
        <v>0</v>
      </c>
      <c r="N2104">
        <v>0</v>
      </c>
    </row>
    <row r="2105" spans="1:14" hidden="1" x14ac:dyDescent="0.25">
      <c r="A2105" s="120" t="s">
        <v>3463</v>
      </c>
      <c r="B2105" s="120" t="s">
        <v>3818</v>
      </c>
      <c r="C2105" s="120" t="s">
        <v>69</v>
      </c>
      <c r="D2105" s="120" t="s">
        <v>3545</v>
      </c>
      <c r="E2105" s="120" t="s">
        <v>3007</v>
      </c>
      <c r="F2105" s="120" t="s">
        <v>14</v>
      </c>
      <c r="G2105" s="120">
        <v>4</v>
      </c>
      <c r="H2105">
        <v>0</v>
      </c>
      <c r="I2105" s="120" t="s">
        <v>47</v>
      </c>
      <c r="J2105">
        <v>4</v>
      </c>
      <c r="K2105">
        <v>0</v>
      </c>
      <c r="L2105">
        <v>0</v>
      </c>
      <c r="M2105">
        <v>0</v>
      </c>
      <c r="N2105">
        <v>0</v>
      </c>
    </row>
    <row r="2106" spans="1:14" hidden="1" x14ac:dyDescent="0.25">
      <c r="A2106" s="120" t="s">
        <v>3463</v>
      </c>
      <c r="B2106" s="120" t="s">
        <v>3818</v>
      </c>
      <c r="C2106" s="120" t="s">
        <v>69</v>
      </c>
      <c r="D2106" s="120" t="s">
        <v>3583</v>
      </c>
      <c r="E2106" s="120" t="s">
        <v>283</v>
      </c>
      <c r="F2106" s="120" t="s">
        <v>18</v>
      </c>
      <c r="G2106" s="120">
        <v>2</v>
      </c>
      <c r="H2106">
        <v>0</v>
      </c>
      <c r="I2106" s="120" t="s">
        <v>47</v>
      </c>
      <c r="J2106">
        <v>2</v>
      </c>
      <c r="K2106">
        <v>0</v>
      </c>
      <c r="L2106">
        <v>0</v>
      </c>
      <c r="M2106">
        <v>0</v>
      </c>
      <c r="N2106">
        <v>0</v>
      </c>
    </row>
    <row r="2107" spans="1:14" hidden="1" x14ac:dyDescent="0.25">
      <c r="A2107" s="120" t="s">
        <v>3463</v>
      </c>
      <c r="B2107" s="120" t="s">
        <v>3818</v>
      </c>
      <c r="C2107" s="120" t="s">
        <v>69</v>
      </c>
      <c r="D2107" s="120" t="s">
        <v>1194</v>
      </c>
      <c r="E2107" s="120" t="s">
        <v>186</v>
      </c>
      <c r="F2107" s="120" t="s">
        <v>71</v>
      </c>
      <c r="G2107" s="120">
        <v>1</v>
      </c>
      <c r="H2107">
        <v>0</v>
      </c>
      <c r="I2107" s="120" t="s">
        <v>11</v>
      </c>
      <c r="J2107">
        <v>1</v>
      </c>
      <c r="K2107">
        <v>0</v>
      </c>
      <c r="L2107">
        <v>3.5</v>
      </c>
      <c r="M2107">
        <v>3.5</v>
      </c>
      <c r="N2107">
        <v>0</v>
      </c>
    </row>
    <row r="2108" spans="1:14" hidden="1" x14ac:dyDescent="0.25">
      <c r="A2108" s="120" t="s">
        <v>3463</v>
      </c>
      <c r="B2108" s="120" t="s">
        <v>3818</v>
      </c>
      <c r="C2108" s="120" t="s">
        <v>301</v>
      </c>
      <c r="D2108" s="120" t="s">
        <v>546</v>
      </c>
      <c r="E2108" s="120" t="s">
        <v>15</v>
      </c>
      <c r="F2108" s="120" t="s">
        <v>10</v>
      </c>
      <c r="G2108" s="120">
        <v>0</v>
      </c>
      <c r="H2108">
        <v>5</v>
      </c>
      <c r="I2108" s="120" t="s">
        <v>47</v>
      </c>
      <c r="J2108">
        <v>-5</v>
      </c>
      <c r="K2108">
        <v>0</v>
      </c>
      <c r="L2108">
        <v>27.99</v>
      </c>
      <c r="M2108">
        <v>0</v>
      </c>
      <c r="N2108">
        <v>139.94999999999999</v>
      </c>
    </row>
    <row r="2109" spans="1:14" hidden="1" x14ac:dyDescent="0.25">
      <c r="A2109" s="120" t="s">
        <v>3463</v>
      </c>
      <c r="B2109" s="120" t="s">
        <v>3818</v>
      </c>
      <c r="C2109" s="120" t="s">
        <v>301</v>
      </c>
      <c r="D2109" s="120" t="s">
        <v>621</v>
      </c>
      <c r="E2109" s="120" t="s">
        <v>49</v>
      </c>
      <c r="F2109" s="120" t="s">
        <v>18</v>
      </c>
      <c r="G2109" s="120">
        <v>0</v>
      </c>
      <c r="H2109">
        <v>3</v>
      </c>
      <c r="I2109" s="120" t="s">
        <v>47</v>
      </c>
      <c r="J2109">
        <v>-3</v>
      </c>
      <c r="K2109">
        <v>0</v>
      </c>
      <c r="L2109">
        <v>11</v>
      </c>
      <c r="M2109">
        <v>0</v>
      </c>
      <c r="N2109">
        <v>33</v>
      </c>
    </row>
    <row r="2110" spans="1:14" hidden="1" x14ac:dyDescent="0.25">
      <c r="A2110" s="120" t="s">
        <v>3463</v>
      </c>
      <c r="B2110" s="120" t="s">
        <v>3818</v>
      </c>
      <c r="C2110" s="120" t="s">
        <v>301</v>
      </c>
      <c r="D2110" s="120" t="s">
        <v>622</v>
      </c>
      <c r="E2110" s="120" t="s">
        <v>20</v>
      </c>
      <c r="F2110" s="120" t="s">
        <v>18</v>
      </c>
      <c r="G2110" s="120">
        <v>5</v>
      </c>
      <c r="H2110">
        <v>6</v>
      </c>
      <c r="I2110" s="120" t="s">
        <v>11</v>
      </c>
      <c r="J2110">
        <v>-1</v>
      </c>
      <c r="K2110">
        <v>0</v>
      </c>
      <c r="L2110">
        <v>12</v>
      </c>
      <c r="M2110">
        <v>60</v>
      </c>
      <c r="N2110">
        <v>72</v>
      </c>
    </row>
    <row r="2111" spans="1:14" hidden="1" x14ac:dyDescent="0.25">
      <c r="A2111" s="120" t="s">
        <v>3463</v>
      </c>
      <c r="B2111" s="120" t="s">
        <v>3818</v>
      </c>
      <c r="C2111" s="120" t="s">
        <v>301</v>
      </c>
      <c r="D2111" s="120" t="s">
        <v>623</v>
      </c>
      <c r="E2111" s="120" t="s">
        <v>21</v>
      </c>
      <c r="F2111" s="120" t="s">
        <v>18</v>
      </c>
      <c r="G2111" s="120">
        <v>0</v>
      </c>
      <c r="H2111">
        <v>8</v>
      </c>
      <c r="I2111" s="120" t="s">
        <v>47</v>
      </c>
      <c r="J2111">
        <v>-8</v>
      </c>
      <c r="K2111">
        <v>0</v>
      </c>
      <c r="L2111">
        <v>13</v>
      </c>
      <c r="M2111">
        <v>0</v>
      </c>
      <c r="N2111">
        <v>104</v>
      </c>
    </row>
    <row r="2112" spans="1:14" hidden="1" x14ac:dyDescent="0.25">
      <c r="A2112" s="120" t="s">
        <v>3463</v>
      </c>
      <c r="B2112" s="120" t="s">
        <v>3818</v>
      </c>
      <c r="C2112" s="120" t="s">
        <v>301</v>
      </c>
      <c r="D2112" s="120" t="s">
        <v>634</v>
      </c>
      <c r="E2112" s="120" t="s">
        <v>136</v>
      </c>
      <c r="F2112" s="120" t="s">
        <v>18</v>
      </c>
      <c r="G2112" s="120">
        <v>0</v>
      </c>
      <c r="H2112">
        <v>5</v>
      </c>
      <c r="I2112" s="120" t="s">
        <v>11</v>
      </c>
      <c r="J2112">
        <v>-5</v>
      </c>
      <c r="K2112">
        <v>0</v>
      </c>
      <c r="L2112">
        <v>6.9</v>
      </c>
      <c r="M2112">
        <v>0</v>
      </c>
      <c r="N2112">
        <v>34.5</v>
      </c>
    </row>
    <row r="2113" spans="1:14" hidden="1" x14ac:dyDescent="0.25">
      <c r="A2113" s="120" t="s">
        <v>3463</v>
      </c>
      <c r="B2113" s="120" t="s">
        <v>3818</v>
      </c>
      <c r="C2113" s="120" t="s">
        <v>301</v>
      </c>
      <c r="D2113" s="120" t="s">
        <v>639</v>
      </c>
      <c r="E2113" s="120" t="s">
        <v>137</v>
      </c>
      <c r="F2113" s="120" t="s">
        <v>18</v>
      </c>
      <c r="G2113" s="120">
        <v>0</v>
      </c>
      <c r="H2113">
        <v>3</v>
      </c>
      <c r="I2113" s="120" t="s">
        <v>57</v>
      </c>
      <c r="J2113">
        <v>-3</v>
      </c>
      <c r="K2113">
        <v>0</v>
      </c>
      <c r="L2113">
        <v>3.8</v>
      </c>
      <c r="M2113">
        <v>0</v>
      </c>
      <c r="N2113">
        <v>11.399999999999999</v>
      </c>
    </row>
    <row r="2114" spans="1:14" hidden="1" x14ac:dyDescent="0.25">
      <c r="A2114" s="120" t="s">
        <v>3463</v>
      </c>
      <c r="B2114" s="120" t="s">
        <v>3818</v>
      </c>
      <c r="C2114" s="120" t="s">
        <v>301</v>
      </c>
      <c r="D2114" s="120" t="s">
        <v>640</v>
      </c>
      <c r="E2114" s="120" t="s">
        <v>641</v>
      </c>
      <c r="F2114" s="120"/>
      <c r="G2114" s="120">
        <v>0</v>
      </c>
      <c r="H2114">
        <v>3</v>
      </c>
      <c r="I2114" s="120" t="s">
        <v>57</v>
      </c>
      <c r="J2114">
        <v>-3</v>
      </c>
      <c r="K2114">
        <v>0</v>
      </c>
      <c r="L2114">
        <v>11</v>
      </c>
      <c r="M2114">
        <v>0</v>
      </c>
      <c r="N2114">
        <v>33</v>
      </c>
    </row>
    <row r="2115" spans="1:14" hidden="1" x14ac:dyDescent="0.25">
      <c r="A2115" s="120" t="s">
        <v>3463</v>
      </c>
      <c r="B2115" s="120" t="s">
        <v>3818</v>
      </c>
      <c r="C2115" s="120" t="s">
        <v>301</v>
      </c>
      <c r="D2115" s="120" t="s">
        <v>3715</v>
      </c>
      <c r="E2115" s="120" t="s">
        <v>2006</v>
      </c>
      <c r="F2115" s="120" t="s">
        <v>10</v>
      </c>
      <c r="G2115" s="120">
        <v>1</v>
      </c>
      <c r="H2115">
        <v>0</v>
      </c>
      <c r="I2115" s="120" t="s">
        <v>47</v>
      </c>
      <c r="J2115">
        <v>1</v>
      </c>
      <c r="K2115">
        <v>0</v>
      </c>
      <c r="L2115">
        <v>0</v>
      </c>
      <c r="M2115">
        <v>0</v>
      </c>
      <c r="N2115">
        <v>0</v>
      </c>
    </row>
    <row r="2116" spans="1:14" hidden="1" x14ac:dyDescent="0.25">
      <c r="A2116" s="120" t="s">
        <v>3463</v>
      </c>
      <c r="B2116" s="120" t="s">
        <v>3818</v>
      </c>
      <c r="C2116" s="120" t="s">
        <v>301</v>
      </c>
      <c r="D2116" s="120" t="s">
        <v>3514</v>
      </c>
      <c r="E2116" s="120" t="s">
        <v>141</v>
      </c>
      <c r="F2116" s="120" t="s">
        <v>10</v>
      </c>
      <c r="G2116" s="120">
        <v>2</v>
      </c>
      <c r="H2116">
        <v>0</v>
      </c>
      <c r="I2116" s="120" t="s">
        <v>57</v>
      </c>
      <c r="J2116">
        <v>2</v>
      </c>
      <c r="K2116">
        <v>0</v>
      </c>
      <c r="L2116">
        <v>0</v>
      </c>
      <c r="M2116">
        <v>0</v>
      </c>
      <c r="N2116">
        <v>0</v>
      </c>
    </row>
    <row r="2117" spans="1:14" hidden="1" x14ac:dyDescent="0.25">
      <c r="A2117" s="120" t="s">
        <v>3463</v>
      </c>
      <c r="B2117" s="120" t="s">
        <v>3818</v>
      </c>
      <c r="C2117" s="120" t="s">
        <v>301</v>
      </c>
      <c r="D2117" s="120" t="s">
        <v>688</v>
      </c>
      <c r="E2117" s="120" t="s">
        <v>411</v>
      </c>
      <c r="F2117" s="120" t="s">
        <v>18</v>
      </c>
      <c r="G2117" s="120">
        <v>50</v>
      </c>
      <c r="H2117">
        <v>1</v>
      </c>
      <c r="I2117" s="120" t="s">
        <v>47</v>
      </c>
      <c r="J2117">
        <v>49</v>
      </c>
      <c r="K2117">
        <v>0</v>
      </c>
      <c r="L2117">
        <v>13.3</v>
      </c>
      <c r="M2117">
        <v>665</v>
      </c>
      <c r="N2117">
        <v>13.3</v>
      </c>
    </row>
    <row r="2118" spans="1:14" hidden="1" x14ac:dyDescent="0.25">
      <c r="A2118" s="120" t="s">
        <v>3463</v>
      </c>
      <c r="B2118" s="120" t="s">
        <v>3818</v>
      </c>
      <c r="C2118" s="120" t="s">
        <v>301</v>
      </c>
      <c r="D2118" s="120" t="s">
        <v>3819</v>
      </c>
      <c r="E2118" s="120" t="s">
        <v>2130</v>
      </c>
      <c r="F2118" s="120"/>
      <c r="G2118" s="120">
        <v>1</v>
      </c>
      <c r="H2118">
        <v>0</v>
      </c>
      <c r="I2118" s="120" t="s">
        <v>57</v>
      </c>
      <c r="J2118">
        <v>1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 s="120" t="s">
        <v>3758</v>
      </c>
      <c r="B2119" s="120" t="s">
        <v>3759</v>
      </c>
      <c r="C2119" s="120" t="s">
        <v>301</v>
      </c>
      <c r="D2119" s="120" t="s">
        <v>690</v>
      </c>
      <c r="E2119" s="120" t="s">
        <v>413</v>
      </c>
      <c r="F2119" s="120" t="s">
        <v>14</v>
      </c>
      <c r="G2119" s="120">
        <v>22</v>
      </c>
      <c r="H2119">
        <v>22</v>
      </c>
      <c r="I2119" s="120" t="s">
        <v>57</v>
      </c>
      <c r="J2119">
        <v>0</v>
      </c>
      <c r="K2119">
        <v>1</v>
      </c>
      <c r="L2119" s="121">
        <v>19</v>
      </c>
      <c r="M2119" s="121">
        <v>418</v>
      </c>
      <c r="N2119" s="121">
        <v>418</v>
      </c>
    </row>
    <row r="2120" spans="1:14" hidden="1" x14ac:dyDescent="0.25">
      <c r="A2120" s="120" t="s">
        <v>3463</v>
      </c>
      <c r="B2120" s="120" t="s">
        <v>3818</v>
      </c>
      <c r="C2120" s="120" t="s">
        <v>301</v>
      </c>
      <c r="D2120" s="120" t="s">
        <v>1114</v>
      </c>
      <c r="E2120" s="120" t="s">
        <v>38</v>
      </c>
      <c r="F2120" s="120" t="s">
        <v>14</v>
      </c>
      <c r="G2120" s="120">
        <v>23</v>
      </c>
      <c r="H2120">
        <v>1</v>
      </c>
      <c r="I2120" s="120" t="s">
        <v>11</v>
      </c>
      <c r="J2120">
        <v>22</v>
      </c>
      <c r="K2120">
        <v>0</v>
      </c>
      <c r="L2120">
        <v>140</v>
      </c>
      <c r="M2120">
        <v>3220</v>
      </c>
      <c r="N2120">
        <v>140</v>
      </c>
    </row>
    <row r="2121" spans="1:14" hidden="1" x14ac:dyDescent="0.25">
      <c r="A2121" s="120" t="s">
        <v>3463</v>
      </c>
      <c r="B2121" s="120" t="s">
        <v>3818</v>
      </c>
      <c r="C2121" s="120" t="s">
        <v>301</v>
      </c>
      <c r="D2121" s="120" t="s">
        <v>1116</v>
      </c>
      <c r="E2121" s="120" t="s">
        <v>152</v>
      </c>
      <c r="F2121" s="120" t="s">
        <v>14</v>
      </c>
      <c r="G2121" s="120">
        <v>0</v>
      </c>
      <c r="H2121">
        <v>2</v>
      </c>
      <c r="I2121" s="120" t="s">
        <v>57</v>
      </c>
      <c r="J2121">
        <v>-2</v>
      </c>
      <c r="K2121">
        <v>0</v>
      </c>
      <c r="L2121">
        <v>227.3</v>
      </c>
      <c r="M2121">
        <v>0</v>
      </c>
      <c r="N2121">
        <v>454.6</v>
      </c>
    </row>
    <row r="2122" spans="1:14" hidden="1" x14ac:dyDescent="0.25">
      <c r="A2122" s="120" t="s">
        <v>3463</v>
      </c>
      <c r="B2122" s="120" t="s">
        <v>3818</v>
      </c>
      <c r="C2122" s="120" t="s">
        <v>301</v>
      </c>
      <c r="D2122" s="120" t="s">
        <v>3517</v>
      </c>
      <c r="E2122" s="120" t="s">
        <v>156</v>
      </c>
      <c r="F2122" s="120" t="s">
        <v>157</v>
      </c>
      <c r="G2122" s="120">
        <v>6</v>
      </c>
      <c r="H2122">
        <v>0</v>
      </c>
      <c r="I2122" s="120" t="s">
        <v>57</v>
      </c>
      <c r="J2122">
        <v>6</v>
      </c>
      <c r="K2122">
        <v>0</v>
      </c>
      <c r="L2122">
        <v>0</v>
      </c>
      <c r="M2122">
        <v>0</v>
      </c>
      <c r="N2122">
        <v>0</v>
      </c>
    </row>
    <row r="2123" spans="1:14" hidden="1" x14ac:dyDescent="0.25">
      <c r="A2123" s="120" t="s">
        <v>3463</v>
      </c>
      <c r="B2123" s="120" t="s">
        <v>3818</v>
      </c>
      <c r="C2123" s="120" t="s">
        <v>69</v>
      </c>
      <c r="D2123" s="120" t="s">
        <v>3495</v>
      </c>
      <c r="E2123" s="120" t="s">
        <v>89</v>
      </c>
      <c r="F2123" s="120" t="s">
        <v>18</v>
      </c>
      <c r="G2123" s="120">
        <v>16</v>
      </c>
      <c r="H2123">
        <v>0</v>
      </c>
      <c r="I2123" s="120" t="s">
        <v>11</v>
      </c>
      <c r="J2123">
        <v>16</v>
      </c>
      <c r="K2123">
        <v>0</v>
      </c>
      <c r="L2123">
        <v>0</v>
      </c>
      <c r="M2123">
        <v>0</v>
      </c>
      <c r="N2123">
        <v>0</v>
      </c>
    </row>
    <row r="2124" spans="1:14" hidden="1" x14ac:dyDescent="0.25">
      <c r="A2124" s="120" t="s">
        <v>3463</v>
      </c>
      <c r="B2124" s="120" t="s">
        <v>3818</v>
      </c>
      <c r="C2124" s="120" t="s">
        <v>69</v>
      </c>
      <c r="D2124" s="120" t="s">
        <v>3526</v>
      </c>
      <c r="E2124" s="120" t="s">
        <v>177</v>
      </c>
      <c r="F2124" s="120" t="s">
        <v>14</v>
      </c>
      <c r="G2124" s="120">
        <v>0</v>
      </c>
      <c r="H2124">
        <v>0</v>
      </c>
      <c r="I2124" s="120" t="s">
        <v>11</v>
      </c>
      <c r="J2124">
        <v>0</v>
      </c>
      <c r="K2124">
        <v>1</v>
      </c>
      <c r="L2124" s="121">
        <v>0</v>
      </c>
      <c r="M2124" s="121">
        <v>0</v>
      </c>
      <c r="N2124" s="121">
        <v>0</v>
      </c>
    </row>
    <row r="2125" spans="1:14" hidden="1" x14ac:dyDescent="0.25">
      <c r="A2125" s="120" t="s">
        <v>3463</v>
      </c>
      <c r="B2125" s="120" t="s">
        <v>3818</v>
      </c>
      <c r="C2125" s="120" t="s">
        <v>69</v>
      </c>
      <c r="D2125" s="120" t="s">
        <v>3504</v>
      </c>
      <c r="E2125" s="120" t="s">
        <v>107</v>
      </c>
      <c r="F2125" s="120" t="s">
        <v>18</v>
      </c>
      <c r="G2125" s="120">
        <v>0</v>
      </c>
      <c r="H2125">
        <v>0</v>
      </c>
      <c r="I2125" s="120" t="s">
        <v>11</v>
      </c>
      <c r="J2125">
        <v>0</v>
      </c>
      <c r="K2125">
        <v>1</v>
      </c>
      <c r="L2125" s="121">
        <v>0</v>
      </c>
      <c r="M2125" s="121">
        <v>0</v>
      </c>
      <c r="N2125" s="121">
        <v>0</v>
      </c>
    </row>
    <row r="2126" spans="1:14" x14ac:dyDescent="0.25">
      <c r="A2126" s="120" t="s">
        <v>3758</v>
      </c>
      <c r="B2126" s="120" t="s">
        <v>3759</v>
      </c>
      <c r="C2126" s="120" t="s">
        <v>301</v>
      </c>
      <c r="D2126" s="120" t="s">
        <v>638</v>
      </c>
      <c r="E2126" s="120" t="s">
        <v>60</v>
      </c>
      <c r="F2126" s="120" t="s">
        <v>10</v>
      </c>
      <c r="G2126" s="120">
        <v>16</v>
      </c>
      <c r="H2126">
        <v>16</v>
      </c>
      <c r="I2126" s="120" t="s">
        <v>57</v>
      </c>
      <c r="J2126">
        <v>0</v>
      </c>
      <c r="K2126">
        <v>1</v>
      </c>
      <c r="L2126" s="121">
        <v>3.5</v>
      </c>
      <c r="M2126" s="121">
        <v>56</v>
      </c>
      <c r="N2126" s="121">
        <v>56</v>
      </c>
    </row>
    <row r="2127" spans="1:14" hidden="1" x14ac:dyDescent="0.25">
      <c r="A2127" s="120" t="s">
        <v>3463</v>
      </c>
      <c r="B2127" s="120" t="s">
        <v>3816</v>
      </c>
      <c r="C2127" s="120" t="s">
        <v>301</v>
      </c>
      <c r="D2127" s="120" t="s">
        <v>3511</v>
      </c>
      <c r="E2127" s="120" t="s">
        <v>130</v>
      </c>
      <c r="F2127" s="120" t="s">
        <v>10</v>
      </c>
      <c r="G2127" s="120">
        <v>2</v>
      </c>
      <c r="H2127">
        <v>0</v>
      </c>
      <c r="I2127" s="120" t="s">
        <v>57</v>
      </c>
      <c r="J2127">
        <v>2</v>
      </c>
      <c r="K2127">
        <v>0</v>
      </c>
      <c r="L2127">
        <v>0</v>
      </c>
      <c r="M2127">
        <v>0</v>
      </c>
      <c r="N2127">
        <v>0</v>
      </c>
    </row>
    <row r="2128" spans="1:14" hidden="1" x14ac:dyDescent="0.25">
      <c r="A2128" s="120" t="s">
        <v>3463</v>
      </c>
      <c r="B2128" s="120" t="s">
        <v>3816</v>
      </c>
      <c r="C2128" s="120" t="s">
        <v>301</v>
      </c>
      <c r="D2128" s="120" t="s">
        <v>634</v>
      </c>
      <c r="E2128" s="120" t="s">
        <v>136</v>
      </c>
      <c r="F2128" s="120" t="s">
        <v>18</v>
      </c>
      <c r="G2128" s="120">
        <v>0</v>
      </c>
      <c r="H2128">
        <v>2</v>
      </c>
      <c r="I2128" s="120" t="s">
        <v>11</v>
      </c>
      <c r="J2128">
        <v>-2</v>
      </c>
      <c r="K2128">
        <v>0</v>
      </c>
      <c r="L2128">
        <v>6.9</v>
      </c>
      <c r="M2128">
        <v>0</v>
      </c>
      <c r="N2128">
        <v>13.8</v>
      </c>
    </row>
    <row r="2129" spans="1:14" hidden="1" x14ac:dyDescent="0.25">
      <c r="A2129" s="120" t="s">
        <v>3463</v>
      </c>
      <c r="B2129" s="120" t="s">
        <v>3816</v>
      </c>
      <c r="C2129" s="120" t="s">
        <v>301</v>
      </c>
      <c r="D2129" s="120" t="s">
        <v>640</v>
      </c>
      <c r="E2129" s="120" t="s">
        <v>641</v>
      </c>
      <c r="F2129" s="120"/>
      <c r="G2129" s="120">
        <v>0</v>
      </c>
      <c r="H2129">
        <v>3</v>
      </c>
      <c r="I2129" s="120" t="s">
        <v>57</v>
      </c>
      <c r="J2129">
        <v>-3</v>
      </c>
      <c r="K2129">
        <v>0</v>
      </c>
      <c r="L2129">
        <v>11</v>
      </c>
      <c r="M2129">
        <v>0</v>
      </c>
      <c r="N2129">
        <v>33</v>
      </c>
    </row>
    <row r="2130" spans="1:14" x14ac:dyDescent="0.25">
      <c r="A2130" s="120" t="s">
        <v>3758</v>
      </c>
      <c r="B2130" s="120" t="s">
        <v>3759</v>
      </c>
      <c r="C2130" s="120" t="s">
        <v>301</v>
      </c>
      <c r="D2130" s="120" t="s">
        <v>642</v>
      </c>
      <c r="E2130" s="120" t="s">
        <v>643</v>
      </c>
      <c r="F2130" s="120" t="s">
        <v>14</v>
      </c>
      <c r="G2130" s="120">
        <v>46</v>
      </c>
      <c r="H2130">
        <v>46</v>
      </c>
      <c r="I2130" s="120" t="s">
        <v>57</v>
      </c>
      <c r="J2130">
        <v>0</v>
      </c>
      <c r="K2130">
        <v>1</v>
      </c>
      <c r="L2130" s="121">
        <v>6.9</v>
      </c>
      <c r="M2130" s="121">
        <v>317.40000000000003</v>
      </c>
      <c r="N2130" s="121">
        <v>317.40000000000003</v>
      </c>
    </row>
    <row r="2131" spans="1:14" x14ac:dyDescent="0.25">
      <c r="A2131" s="120" t="s">
        <v>3758</v>
      </c>
      <c r="B2131" s="120" t="s">
        <v>3759</v>
      </c>
      <c r="C2131" s="120" t="s">
        <v>301</v>
      </c>
      <c r="D2131" s="120" t="s">
        <v>1139</v>
      </c>
      <c r="E2131" s="120" t="s">
        <v>1140</v>
      </c>
      <c r="F2131" s="120" t="s">
        <v>10</v>
      </c>
      <c r="G2131" s="120">
        <v>67</v>
      </c>
      <c r="H2131">
        <v>67</v>
      </c>
      <c r="I2131" s="120" t="s">
        <v>57</v>
      </c>
      <c r="J2131">
        <v>0</v>
      </c>
      <c r="K2131">
        <v>1</v>
      </c>
      <c r="L2131" s="121">
        <v>16</v>
      </c>
      <c r="M2131" s="121">
        <v>1072</v>
      </c>
      <c r="N2131" s="121">
        <v>1072</v>
      </c>
    </row>
    <row r="2132" spans="1:14" x14ac:dyDescent="0.25">
      <c r="A2132" s="120" t="s">
        <v>3758</v>
      </c>
      <c r="B2132" s="120" t="s">
        <v>3759</v>
      </c>
      <c r="C2132" s="120" t="s">
        <v>301</v>
      </c>
      <c r="D2132" s="120" t="s">
        <v>628</v>
      </c>
      <c r="E2132" s="120" t="s">
        <v>629</v>
      </c>
      <c r="F2132" s="120" t="s">
        <v>18</v>
      </c>
      <c r="G2132" s="120">
        <v>24</v>
      </c>
      <c r="H2132">
        <v>24</v>
      </c>
      <c r="I2132" s="120" t="s">
        <v>57</v>
      </c>
      <c r="J2132">
        <v>0</v>
      </c>
      <c r="K2132">
        <v>1</v>
      </c>
      <c r="L2132" s="121">
        <v>2.69</v>
      </c>
      <c r="M2132" s="121">
        <v>64.56</v>
      </c>
      <c r="N2132" s="121">
        <v>64.56</v>
      </c>
    </row>
    <row r="2133" spans="1:14" hidden="1" x14ac:dyDescent="0.25">
      <c r="A2133" s="120" t="s">
        <v>3463</v>
      </c>
      <c r="B2133" s="120" t="s">
        <v>3871</v>
      </c>
      <c r="C2133" s="120" t="s">
        <v>69</v>
      </c>
      <c r="D2133" s="120" t="s">
        <v>596</v>
      </c>
      <c r="E2133" s="120" t="s">
        <v>173</v>
      </c>
      <c r="F2133" s="120" t="s">
        <v>71</v>
      </c>
      <c r="G2133" s="120">
        <v>0</v>
      </c>
      <c r="H2133">
        <v>2</v>
      </c>
      <c r="I2133" s="120" t="s">
        <v>47</v>
      </c>
      <c r="J2133">
        <v>-2</v>
      </c>
      <c r="K2133">
        <v>0</v>
      </c>
      <c r="L2133">
        <v>56</v>
      </c>
      <c r="M2133">
        <v>0</v>
      </c>
      <c r="N2133">
        <v>112</v>
      </c>
    </row>
    <row r="2134" spans="1:14" x14ac:dyDescent="0.25">
      <c r="A2134" s="120" t="s">
        <v>3758</v>
      </c>
      <c r="B2134" s="120" t="s">
        <v>3759</v>
      </c>
      <c r="C2134" s="120" t="s">
        <v>301</v>
      </c>
      <c r="D2134" s="120" t="s">
        <v>555</v>
      </c>
      <c r="E2134" s="120" t="s">
        <v>382</v>
      </c>
      <c r="F2134" s="120" t="s">
        <v>14</v>
      </c>
      <c r="G2134" s="120">
        <v>2</v>
      </c>
      <c r="H2134">
        <v>2</v>
      </c>
      <c r="I2134" s="120" t="s">
        <v>57</v>
      </c>
      <c r="J2134">
        <v>0</v>
      </c>
      <c r="K2134">
        <v>1</v>
      </c>
      <c r="L2134" s="121">
        <v>39.99</v>
      </c>
      <c r="M2134" s="121">
        <v>79.98</v>
      </c>
      <c r="N2134" s="121">
        <v>79.98</v>
      </c>
    </row>
    <row r="2135" spans="1:14" x14ac:dyDescent="0.25">
      <c r="A2135" s="120" t="s">
        <v>3758</v>
      </c>
      <c r="B2135" s="120" t="s">
        <v>3759</v>
      </c>
      <c r="C2135" s="120" t="s">
        <v>301</v>
      </c>
      <c r="D2135" s="120" t="s">
        <v>562</v>
      </c>
      <c r="E2135" s="120" t="s">
        <v>385</v>
      </c>
      <c r="F2135" s="120" t="s">
        <v>14</v>
      </c>
      <c r="G2135" s="120">
        <v>4</v>
      </c>
      <c r="H2135">
        <v>4</v>
      </c>
      <c r="I2135" s="120" t="s">
        <v>57</v>
      </c>
      <c r="J2135">
        <v>0</v>
      </c>
      <c r="K2135">
        <v>1</v>
      </c>
      <c r="L2135" s="121">
        <v>14</v>
      </c>
      <c r="M2135" s="121">
        <v>56</v>
      </c>
      <c r="N2135" s="121">
        <v>56</v>
      </c>
    </row>
    <row r="2136" spans="1:14" x14ac:dyDescent="0.25">
      <c r="A2136" s="120" t="s">
        <v>3758</v>
      </c>
      <c r="B2136" s="120" t="s">
        <v>3759</v>
      </c>
      <c r="C2136" s="120" t="s">
        <v>301</v>
      </c>
      <c r="D2136" s="120" t="s">
        <v>615</v>
      </c>
      <c r="E2136" s="120" t="s">
        <v>616</v>
      </c>
      <c r="F2136" s="120" t="s">
        <v>18</v>
      </c>
      <c r="G2136" s="120">
        <v>10</v>
      </c>
      <c r="H2136">
        <v>10</v>
      </c>
      <c r="I2136" s="120" t="s">
        <v>57</v>
      </c>
      <c r="J2136">
        <v>0</v>
      </c>
      <c r="K2136">
        <v>1</v>
      </c>
      <c r="L2136" s="121">
        <v>1.9</v>
      </c>
      <c r="M2136" s="121">
        <v>19</v>
      </c>
      <c r="N2136" s="121">
        <v>19</v>
      </c>
    </row>
    <row r="2137" spans="1:14" x14ac:dyDescent="0.25">
      <c r="A2137" s="120" t="s">
        <v>3758</v>
      </c>
      <c r="B2137" s="120" t="s">
        <v>3759</v>
      </c>
      <c r="C2137" s="120" t="s">
        <v>301</v>
      </c>
      <c r="D2137" s="120" t="s">
        <v>635</v>
      </c>
      <c r="E2137" s="120" t="s">
        <v>636</v>
      </c>
      <c r="F2137" s="120" t="s">
        <v>10</v>
      </c>
      <c r="G2137" s="120">
        <v>16</v>
      </c>
      <c r="H2137">
        <v>16</v>
      </c>
      <c r="I2137" s="120" t="s">
        <v>47</v>
      </c>
      <c r="J2137">
        <v>0</v>
      </c>
      <c r="K2137">
        <v>1</v>
      </c>
      <c r="L2137" s="121">
        <v>12</v>
      </c>
      <c r="M2137" s="121">
        <v>192</v>
      </c>
      <c r="N2137" s="121">
        <v>192</v>
      </c>
    </row>
    <row r="2138" spans="1:14" x14ac:dyDescent="0.25">
      <c r="A2138" s="120" t="s">
        <v>3758</v>
      </c>
      <c r="B2138" s="120" t="s">
        <v>3759</v>
      </c>
      <c r="C2138" s="120" t="s">
        <v>301</v>
      </c>
      <c r="D2138" s="120" t="s">
        <v>639</v>
      </c>
      <c r="E2138" s="120" t="s">
        <v>137</v>
      </c>
      <c r="F2138" s="120" t="s">
        <v>18</v>
      </c>
      <c r="G2138" s="120">
        <v>4</v>
      </c>
      <c r="H2138">
        <v>4</v>
      </c>
      <c r="I2138" s="120" t="s">
        <v>57</v>
      </c>
      <c r="J2138">
        <v>0</v>
      </c>
      <c r="K2138">
        <v>1</v>
      </c>
      <c r="L2138" s="121">
        <v>3.8</v>
      </c>
      <c r="M2138" s="121">
        <v>15.2</v>
      </c>
      <c r="N2138" s="121">
        <v>15.2</v>
      </c>
    </row>
    <row r="2139" spans="1:14" hidden="1" x14ac:dyDescent="0.25">
      <c r="A2139" s="120" t="s">
        <v>3463</v>
      </c>
      <c r="B2139" s="120" t="s">
        <v>3871</v>
      </c>
      <c r="C2139" s="120" t="s">
        <v>69</v>
      </c>
      <c r="D2139" s="120" t="s">
        <v>3552</v>
      </c>
      <c r="E2139" s="120" t="s">
        <v>242</v>
      </c>
      <c r="F2139" s="120" t="s">
        <v>18</v>
      </c>
      <c r="G2139" s="120">
        <v>3</v>
      </c>
      <c r="H2139">
        <v>0</v>
      </c>
      <c r="I2139" s="120" t="s">
        <v>57</v>
      </c>
      <c r="J2139">
        <v>3</v>
      </c>
      <c r="K2139">
        <v>0</v>
      </c>
      <c r="L2139">
        <v>0</v>
      </c>
      <c r="M2139">
        <v>0</v>
      </c>
      <c r="N2139">
        <v>0</v>
      </c>
    </row>
    <row r="2140" spans="1:14" hidden="1" x14ac:dyDescent="0.25">
      <c r="A2140" s="120" t="s">
        <v>3463</v>
      </c>
      <c r="B2140" s="120" t="s">
        <v>3871</v>
      </c>
      <c r="C2140" s="120" t="s">
        <v>69</v>
      </c>
      <c r="D2140" s="120" t="s">
        <v>3550</v>
      </c>
      <c r="E2140" s="120" t="s">
        <v>242</v>
      </c>
      <c r="F2140" s="120" t="s">
        <v>18</v>
      </c>
      <c r="G2140" s="120">
        <v>9</v>
      </c>
      <c r="H2140">
        <v>0</v>
      </c>
      <c r="I2140" s="120" t="s">
        <v>57</v>
      </c>
      <c r="J2140">
        <v>9</v>
      </c>
      <c r="K2140">
        <v>0</v>
      </c>
      <c r="L2140">
        <v>0</v>
      </c>
      <c r="M2140">
        <v>0</v>
      </c>
      <c r="N2140">
        <v>0</v>
      </c>
    </row>
    <row r="2141" spans="1:14" hidden="1" x14ac:dyDescent="0.25">
      <c r="A2141" s="120" t="s">
        <v>3463</v>
      </c>
      <c r="B2141" s="120" t="s">
        <v>3871</v>
      </c>
      <c r="C2141" s="120" t="s">
        <v>69</v>
      </c>
      <c r="D2141" s="120" t="s">
        <v>3563</v>
      </c>
      <c r="E2141" s="120" t="s">
        <v>251</v>
      </c>
      <c r="F2141" s="120" t="s">
        <v>18</v>
      </c>
      <c r="G2141" s="120">
        <v>1</v>
      </c>
      <c r="H2141">
        <v>0</v>
      </c>
      <c r="I2141" s="120" t="s">
        <v>57</v>
      </c>
      <c r="J2141">
        <v>1</v>
      </c>
      <c r="K2141">
        <v>0</v>
      </c>
      <c r="L2141">
        <v>0</v>
      </c>
      <c r="M2141">
        <v>0</v>
      </c>
      <c r="N2141">
        <v>0</v>
      </c>
    </row>
    <row r="2142" spans="1:14" hidden="1" x14ac:dyDescent="0.25">
      <c r="A2142" s="120" t="s">
        <v>3463</v>
      </c>
      <c r="B2142" s="120" t="s">
        <v>3871</v>
      </c>
      <c r="C2142" s="120" t="s">
        <v>69</v>
      </c>
      <c r="D2142" s="120" t="s">
        <v>3564</v>
      </c>
      <c r="E2142" s="120" t="s">
        <v>252</v>
      </c>
      <c r="F2142" s="120" t="s">
        <v>18</v>
      </c>
      <c r="G2142" s="120">
        <v>1</v>
      </c>
      <c r="H2142">
        <v>0</v>
      </c>
      <c r="I2142" s="120" t="s">
        <v>57</v>
      </c>
      <c r="J2142">
        <v>1</v>
      </c>
      <c r="K2142">
        <v>0</v>
      </c>
      <c r="L2142">
        <v>0</v>
      </c>
      <c r="M2142">
        <v>0</v>
      </c>
      <c r="N2142">
        <v>0</v>
      </c>
    </row>
    <row r="2143" spans="1:14" hidden="1" x14ac:dyDescent="0.25">
      <c r="A2143" s="120" t="s">
        <v>3463</v>
      </c>
      <c r="B2143" s="120" t="s">
        <v>3871</v>
      </c>
      <c r="C2143" s="120" t="s">
        <v>69</v>
      </c>
      <c r="D2143" s="120" t="s">
        <v>3565</v>
      </c>
      <c r="E2143" s="120" t="s">
        <v>253</v>
      </c>
      <c r="F2143" s="120" t="s">
        <v>18</v>
      </c>
      <c r="G2143" s="120">
        <v>7</v>
      </c>
      <c r="H2143">
        <v>0</v>
      </c>
      <c r="I2143" s="120" t="s">
        <v>57</v>
      </c>
      <c r="J2143">
        <v>7</v>
      </c>
      <c r="K2143">
        <v>0</v>
      </c>
      <c r="L2143">
        <v>0</v>
      </c>
      <c r="M2143">
        <v>0</v>
      </c>
      <c r="N2143">
        <v>0</v>
      </c>
    </row>
    <row r="2144" spans="1:14" hidden="1" x14ac:dyDescent="0.25">
      <c r="A2144" s="120" t="s">
        <v>3463</v>
      </c>
      <c r="B2144" s="120" t="s">
        <v>3871</v>
      </c>
      <c r="C2144" s="120" t="s">
        <v>301</v>
      </c>
      <c r="D2144" s="120" t="s">
        <v>3702</v>
      </c>
      <c r="E2144" s="120" t="s">
        <v>2048</v>
      </c>
      <c r="F2144" s="120" t="s">
        <v>14</v>
      </c>
      <c r="G2144" s="120">
        <v>2</v>
      </c>
      <c r="H2144">
        <v>0</v>
      </c>
      <c r="I2144" s="120" t="s">
        <v>57</v>
      </c>
      <c r="J2144">
        <v>2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 s="120" t="s">
        <v>3758</v>
      </c>
      <c r="B2145" s="120" t="s">
        <v>3759</v>
      </c>
      <c r="C2145" s="120" t="s">
        <v>301</v>
      </c>
      <c r="D2145" s="120" t="s">
        <v>720</v>
      </c>
      <c r="E2145" s="120" t="s">
        <v>432</v>
      </c>
      <c r="F2145" s="120" t="s">
        <v>18</v>
      </c>
      <c r="G2145" s="120">
        <v>17</v>
      </c>
      <c r="H2145">
        <v>17</v>
      </c>
      <c r="I2145" s="120" t="s">
        <v>47</v>
      </c>
      <c r="J2145">
        <v>0</v>
      </c>
      <c r="K2145">
        <v>1</v>
      </c>
      <c r="L2145" s="121">
        <v>90</v>
      </c>
      <c r="M2145" s="121">
        <v>1530</v>
      </c>
      <c r="N2145" s="121">
        <v>1530</v>
      </c>
    </row>
    <row r="2146" spans="1:14" x14ac:dyDescent="0.25">
      <c r="A2146" s="120" t="s">
        <v>3758</v>
      </c>
      <c r="B2146" s="120" t="s">
        <v>3759</v>
      </c>
      <c r="C2146" s="120" t="s">
        <v>301</v>
      </c>
      <c r="D2146" s="120" t="s">
        <v>3729</v>
      </c>
      <c r="E2146" s="120" t="s">
        <v>2423</v>
      </c>
      <c r="F2146" s="120" t="s">
        <v>10</v>
      </c>
      <c r="G2146" s="120">
        <v>0</v>
      </c>
      <c r="H2146">
        <v>0</v>
      </c>
      <c r="I2146" s="120" t="s">
        <v>57</v>
      </c>
      <c r="J2146">
        <v>0</v>
      </c>
      <c r="K2146">
        <v>1</v>
      </c>
      <c r="L2146" s="121">
        <v>0</v>
      </c>
      <c r="M2146" s="121">
        <v>0</v>
      </c>
      <c r="N2146" s="121">
        <v>0</v>
      </c>
    </row>
    <row r="2147" spans="1:14" x14ac:dyDescent="0.25">
      <c r="A2147" s="120" t="s">
        <v>3758</v>
      </c>
      <c r="B2147" s="120" t="s">
        <v>3759</v>
      </c>
      <c r="C2147" s="120" t="s">
        <v>301</v>
      </c>
      <c r="D2147" s="120" t="s">
        <v>1124</v>
      </c>
      <c r="E2147" s="120" t="s">
        <v>1125</v>
      </c>
      <c r="F2147" s="120" t="s">
        <v>18</v>
      </c>
      <c r="G2147" s="120">
        <v>1</v>
      </c>
      <c r="H2147">
        <v>1</v>
      </c>
      <c r="I2147" s="120" t="s">
        <v>57</v>
      </c>
      <c r="J2147">
        <v>0</v>
      </c>
      <c r="K2147">
        <v>1</v>
      </c>
      <c r="L2147" s="121">
        <v>2886</v>
      </c>
      <c r="M2147" s="121">
        <v>2886</v>
      </c>
      <c r="N2147" s="121">
        <v>2886</v>
      </c>
    </row>
    <row r="2148" spans="1:14" x14ac:dyDescent="0.25">
      <c r="A2148" s="120" t="s">
        <v>3758</v>
      </c>
      <c r="B2148" s="120" t="s">
        <v>3759</v>
      </c>
      <c r="C2148" s="120" t="s">
        <v>301</v>
      </c>
      <c r="D2148" s="120" t="s">
        <v>1127</v>
      </c>
      <c r="E2148" s="120" t="s">
        <v>457</v>
      </c>
      <c r="F2148" s="120" t="s">
        <v>14</v>
      </c>
      <c r="G2148" s="120">
        <v>2</v>
      </c>
      <c r="H2148">
        <v>2</v>
      </c>
      <c r="I2148" s="120" t="s">
        <v>57</v>
      </c>
      <c r="J2148">
        <v>0</v>
      </c>
      <c r="K2148">
        <v>1</v>
      </c>
      <c r="L2148" s="121">
        <v>188.55</v>
      </c>
      <c r="M2148" s="121">
        <v>377.1</v>
      </c>
      <c r="N2148" s="121">
        <v>377.1</v>
      </c>
    </row>
    <row r="2149" spans="1:14" hidden="1" x14ac:dyDescent="0.25">
      <c r="A2149" s="120" t="s">
        <v>3463</v>
      </c>
      <c r="B2149" s="120" t="s">
        <v>3871</v>
      </c>
      <c r="C2149" s="120" t="s">
        <v>69</v>
      </c>
      <c r="D2149" s="120" t="s">
        <v>739</v>
      </c>
      <c r="E2149" s="120" t="s">
        <v>271</v>
      </c>
      <c r="F2149" s="120" t="s">
        <v>18</v>
      </c>
      <c r="G2149" s="120">
        <v>4</v>
      </c>
      <c r="H2149">
        <v>4</v>
      </c>
      <c r="I2149" s="120" t="s">
        <v>47</v>
      </c>
      <c r="J2149">
        <v>0</v>
      </c>
      <c r="K2149">
        <v>1</v>
      </c>
      <c r="L2149" s="121">
        <v>24.5</v>
      </c>
      <c r="M2149" s="121">
        <v>98</v>
      </c>
      <c r="N2149" s="121">
        <v>98</v>
      </c>
    </row>
    <row r="2150" spans="1:14" hidden="1" x14ac:dyDescent="0.25">
      <c r="A2150" s="120" t="s">
        <v>3463</v>
      </c>
      <c r="B2150" s="120" t="s">
        <v>3871</v>
      </c>
      <c r="C2150" s="120" t="s">
        <v>301</v>
      </c>
      <c r="D2150" s="120" t="s">
        <v>3474</v>
      </c>
      <c r="E2150" s="120" t="s">
        <v>36</v>
      </c>
      <c r="F2150" s="120" t="s">
        <v>14</v>
      </c>
      <c r="G2150" s="120">
        <v>3</v>
      </c>
      <c r="H2150">
        <v>0</v>
      </c>
      <c r="I2150" s="120" t="s">
        <v>47</v>
      </c>
      <c r="J2150">
        <v>3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 s="120" t="s">
        <v>3758</v>
      </c>
      <c r="B2151" s="120" t="s">
        <v>3759</v>
      </c>
      <c r="C2151" s="120" t="s">
        <v>301</v>
      </c>
      <c r="D2151" s="120" t="s">
        <v>1129</v>
      </c>
      <c r="E2151" s="120" t="s">
        <v>154</v>
      </c>
      <c r="F2151" s="120" t="s">
        <v>14</v>
      </c>
      <c r="G2151" s="120">
        <v>1</v>
      </c>
      <c r="H2151">
        <v>1</v>
      </c>
      <c r="I2151" s="120" t="s">
        <v>57</v>
      </c>
      <c r="J2151">
        <v>0</v>
      </c>
      <c r="K2151">
        <v>1</v>
      </c>
      <c r="L2151" s="121">
        <v>13.6</v>
      </c>
      <c r="M2151" s="121">
        <v>13.6</v>
      </c>
      <c r="N2151" s="121">
        <v>13.6</v>
      </c>
    </row>
    <row r="2152" spans="1:14" x14ac:dyDescent="0.25">
      <c r="A2152" s="120" t="s">
        <v>3758</v>
      </c>
      <c r="B2152" s="120" t="s">
        <v>3759</v>
      </c>
      <c r="C2152" s="120" t="s">
        <v>301</v>
      </c>
      <c r="D2152" s="120" t="s">
        <v>1132</v>
      </c>
      <c r="E2152" s="120" t="s">
        <v>462</v>
      </c>
      <c r="F2152" s="120" t="s">
        <v>463</v>
      </c>
      <c r="G2152" s="120">
        <v>36</v>
      </c>
      <c r="H2152">
        <v>36</v>
      </c>
      <c r="I2152" s="120" t="s">
        <v>11</v>
      </c>
      <c r="J2152">
        <v>0</v>
      </c>
      <c r="K2152">
        <v>1</v>
      </c>
      <c r="L2152" s="121">
        <v>45</v>
      </c>
      <c r="M2152" s="121">
        <v>1620</v>
      </c>
      <c r="N2152" s="121">
        <v>1620</v>
      </c>
    </row>
    <row r="2153" spans="1:14" hidden="1" x14ac:dyDescent="0.25">
      <c r="A2153" s="120" t="s">
        <v>3463</v>
      </c>
      <c r="B2153" s="120" t="s">
        <v>3871</v>
      </c>
      <c r="C2153" s="120" t="s">
        <v>301</v>
      </c>
      <c r="D2153" s="120" t="s">
        <v>3476</v>
      </c>
      <c r="E2153" s="120" t="s">
        <v>42</v>
      </c>
      <c r="F2153" s="120" t="s">
        <v>18</v>
      </c>
      <c r="G2153" s="120">
        <v>1</v>
      </c>
      <c r="H2153">
        <v>0</v>
      </c>
      <c r="I2153" s="120" t="s">
        <v>57</v>
      </c>
      <c r="J2153">
        <v>1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 s="120" t="s">
        <v>3758</v>
      </c>
      <c r="B2154" s="120" t="s">
        <v>3759</v>
      </c>
      <c r="C2154" s="120" t="s">
        <v>301</v>
      </c>
      <c r="D2154" s="120" t="s">
        <v>1133</v>
      </c>
      <c r="E2154" s="120" t="s">
        <v>155</v>
      </c>
      <c r="F2154" s="120" t="s">
        <v>14</v>
      </c>
      <c r="G2154" s="120">
        <v>6</v>
      </c>
      <c r="H2154">
        <v>6</v>
      </c>
      <c r="I2154" s="120" t="s">
        <v>57</v>
      </c>
      <c r="J2154">
        <v>0</v>
      </c>
      <c r="K2154">
        <v>1</v>
      </c>
      <c r="L2154" s="121">
        <v>69</v>
      </c>
      <c r="M2154" s="121">
        <v>414</v>
      </c>
      <c r="N2154" s="121">
        <v>414</v>
      </c>
    </row>
    <row r="2155" spans="1:14" hidden="1" x14ac:dyDescent="0.25">
      <c r="A2155" s="120" t="s">
        <v>3463</v>
      </c>
      <c r="B2155" s="120" t="s">
        <v>3871</v>
      </c>
      <c r="C2155" s="120" t="s">
        <v>301</v>
      </c>
      <c r="D2155" s="120" t="s">
        <v>3481</v>
      </c>
      <c r="E2155" s="120" t="s">
        <v>55</v>
      </c>
      <c r="F2155" s="120" t="s">
        <v>18</v>
      </c>
      <c r="G2155" s="120">
        <v>2</v>
      </c>
      <c r="H2155">
        <v>0</v>
      </c>
      <c r="I2155" s="120" t="s">
        <v>47</v>
      </c>
      <c r="J2155">
        <v>2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 s="120" t="s">
        <v>3758</v>
      </c>
      <c r="B2156" s="120" t="s">
        <v>3759</v>
      </c>
      <c r="C2156" s="120" t="s">
        <v>301</v>
      </c>
      <c r="D2156" s="120" t="s">
        <v>3697</v>
      </c>
      <c r="E2156" s="120" t="s">
        <v>2645</v>
      </c>
      <c r="F2156" s="120" t="s">
        <v>18</v>
      </c>
      <c r="G2156" s="120">
        <v>0</v>
      </c>
      <c r="H2156">
        <v>0</v>
      </c>
      <c r="I2156" s="120" t="s">
        <v>57</v>
      </c>
      <c r="J2156">
        <v>0</v>
      </c>
      <c r="K2156">
        <v>1</v>
      </c>
      <c r="L2156" s="121">
        <v>0</v>
      </c>
      <c r="M2156" s="121">
        <v>0</v>
      </c>
      <c r="N2156" s="121">
        <v>0</v>
      </c>
    </row>
  </sheetData>
  <phoneticPr fontId="2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F672-8F17-4E3E-B193-95D9DE8DB271}">
  <dimension ref="A1:Z200"/>
  <sheetViews>
    <sheetView topLeftCell="B1" workbookViewId="0">
      <pane ySplit="4" topLeftCell="A15" activePane="bottomLeft" state="frozen"/>
      <selection pane="bottomLeft" activeCell="F14" sqref="F14"/>
    </sheetView>
  </sheetViews>
  <sheetFormatPr defaultRowHeight="15" x14ac:dyDescent="0.25"/>
  <cols>
    <col min="1" max="1" width="21" style="111" customWidth="1"/>
    <col min="2" max="2" width="13.28515625" style="111" customWidth="1"/>
    <col min="3" max="3" width="61" style="111" customWidth="1"/>
    <col min="4" max="4" width="13.28515625" style="111" customWidth="1"/>
    <col min="5" max="6" width="17.140625" style="111" customWidth="1"/>
    <col min="7" max="16384" width="9.140625" style="111"/>
  </cols>
  <sheetData>
    <row r="1" spans="1:26" ht="18.75" x14ac:dyDescent="0.3">
      <c r="A1" s="37" t="s">
        <v>3836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x14ac:dyDescent="0.25">
      <c r="A2" s="38" t="s">
        <v>3837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25">
      <c r="A4" s="99" t="s">
        <v>2</v>
      </c>
      <c r="B4" s="100" t="s">
        <v>3</v>
      </c>
      <c r="C4" s="100" t="s">
        <v>4</v>
      </c>
      <c r="D4" s="100" t="s">
        <v>5</v>
      </c>
      <c r="E4" s="100" t="s">
        <v>128</v>
      </c>
      <c r="F4" s="101" t="s">
        <v>7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25">
      <c r="A5" s="102" t="s">
        <v>8</v>
      </c>
      <c r="B5" s="103">
        <v>1000032</v>
      </c>
      <c r="C5" s="104" t="s">
        <v>9</v>
      </c>
      <c r="D5" s="105" t="s">
        <v>10</v>
      </c>
      <c r="E5" s="105" t="s">
        <v>11</v>
      </c>
      <c r="F5" s="71">
        <v>4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25">
      <c r="A6" s="102" t="s">
        <v>8</v>
      </c>
      <c r="B6" s="103">
        <v>1000033</v>
      </c>
      <c r="C6" s="104" t="s">
        <v>12</v>
      </c>
      <c r="D6" s="105" t="s">
        <v>10</v>
      </c>
      <c r="E6" s="105" t="s">
        <v>11</v>
      </c>
      <c r="F6" s="71">
        <v>5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x14ac:dyDescent="0.25">
      <c r="A7" s="102" t="s">
        <v>8</v>
      </c>
      <c r="B7" s="103">
        <v>1001306</v>
      </c>
      <c r="C7" s="104" t="s">
        <v>13</v>
      </c>
      <c r="D7" s="105" t="s">
        <v>14</v>
      </c>
      <c r="E7" s="105" t="s">
        <v>11</v>
      </c>
      <c r="F7" s="71">
        <v>3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5">
      <c r="A8" s="102" t="s">
        <v>8</v>
      </c>
      <c r="B8" s="103">
        <v>1000037</v>
      </c>
      <c r="C8" s="104" t="s">
        <v>46</v>
      </c>
      <c r="D8" s="105" t="s">
        <v>10</v>
      </c>
      <c r="E8" s="105" t="s">
        <v>11</v>
      </c>
      <c r="F8" s="71">
        <v>9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5">
      <c r="A9" s="102" t="s">
        <v>8</v>
      </c>
      <c r="B9" s="103">
        <v>1000039</v>
      </c>
      <c r="C9" s="104" t="s">
        <v>16</v>
      </c>
      <c r="D9" s="105" t="s">
        <v>10</v>
      </c>
      <c r="E9" s="105" t="s">
        <v>11</v>
      </c>
      <c r="F9" s="71">
        <v>5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5">
      <c r="A10" s="102" t="s">
        <v>8</v>
      </c>
      <c r="B10" s="103">
        <v>1001455</v>
      </c>
      <c r="C10" s="104" t="s">
        <v>17</v>
      </c>
      <c r="D10" s="105" t="s">
        <v>18</v>
      </c>
      <c r="E10" s="105" t="s">
        <v>47</v>
      </c>
      <c r="F10" s="71">
        <v>1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5">
      <c r="A11" s="102" t="s">
        <v>301</v>
      </c>
      <c r="B11" s="103">
        <v>1001029</v>
      </c>
      <c r="C11" s="104" t="s">
        <v>384</v>
      </c>
      <c r="D11" s="105" t="s">
        <v>14</v>
      </c>
      <c r="E11" s="105" t="s">
        <v>47</v>
      </c>
      <c r="F11" s="71">
        <v>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5">
      <c r="A12" s="102" t="s">
        <v>8</v>
      </c>
      <c r="B12" s="103">
        <v>1000048</v>
      </c>
      <c r="C12" s="104" t="s">
        <v>19</v>
      </c>
      <c r="D12" s="105" t="s">
        <v>10</v>
      </c>
      <c r="E12" s="105" t="s">
        <v>11</v>
      </c>
      <c r="F12" s="71">
        <v>7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5">
      <c r="A13" s="102" t="s">
        <v>8</v>
      </c>
      <c r="B13" s="103">
        <v>1000049</v>
      </c>
      <c r="C13" s="104" t="s">
        <v>48</v>
      </c>
      <c r="D13" s="105" t="s">
        <v>10</v>
      </c>
      <c r="E13" s="105" t="s">
        <v>11</v>
      </c>
      <c r="F13" s="71">
        <v>6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5">
      <c r="A14" s="102" t="s">
        <v>69</v>
      </c>
      <c r="B14" s="103">
        <v>1000071</v>
      </c>
      <c r="C14" s="104" t="s">
        <v>76</v>
      </c>
      <c r="D14" s="105" t="s">
        <v>71</v>
      </c>
      <c r="E14" s="105" t="s">
        <v>11</v>
      </c>
      <c r="F14" s="71">
        <v>4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5">
      <c r="A15" s="102" t="s">
        <v>69</v>
      </c>
      <c r="B15" s="103">
        <v>1000072</v>
      </c>
      <c r="C15" s="104" t="s">
        <v>171</v>
      </c>
      <c r="D15" s="105" t="s">
        <v>71</v>
      </c>
      <c r="E15" s="105" t="s">
        <v>11</v>
      </c>
      <c r="F15" s="71">
        <v>3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5">
      <c r="A16" s="102" t="s">
        <v>69</v>
      </c>
      <c r="B16" s="103">
        <v>1000074</v>
      </c>
      <c r="C16" s="104" t="s">
        <v>173</v>
      </c>
      <c r="D16" s="105" t="s">
        <v>71</v>
      </c>
      <c r="E16" s="105" t="s">
        <v>47</v>
      </c>
      <c r="F16" s="71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5">
      <c r="A17" s="102" t="s">
        <v>301</v>
      </c>
      <c r="B17" s="103">
        <v>1000814</v>
      </c>
      <c r="C17" s="104" t="s">
        <v>605</v>
      </c>
      <c r="D17" s="105"/>
      <c r="E17" s="105" t="s">
        <v>57</v>
      </c>
      <c r="F17" s="71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5">
      <c r="A18" s="102" t="s">
        <v>301</v>
      </c>
      <c r="B18" s="103">
        <v>1008891</v>
      </c>
      <c r="C18" s="104" t="s">
        <v>607</v>
      </c>
      <c r="D18" s="105" t="s">
        <v>10</v>
      </c>
      <c r="E18" s="105" t="s">
        <v>47</v>
      </c>
      <c r="F18" s="71">
        <v>1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 s="102" t="s">
        <v>301</v>
      </c>
      <c r="B19" s="103">
        <v>1001986</v>
      </c>
      <c r="C19" s="104" t="s">
        <v>611</v>
      </c>
      <c r="D19" s="105" t="s">
        <v>18</v>
      </c>
      <c r="E19" s="105" t="s">
        <v>11</v>
      </c>
      <c r="F19" s="71">
        <v>1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 s="102" t="s">
        <v>301</v>
      </c>
      <c r="B20" s="103">
        <v>1001936</v>
      </c>
      <c r="C20" s="104" t="s">
        <v>614</v>
      </c>
      <c r="D20" s="105"/>
      <c r="E20" s="105" t="s">
        <v>57</v>
      </c>
      <c r="F20" s="71">
        <v>5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 s="102" t="s">
        <v>8</v>
      </c>
      <c r="B21" s="103">
        <v>1001702</v>
      </c>
      <c r="C21" s="104" t="s">
        <v>20</v>
      </c>
      <c r="D21" s="105" t="s">
        <v>18</v>
      </c>
      <c r="E21" s="105" t="s">
        <v>11</v>
      </c>
      <c r="F21" s="71">
        <v>2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 s="102" t="s">
        <v>8</v>
      </c>
      <c r="B22" s="103">
        <v>1001701</v>
      </c>
      <c r="C22" s="104" t="s">
        <v>21</v>
      </c>
      <c r="D22" s="105" t="s">
        <v>18</v>
      </c>
      <c r="E22" s="105" t="s">
        <v>47</v>
      </c>
      <c r="F22" s="71">
        <v>2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A23" s="102" t="s">
        <v>8</v>
      </c>
      <c r="B23" s="103">
        <v>1001680</v>
      </c>
      <c r="C23" s="104" t="s">
        <v>22</v>
      </c>
      <c r="D23" s="105" t="s">
        <v>10</v>
      </c>
      <c r="E23" s="105" t="s">
        <v>11</v>
      </c>
      <c r="F23" s="71">
        <v>2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5">
      <c r="A24" s="102" t="s">
        <v>301</v>
      </c>
      <c r="B24" s="103">
        <v>1006916</v>
      </c>
      <c r="C24" s="104" t="s">
        <v>629</v>
      </c>
      <c r="D24" s="105" t="s">
        <v>18</v>
      </c>
      <c r="E24" s="105" t="s">
        <v>47</v>
      </c>
      <c r="F24" s="71">
        <v>7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5">
      <c r="A25" s="102" t="s">
        <v>8</v>
      </c>
      <c r="B25" s="103">
        <v>1000089</v>
      </c>
      <c r="C25" s="104" t="s">
        <v>60</v>
      </c>
      <c r="D25" s="105" t="s">
        <v>10</v>
      </c>
      <c r="E25" s="105" t="s">
        <v>47</v>
      </c>
      <c r="F25" s="71">
        <v>2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5">
      <c r="A26" s="102" t="s">
        <v>301</v>
      </c>
      <c r="B26" s="103">
        <v>1001457</v>
      </c>
      <c r="C26" s="104" t="s">
        <v>641</v>
      </c>
      <c r="D26" s="105"/>
      <c r="E26" s="105" t="s">
        <v>57</v>
      </c>
      <c r="F26" s="71">
        <v>1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5">
      <c r="A27" s="102" t="s">
        <v>69</v>
      </c>
      <c r="B27" s="103">
        <v>1001697</v>
      </c>
      <c r="C27" s="104" t="s">
        <v>3007</v>
      </c>
      <c r="D27" s="105" t="s">
        <v>14</v>
      </c>
      <c r="E27" s="105" t="s">
        <v>47</v>
      </c>
      <c r="F27" s="71">
        <v>1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5">
      <c r="A28" s="102" t="s">
        <v>69</v>
      </c>
      <c r="B28" s="103">
        <v>1001698</v>
      </c>
      <c r="C28" s="104" t="s">
        <v>2991</v>
      </c>
      <c r="D28" s="105" t="s">
        <v>14</v>
      </c>
      <c r="E28" s="105" t="s">
        <v>11</v>
      </c>
      <c r="F28" s="71">
        <v>1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5">
      <c r="A29" s="102" t="s">
        <v>69</v>
      </c>
      <c r="B29" s="103">
        <v>1001699</v>
      </c>
      <c r="C29" s="104" t="s">
        <v>3008</v>
      </c>
      <c r="D29" s="105" t="s">
        <v>14</v>
      </c>
      <c r="E29" s="105" t="s">
        <v>11</v>
      </c>
      <c r="F29" s="71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5">
      <c r="A30" s="102" t="s">
        <v>69</v>
      </c>
      <c r="B30" s="103">
        <v>1006911</v>
      </c>
      <c r="C30" s="104" t="s">
        <v>242</v>
      </c>
      <c r="D30" s="105" t="s">
        <v>18</v>
      </c>
      <c r="E30" s="105" t="s">
        <v>57</v>
      </c>
      <c r="F30" s="71">
        <v>3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5">
      <c r="A31" s="102" t="s">
        <v>69</v>
      </c>
      <c r="B31" s="103">
        <v>1006912</v>
      </c>
      <c r="C31" s="104" t="s">
        <v>242</v>
      </c>
      <c r="D31" s="105" t="s">
        <v>18</v>
      </c>
      <c r="E31" s="105" t="s">
        <v>57</v>
      </c>
      <c r="F31" s="71">
        <v>9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5">
      <c r="A32" s="102" t="s">
        <v>8</v>
      </c>
      <c r="B32" s="103">
        <v>1008890</v>
      </c>
      <c r="C32" s="104" t="s">
        <v>23</v>
      </c>
      <c r="D32" s="105" t="s">
        <v>18</v>
      </c>
      <c r="E32" s="105" t="s">
        <v>57</v>
      </c>
      <c r="F32" s="71">
        <v>3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x14ac:dyDescent="0.25">
      <c r="A33" s="102" t="s">
        <v>69</v>
      </c>
      <c r="B33" s="103">
        <v>1006909</v>
      </c>
      <c r="C33" s="104" t="s">
        <v>251</v>
      </c>
      <c r="D33" s="105" t="s">
        <v>18</v>
      </c>
      <c r="E33" s="105" t="s">
        <v>57</v>
      </c>
      <c r="F33" s="71">
        <v>1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25">
      <c r="A34" s="102" t="s">
        <v>69</v>
      </c>
      <c r="B34" s="103">
        <v>1006906</v>
      </c>
      <c r="C34" s="104" t="s">
        <v>252</v>
      </c>
      <c r="D34" s="105" t="s">
        <v>18</v>
      </c>
      <c r="E34" s="105" t="s">
        <v>57</v>
      </c>
      <c r="F34" s="71">
        <v>1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x14ac:dyDescent="0.25">
      <c r="A35" s="102" t="s">
        <v>69</v>
      </c>
      <c r="B35" s="103">
        <v>1006907</v>
      </c>
      <c r="C35" s="104" t="s">
        <v>253</v>
      </c>
      <c r="D35" s="105" t="s">
        <v>18</v>
      </c>
      <c r="E35" s="105" t="s">
        <v>57</v>
      </c>
      <c r="F35" s="71">
        <v>7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 s="102" t="s">
        <v>69</v>
      </c>
      <c r="B36" s="103">
        <v>1001696</v>
      </c>
      <c r="C36" s="104" t="s">
        <v>90</v>
      </c>
      <c r="D36" s="105" t="s">
        <v>14</v>
      </c>
      <c r="E36" s="105" t="s">
        <v>11</v>
      </c>
      <c r="F36" s="71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25">
      <c r="A37" s="102" t="s">
        <v>69</v>
      </c>
      <c r="B37" s="103">
        <v>1001693</v>
      </c>
      <c r="C37" s="104" t="s">
        <v>259</v>
      </c>
      <c r="D37" s="105" t="s">
        <v>14</v>
      </c>
      <c r="E37" s="105" t="s">
        <v>11</v>
      </c>
      <c r="F37" s="71">
        <v>2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25">
      <c r="A38" s="102" t="s">
        <v>69</v>
      </c>
      <c r="B38" s="103">
        <v>1001694</v>
      </c>
      <c r="C38" s="104" t="s">
        <v>177</v>
      </c>
      <c r="D38" s="105" t="s">
        <v>14</v>
      </c>
      <c r="E38" s="105" t="s">
        <v>11</v>
      </c>
      <c r="F38" s="71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25">
      <c r="A39" s="102" t="s">
        <v>8</v>
      </c>
      <c r="B39" s="103">
        <v>1001667</v>
      </c>
      <c r="C39" s="104" t="s">
        <v>26</v>
      </c>
      <c r="D39" s="105" t="s">
        <v>18</v>
      </c>
      <c r="E39" s="105" t="s">
        <v>47</v>
      </c>
      <c r="F39" s="71">
        <v>10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25">
      <c r="A40" s="102" t="s">
        <v>8</v>
      </c>
      <c r="B40" s="103">
        <v>1001289</v>
      </c>
      <c r="C40" s="104" t="s">
        <v>24</v>
      </c>
      <c r="D40" s="105" t="s">
        <v>14</v>
      </c>
      <c r="E40" s="105" t="s">
        <v>11</v>
      </c>
      <c r="F40" s="71">
        <v>15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25">
      <c r="A41" s="102" t="s">
        <v>301</v>
      </c>
      <c r="B41" s="103">
        <v>1001599</v>
      </c>
      <c r="C41" s="104" t="s">
        <v>1791</v>
      </c>
      <c r="D41" s="105"/>
      <c r="E41" s="105" t="s">
        <v>57</v>
      </c>
      <c r="F41" s="71">
        <v>1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25">
      <c r="A42" s="102" t="s">
        <v>8</v>
      </c>
      <c r="B42" s="103">
        <v>1001122</v>
      </c>
      <c r="C42" s="104" t="s">
        <v>25</v>
      </c>
      <c r="D42" s="105" t="s">
        <v>10</v>
      </c>
      <c r="E42" s="105" t="s">
        <v>11</v>
      </c>
      <c r="F42" s="71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25">
      <c r="A43" s="102" t="s">
        <v>301</v>
      </c>
      <c r="B43" s="103">
        <v>1000137</v>
      </c>
      <c r="C43" s="104" t="s">
        <v>395</v>
      </c>
      <c r="D43" s="105" t="s">
        <v>14</v>
      </c>
      <c r="E43" s="105" t="s">
        <v>57</v>
      </c>
      <c r="F43" s="71">
        <v>3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25">
      <c r="A44" s="102" t="s">
        <v>69</v>
      </c>
      <c r="B44" s="103">
        <v>1001302</v>
      </c>
      <c r="C44" s="104" t="s">
        <v>96</v>
      </c>
      <c r="D44" s="105" t="s">
        <v>10</v>
      </c>
      <c r="E44" s="105" t="s">
        <v>11</v>
      </c>
      <c r="F44" s="71">
        <v>13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25">
      <c r="A45" s="102" t="s">
        <v>69</v>
      </c>
      <c r="B45" s="103">
        <v>1001190</v>
      </c>
      <c r="C45" s="104" t="s">
        <v>97</v>
      </c>
      <c r="D45" s="105" t="s">
        <v>10</v>
      </c>
      <c r="E45" s="105" t="s">
        <v>11</v>
      </c>
      <c r="F45" s="71">
        <v>13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25">
      <c r="A46" s="102" t="s">
        <v>69</v>
      </c>
      <c r="B46" s="103">
        <v>1000146</v>
      </c>
      <c r="C46" s="104" t="s">
        <v>99</v>
      </c>
      <c r="D46" s="105" t="s">
        <v>10</v>
      </c>
      <c r="E46" s="105" t="s">
        <v>11</v>
      </c>
      <c r="F46" s="71">
        <v>1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x14ac:dyDescent="0.25">
      <c r="A47" s="102" t="s">
        <v>8</v>
      </c>
      <c r="B47" s="103">
        <v>1001939</v>
      </c>
      <c r="C47" s="104" t="s">
        <v>50</v>
      </c>
      <c r="D47" s="105" t="s">
        <v>18</v>
      </c>
      <c r="E47" s="105" t="s">
        <v>57</v>
      </c>
      <c r="F47" s="71">
        <v>2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25">
      <c r="A48" s="102" t="s">
        <v>301</v>
      </c>
      <c r="B48" s="103">
        <v>1002012</v>
      </c>
      <c r="C48" s="104" t="s">
        <v>2048</v>
      </c>
      <c r="D48" s="105" t="s">
        <v>14</v>
      </c>
      <c r="E48" s="105" t="s">
        <v>57</v>
      </c>
      <c r="F48" s="71">
        <v>2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5">
      <c r="A49" s="102" t="s">
        <v>301</v>
      </c>
      <c r="B49" s="103">
        <v>1000163</v>
      </c>
      <c r="C49" s="104" t="s">
        <v>400</v>
      </c>
      <c r="D49" s="105" t="s">
        <v>10</v>
      </c>
      <c r="E49" s="105" t="s">
        <v>47</v>
      </c>
      <c r="F49" s="71">
        <v>2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5">
      <c r="A50" s="102" t="s">
        <v>301</v>
      </c>
      <c r="B50" s="103">
        <v>1000167</v>
      </c>
      <c r="C50" s="104" t="s">
        <v>412</v>
      </c>
      <c r="D50" s="105" t="s">
        <v>10</v>
      </c>
      <c r="E50" s="105" t="s">
        <v>11</v>
      </c>
      <c r="F50" s="71">
        <v>1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5">
      <c r="A51" s="102" t="s">
        <v>8</v>
      </c>
      <c r="B51" s="103">
        <v>1000170</v>
      </c>
      <c r="C51" s="104" t="s">
        <v>61</v>
      </c>
      <c r="D51" s="105" t="s">
        <v>10</v>
      </c>
      <c r="E51" s="105" t="s">
        <v>57</v>
      </c>
      <c r="F51" s="71">
        <v>2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5">
      <c r="A52" s="102" t="s">
        <v>8</v>
      </c>
      <c r="B52" s="103">
        <v>1000171</v>
      </c>
      <c r="C52" s="104" t="s">
        <v>62</v>
      </c>
      <c r="D52" s="105" t="s">
        <v>10</v>
      </c>
      <c r="E52" s="105" t="s">
        <v>47</v>
      </c>
      <c r="F52" s="71">
        <v>2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x14ac:dyDescent="0.25">
      <c r="A53" s="102" t="s">
        <v>8</v>
      </c>
      <c r="B53" s="103">
        <v>1001146</v>
      </c>
      <c r="C53" s="104" t="s">
        <v>27</v>
      </c>
      <c r="D53" s="105" t="s">
        <v>10</v>
      </c>
      <c r="E53" s="105" t="s">
        <v>11</v>
      </c>
      <c r="F53" s="71">
        <v>3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5">
      <c r="A54" s="102" t="s">
        <v>301</v>
      </c>
      <c r="B54" s="103">
        <v>1000182</v>
      </c>
      <c r="C54" s="104" t="s">
        <v>431</v>
      </c>
      <c r="D54" s="105" t="s">
        <v>10</v>
      </c>
      <c r="E54" s="105" t="s">
        <v>57</v>
      </c>
      <c r="F54" s="71">
        <v>2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5">
      <c r="A55" s="102" t="s">
        <v>8</v>
      </c>
      <c r="B55" s="103">
        <v>1000183</v>
      </c>
      <c r="C55" s="104" t="s">
        <v>51</v>
      </c>
      <c r="D55" s="105" t="s">
        <v>14</v>
      </c>
      <c r="E55" s="105" t="s">
        <v>57</v>
      </c>
      <c r="F55" s="71">
        <v>11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5">
      <c r="A56" s="102" t="s">
        <v>8</v>
      </c>
      <c r="B56" s="103">
        <v>1000184</v>
      </c>
      <c r="C56" s="104" t="s">
        <v>28</v>
      </c>
      <c r="D56" s="105" t="s">
        <v>14</v>
      </c>
      <c r="E56" s="105" t="s">
        <v>57</v>
      </c>
      <c r="F56" s="71">
        <v>4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5">
      <c r="A57" s="102" t="s">
        <v>8</v>
      </c>
      <c r="B57" s="103">
        <v>1000185</v>
      </c>
      <c r="C57" s="104" t="s">
        <v>52</v>
      </c>
      <c r="D57" s="105" t="s">
        <v>14</v>
      </c>
      <c r="E57" s="105" t="s">
        <v>11</v>
      </c>
      <c r="F57" s="71">
        <v>3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5">
      <c r="A58" s="102" t="s">
        <v>301</v>
      </c>
      <c r="B58" s="103">
        <v>1001263</v>
      </c>
      <c r="C58" s="104" t="s">
        <v>719</v>
      </c>
      <c r="D58" s="105" t="s">
        <v>14</v>
      </c>
      <c r="E58" s="105" t="s">
        <v>47</v>
      </c>
      <c r="F58" s="71">
        <v>5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5">
      <c r="A59" s="102" t="s">
        <v>8</v>
      </c>
      <c r="B59" s="103">
        <v>1001707</v>
      </c>
      <c r="C59" s="104" t="s">
        <v>31</v>
      </c>
      <c r="D59" s="105" t="s">
        <v>18</v>
      </c>
      <c r="E59" s="105" t="s">
        <v>11</v>
      </c>
      <c r="F59" s="71">
        <v>7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5">
      <c r="A60" s="102" t="s">
        <v>8</v>
      </c>
      <c r="B60" s="103">
        <v>1000195</v>
      </c>
      <c r="C60" s="104" t="s">
        <v>32</v>
      </c>
      <c r="D60" s="105" t="s">
        <v>10</v>
      </c>
      <c r="E60" s="105" t="s">
        <v>57</v>
      </c>
      <c r="F60" s="71">
        <v>3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5">
      <c r="A61" s="102" t="s">
        <v>8</v>
      </c>
      <c r="B61" s="103">
        <v>1000196</v>
      </c>
      <c r="C61" s="104" t="s">
        <v>64</v>
      </c>
      <c r="D61" s="105" t="s">
        <v>14</v>
      </c>
      <c r="E61" s="105" t="s">
        <v>57</v>
      </c>
      <c r="F61" s="71">
        <v>10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x14ac:dyDescent="0.25">
      <c r="A62" s="102" t="s">
        <v>8</v>
      </c>
      <c r="B62" s="103">
        <v>1000197</v>
      </c>
      <c r="C62" s="104" t="s">
        <v>53</v>
      </c>
      <c r="D62" s="105" t="s">
        <v>14</v>
      </c>
      <c r="E62" s="105" t="s">
        <v>57</v>
      </c>
      <c r="F62" s="71">
        <v>3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x14ac:dyDescent="0.25">
      <c r="A63" s="102" t="s">
        <v>8</v>
      </c>
      <c r="B63" s="103">
        <v>1000198</v>
      </c>
      <c r="C63" s="104" t="s">
        <v>65</v>
      </c>
      <c r="D63" s="105" t="s">
        <v>14</v>
      </c>
      <c r="E63" s="105" t="s">
        <v>11</v>
      </c>
      <c r="F63" s="71">
        <v>3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x14ac:dyDescent="0.25">
      <c r="A64" s="102" t="s">
        <v>69</v>
      </c>
      <c r="B64" s="103">
        <v>1000204</v>
      </c>
      <c r="C64" s="104" t="s">
        <v>519</v>
      </c>
      <c r="D64" s="105" t="s">
        <v>10</v>
      </c>
      <c r="E64" s="105" t="s">
        <v>11</v>
      </c>
      <c r="F64" s="71">
        <v>16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x14ac:dyDescent="0.25">
      <c r="A65" s="102" t="s">
        <v>69</v>
      </c>
      <c r="B65" s="103">
        <v>1000206</v>
      </c>
      <c r="C65" s="104" t="s">
        <v>102</v>
      </c>
      <c r="D65" s="105" t="s">
        <v>10</v>
      </c>
      <c r="E65" s="105" t="s">
        <v>11</v>
      </c>
      <c r="F65" s="71">
        <v>12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 s="102" t="s">
        <v>69</v>
      </c>
      <c r="B66" s="103">
        <v>1001254</v>
      </c>
      <c r="C66" s="104" t="s">
        <v>271</v>
      </c>
      <c r="D66" s="105" t="s">
        <v>18</v>
      </c>
      <c r="E66" s="105" t="s">
        <v>47</v>
      </c>
      <c r="F66" s="71">
        <v>4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x14ac:dyDescent="0.25">
      <c r="A67" s="102" t="s">
        <v>69</v>
      </c>
      <c r="B67" s="103">
        <v>1000208</v>
      </c>
      <c r="C67" s="104" t="s">
        <v>103</v>
      </c>
      <c r="D67" s="105" t="s">
        <v>14</v>
      </c>
      <c r="E67" s="105" t="s">
        <v>11</v>
      </c>
      <c r="F67" s="71">
        <v>19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x14ac:dyDescent="0.25">
      <c r="A68" s="102" t="s">
        <v>69</v>
      </c>
      <c r="B68" s="103">
        <v>1000209</v>
      </c>
      <c r="C68" s="104" t="s">
        <v>104</v>
      </c>
      <c r="D68" s="105" t="s">
        <v>14</v>
      </c>
      <c r="E68" s="105" t="s">
        <v>57</v>
      </c>
      <c r="F68" s="71">
        <v>4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x14ac:dyDescent="0.25">
      <c r="A69" s="102" t="s">
        <v>69</v>
      </c>
      <c r="B69" s="103">
        <v>1001854</v>
      </c>
      <c r="C69" s="104" t="s">
        <v>105</v>
      </c>
      <c r="D69" s="105" t="s">
        <v>10</v>
      </c>
      <c r="E69" s="105" t="s">
        <v>11</v>
      </c>
      <c r="F69" s="71">
        <v>14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x14ac:dyDescent="0.25">
      <c r="A70" s="102" t="s">
        <v>8</v>
      </c>
      <c r="B70" s="103">
        <v>1001488</v>
      </c>
      <c r="C70" s="104" t="s">
        <v>34</v>
      </c>
      <c r="D70" s="105" t="s">
        <v>18</v>
      </c>
      <c r="E70" s="105" t="s">
        <v>11</v>
      </c>
      <c r="F70" s="71">
        <v>4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x14ac:dyDescent="0.25">
      <c r="A71" s="102" t="s">
        <v>301</v>
      </c>
      <c r="B71" s="103">
        <v>1001284</v>
      </c>
      <c r="C71" s="104" t="s">
        <v>449</v>
      </c>
      <c r="D71" s="105" t="s">
        <v>14</v>
      </c>
      <c r="E71" s="105" t="s">
        <v>57</v>
      </c>
      <c r="F71" s="71">
        <v>1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5">
      <c r="A72" s="102" t="s">
        <v>8</v>
      </c>
      <c r="B72" s="103">
        <v>1000256</v>
      </c>
      <c r="C72" s="104" t="s">
        <v>36</v>
      </c>
      <c r="D72" s="105" t="s">
        <v>14</v>
      </c>
      <c r="E72" s="105" t="s">
        <v>47</v>
      </c>
      <c r="F72" s="71">
        <v>3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5">
      <c r="A73" s="102" t="s">
        <v>8</v>
      </c>
      <c r="B73" s="103">
        <v>1000258</v>
      </c>
      <c r="C73" s="104" t="s">
        <v>35</v>
      </c>
      <c r="D73" s="105" t="s">
        <v>10</v>
      </c>
      <c r="E73" s="105" t="s">
        <v>47</v>
      </c>
      <c r="F73" s="71">
        <v>1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x14ac:dyDescent="0.25">
      <c r="A74" s="102" t="s">
        <v>8</v>
      </c>
      <c r="B74" s="103">
        <v>1001264</v>
      </c>
      <c r="C74" s="104" t="s">
        <v>37</v>
      </c>
      <c r="D74" s="105" t="s">
        <v>14</v>
      </c>
      <c r="E74" s="105" t="s">
        <v>11</v>
      </c>
      <c r="F74" s="71">
        <v>3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25">
      <c r="A75" s="102" t="s">
        <v>69</v>
      </c>
      <c r="B75" s="103">
        <v>1006179</v>
      </c>
      <c r="C75" s="104" t="s">
        <v>106</v>
      </c>
      <c r="D75" s="105" t="s">
        <v>18</v>
      </c>
      <c r="E75" s="105" t="s">
        <v>11</v>
      </c>
      <c r="F75" s="71">
        <v>16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x14ac:dyDescent="0.25">
      <c r="A76" s="102" t="s">
        <v>8</v>
      </c>
      <c r="B76" s="103">
        <v>1000284</v>
      </c>
      <c r="C76" s="104" t="s">
        <v>38</v>
      </c>
      <c r="D76" s="105" t="s">
        <v>14</v>
      </c>
      <c r="E76" s="105" t="s">
        <v>11</v>
      </c>
      <c r="F76" s="71">
        <v>3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x14ac:dyDescent="0.25">
      <c r="A77" s="102" t="s">
        <v>8</v>
      </c>
      <c r="B77" s="103">
        <v>1001940</v>
      </c>
      <c r="C77" s="104" t="s">
        <v>152</v>
      </c>
      <c r="D77" s="105" t="s">
        <v>14</v>
      </c>
      <c r="E77" s="105" t="s">
        <v>47</v>
      </c>
      <c r="F77" s="71">
        <v>1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x14ac:dyDescent="0.25">
      <c r="A78" s="102" t="s">
        <v>69</v>
      </c>
      <c r="B78" s="103">
        <v>1001925</v>
      </c>
      <c r="C78" s="104" t="s">
        <v>108</v>
      </c>
      <c r="D78" s="105" t="s">
        <v>18</v>
      </c>
      <c r="E78" s="105" t="s">
        <v>57</v>
      </c>
      <c r="F78" s="71">
        <v>1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x14ac:dyDescent="0.25">
      <c r="A79" s="102" t="s">
        <v>8</v>
      </c>
      <c r="B79" s="103">
        <v>1001705</v>
      </c>
      <c r="C79" s="104" t="s">
        <v>40</v>
      </c>
      <c r="D79" s="105" t="s">
        <v>18</v>
      </c>
      <c r="E79" s="105" t="s">
        <v>11</v>
      </c>
      <c r="F79" s="71">
        <v>1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25">
      <c r="A80" s="102" t="s">
        <v>301</v>
      </c>
      <c r="B80" s="103">
        <v>1000636</v>
      </c>
      <c r="C80" s="104" t="s">
        <v>154</v>
      </c>
      <c r="D80" s="105" t="s">
        <v>14</v>
      </c>
      <c r="E80" s="105" t="s">
        <v>57</v>
      </c>
      <c r="F80" s="71">
        <v>1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25">
      <c r="A81" s="102" t="s">
        <v>301</v>
      </c>
      <c r="B81" s="103">
        <v>1008885</v>
      </c>
      <c r="C81" s="104" t="s">
        <v>1131</v>
      </c>
      <c r="D81" s="105" t="s">
        <v>157</v>
      </c>
      <c r="E81" s="105" t="s">
        <v>47</v>
      </c>
      <c r="F81" s="71">
        <v>1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25">
      <c r="A82" s="102" t="s">
        <v>69</v>
      </c>
      <c r="B82" s="103">
        <v>1000305</v>
      </c>
      <c r="C82" s="104" t="s">
        <v>111</v>
      </c>
      <c r="D82" s="105" t="s">
        <v>10</v>
      </c>
      <c r="E82" s="105" t="s">
        <v>11</v>
      </c>
      <c r="F82" s="71">
        <v>6</v>
      </c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25">
      <c r="A83" s="102" t="s">
        <v>8</v>
      </c>
      <c r="B83" s="103">
        <v>1000319</v>
      </c>
      <c r="C83" s="104" t="s">
        <v>54</v>
      </c>
      <c r="D83" s="105" t="s">
        <v>14</v>
      </c>
      <c r="E83" s="105" t="s">
        <v>11</v>
      </c>
      <c r="F83" s="71">
        <v>3</v>
      </c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25">
      <c r="A84" s="102" t="s">
        <v>8</v>
      </c>
      <c r="B84" s="103">
        <v>1001660</v>
      </c>
      <c r="C84" s="104" t="s">
        <v>41</v>
      </c>
      <c r="D84" s="105" t="s">
        <v>10</v>
      </c>
      <c r="E84" s="105" t="s">
        <v>11</v>
      </c>
      <c r="F84" s="71">
        <v>2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5">
      <c r="A85" s="102" t="s">
        <v>8</v>
      </c>
      <c r="B85" s="103">
        <v>1002153</v>
      </c>
      <c r="C85" s="104" t="s">
        <v>42</v>
      </c>
      <c r="D85" s="105" t="s">
        <v>18</v>
      </c>
      <c r="E85" s="105" t="s">
        <v>57</v>
      </c>
      <c r="F85" s="71">
        <v>1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25">
      <c r="A86" s="102" t="s">
        <v>301</v>
      </c>
      <c r="B86" s="103">
        <v>1000322</v>
      </c>
      <c r="C86" s="104" t="s">
        <v>2490</v>
      </c>
      <c r="D86" s="105"/>
      <c r="E86" s="105"/>
      <c r="F86" s="71">
        <v>0</v>
      </c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25">
      <c r="A87" s="102" t="s">
        <v>69</v>
      </c>
      <c r="B87" s="103">
        <v>1000665</v>
      </c>
      <c r="C87" s="104" t="s">
        <v>113</v>
      </c>
      <c r="D87" s="105" t="s">
        <v>71</v>
      </c>
      <c r="E87" s="105" t="s">
        <v>11</v>
      </c>
      <c r="F87" s="71">
        <v>5</v>
      </c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25">
      <c r="A88" s="102" t="s">
        <v>69</v>
      </c>
      <c r="B88" s="103">
        <v>1000327</v>
      </c>
      <c r="C88" s="104" t="s">
        <v>114</v>
      </c>
      <c r="D88" s="105" t="s">
        <v>71</v>
      </c>
      <c r="E88" s="105" t="s">
        <v>11</v>
      </c>
      <c r="F88" s="71">
        <v>8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25">
      <c r="A89" s="102" t="s">
        <v>69</v>
      </c>
      <c r="B89" s="103">
        <v>1006150</v>
      </c>
      <c r="C89" s="104" t="s">
        <v>115</v>
      </c>
      <c r="D89" s="105" t="s">
        <v>71</v>
      </c>
      <c r="E89" s="105" t="s">
        <v>11</v>
      </c>
      <c r="F89" s="71">
        <v>1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5">
      <c r="A90" s="102" t="s">
        <v>69</v>
      </c>
      <c r="B90" s="103">
        <v>1000332</v>
      </c>
      <c r="C90" s="104" t="s">
        <v>184</v>
      </c>
      <c r="D90" s="105" t="s">
        <v>71</v>
      </c>
      <c r="E90" s="105" t="s">
        <v>11</v>
      </c>
      <c r="F90" s="71">
        <v>7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25">
      <c r="A91" s="102" t="s">
        <v>8</v>
      </c>
      <c r="B91" s="103">
        <v>1000348</v>
      </c>
      <c r="C91" s="104" t="s">
        <v>43</v>
      </c>
      <c r="D91" s="105" t="s">
        <v>10</v>
      </c>
      <c r="E91" s="105" t="s">
        <v>47</v>
      </c>
      <c r="F91" s="71">
        <v>1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25">
      <c r="A92" s="102" t="s">
        <v>69</v>
      </c>
      <c r="B92" s="103">
        <v>1001852</v>
      </c>
      <c r="C92" s="104" t="s">
        <v>185</v>
      </c>
      <c r="D92" s="105" t="s">
        <v>10</v>
      </c>
      <c r="E92" s="105" t="s">
        <v>11</v>
      </c>
      <c r="F92" s="71">
        <v>34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25">
      <c r="A93" s="102" t="s">
        <v>8</v>
      </c>
      <c r="B93" s="103">
        <v>1001562</v>
      </c>
      <c r="C93" s="104" t="s">
        <v>44</v>
      </c>
      <c r="D93" s="105" t="s">
        <v>18</v>
      </c>
      <c r="E93" s="105" t="s">
        <v>47</v>
      </c>
      <c r="F93" s="71">
        <v>11</v>
      </c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25">
      <c r="A94" s="102" t="s">
        <v>69</v>
      </c>
      <c r="B94" s="103">
        <v>1000366</v>
      </c>
      <c r="C94" s="104" t="s">
        <v>117</v>
      </c>
      <c r="D94" s="105" t="s">
        <v>14</v>
      </c>
      <c r="E94" s="105" t="s">
        <v>11</v>
      </c>
      <c r="F94" s="71">
        <v>5</v>
      </c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25">
      <c r="A95" s="102" t="s">
        <v>69</v>
      </c>
      <c r="B95" s="103">
        <v>1000367</v>
      </c>
      <c r="C95" s="104" t="s">
        <v>124</v>
      </c>
      <c r="D95" s="105" t="s">
        <v>14</v>
      </c>
      <c r="E95" s="105" t="s">
        <v>11</v>
      </c>
      <c r="F95" s="71">
        <v>4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25">
      <c r="A96" s="102" t="s">
        <v>69</v>
      </c>
      <c r="B96" s="103">
        <v>1000368</v>
      </c>
      <c r="C96" s="104" t="s">
        <v>186</v>
      </c>
      <c r="D96" s="105" t="s">
        <v>71</v>
      </c>
      <c r="E96" s="105" t="s">
        <v>11</v>
      </c>
      <c r="F96" s="71">
        <v>0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25">
      <c r="A97" s="102" t="s">
        <v>69</v>
      </c>
      <c r="B97" s="103">
        <v>1001674</v>
      </c>
      <c r="C97" s="104" t="s">
        <v>293</v>
      </c>
      <c r="D97" s="105" t="s">
        <v>294</v>
      </c>
      <c r="E97" s="105" t="s">
        <v>11</v>
      </c>
      <c r="F97" s="71">
        <v>0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25">
      <c r="A98" s="102" t="s">
        <v>69</v>
      </c>
      <c r="B98" s="103">
        <v>1000648</v>
      </c>
      <c r="C98" s="104" t="s">
        <v>122</v>
      </c>
      <c r="D98" s="105" t="s">
        <v>14</v>
      </c>
      <c r="E98" s="105" t="s">
        <v>11</v>
      </c>
      <c r="F98" s="71">
        <v>14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25">
      <c r="A99" s="102" t="s">
        <v>69</v>
      </c>
      <c r="B99" s="103">
        <v>1000995</v>
      </c>
      <c r="C99" s="104" t="s">
        <v>123</v>
      </c>
      <c r="D99" s="105" t="s">
        <v>14</v>
      </c>
      <c r="E99" s="105" t="s">
        <v>11</v>
      </c>
      <c r="F99" s="71">
        <v>17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25">
      <c r="A100" s="102" t="s">
        <v>8</v>
      </c>
      <c r="B100" s="103">
        <v>1002108</v>
      </c>
      <c r="C100" s="104" t="s">
        <v>55</v>
      </c>
      <c r="D100" s="105" t="s">
        <v>18</v>
      </c>
      <c r="E100" s="105" t="s">
        <v>47</v>
      </c>
      <c r="F100" s="71">
        <v>2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5">
      <c r="A101" s="102" t="s">
        <v>8</v>
      </c>
      <c r="B101" s="103">
        <v>1001476</v>
      </c>
      <c r="C101" s="104" t="s">
        <v>45</v>
      </c>
      <c r="D101" s="105" t="s">
        <v>18</v>
      </c>
      <c r="E101" s="105" t="s">
        <v>11</v>
      </c>
      <c r="F101" s="71">
        <v>8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25">
      <c r="A102" s="102" t="s">
        <v>301</v>
      </c>
      <c r="B102" s="103">
        <v>1001041</v>
      </c>
      <c r="C102" s="104" t="s">
        <v>1771</v>
      </c>
      <c r="D102" s="105"/>
      <c r="E102" s="105" t="s">
        <v>57</v>
      </c>
      <c r="F102" s="71">
        <v>3</v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25">
      <c r="A103" s="106" t="s">
        <v>301</v>
      </c>
      <c r="B103" s="107">
        <v>1000754</v>
      </c>
      <c r="C103" s="108" t="s">
        <v>496</v>
      </c>
      <c r="D103" s="109" t="s">
        <v>10</v>
      </c>
      <c r="E103" s="109" t="s">
        <v>57</v>
      </c>
      <c r="F103" s="110">
        <v>1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4C62-1BAC-47CF-B52D-A8FF7BD7D8D8}">
  <dimension ref="A1:F79"/>
  <sheetViews>
    <sheetView zoomScale="69" workbookViewId="0">
      <pane ySplit="4" topLeftCell="A58" activePane="bottomLeft" state="frozen"/>
      <selection pane="bottomLeft" activeCell="E73" sqref="E73"/>
    </sheetView>
  </sheetViews>
  <sheetFormatPr defaultColWidth="24.7109375" defaultRowHeight="15" x14ac:dyDescent="0.25"/>
  <cols>
    <col min="1" max="1" width="21" customWidth="1"/>
    <col min="2" max="2" width="13.28515625" customWidth="1"/>
    <col min="3" max="3" width="61" customWidth="1"/>
    <col min="4" max="4" width="13.28515625" customWidth="1"/>
    <col min="5" max="6" width="17.140625" customWidth="1"/>
  </cols>
  <sheetData>
    <row r="1" spans="1:6" ht="18.75" x14ac:dyDescent="0.3">
      <c r="A1" s="37" t="s">
        <v>3812</v>
      </c>
    </row>
    <row r="2" spans="1:6" x14ac:dyDescent="0.25">
      <c r="A2" s="38" t="s">
        <v>3813</v>
      </c>
    </row>
    <row r="4" spans="1:6" x14ac:dyDescent="0.25">
      <c r="A4" s="99" t="s">
        <v>2</v>
      </c>
      <c r="B4" s="100" t="s">
        <v>3</v>
      </c>
      <c r="C4" s="100" t="s">
        <v>4</v>
      </c>
      <c r="D4" s="100" t="s">
        <v>5</v>
      </c>
      <c r="E4" s="100" t="s">
        <v>128</v>
      </c>
      <c r="F4" s="101" t="s">
        <v>7</v>
      </c>
    </row>
    <row r="5" spans="1:6" x14ac:dyDescent="0.25">
      <c r="A5" s="102" t="s">
        <v>69</v>
      </c>
      <c r="B5" s="103">
        <v>1001850</v>
      </c>
      <c r="C5" s="104" t="s">
        <v>167</v>
      </c>
      <c r="D5" s="105" t="s">
        <v>10</v>
      </c>
      <c r="E5" s="105" t="s">
        <v>11</v>
      </c>
      <c r="F5" s="71">
        <v>1</v>
      </c>
    </row>
    <row r="6" spans="1:6" x14ac:dyDescent="0.25">
      <c r="A6" s="102" t="s">
        <v>69</v>
      </c>
      <c r="B6" s="103">
        <v>1000052</v>
      </c>
      <c r="C6" s="104" t="s">
        <v>169</v>
      </c>
      <c r="D6" s="105" t="s">
        <v>14</v>
      </c>
      <c r="E6" s="105" t="s">
        <v>47</v>
      </c>
      <c r="F6" s="71">
        <v>5</v>
      </c>
    </row>
    <row r="7" spans="1:6" x14ac:dyDescent="0.25">
      <c r="A7" s="102" t="s">
        <v>69</v>
      </c>
      <c r="B7" s="103">
        <v>1001864</v>
      </c>
      <c r="C7" s="104" t="s">
        <v>567</v>
      </c>
      <c r="D7" s="105" t="s">
        <v>14</v>
      </c>
      <c r="E7" s="105" t="s">
        <v>11</v>
      </c>
      <c r="F7" s="71">
        <v>2</v>
      </c>
    </row>
    <row r="8" spans="1:6" x14ac:dyDescent="0.25">
      <c r="A8" s="102" t="s">
        <v>8</v>
      </c>
      <c r="B8" s="103">
        <v>1001289</v>
      </c>
      <c r="C8" s="104" t="s">
        <v>24</v>
      </c>
      <c r="D8" s="105" t="s">
        <v>14</v>
      </c>
      <c r="E8" s="105" t="s">
        <v>11</v>
      </c>
      <c r="F8" s="71">
        <v>0</v>
      </c>
    </row>
    <row r="9" spans="1:6" x14ac:dyDescent="0.25">
      <c r="A9" s="102" t="s">
        <v>69</v>
      </c>
      <c r="B9" s="103">
        <v>1001302</v>
      </c>
      <c r="C9" s="104" t="s">
        <v>96</v>
      </c>
      <c r="D9" s="105" t="s">
        <v>10</v>
      </c>
      <c r="E9" s="105" t="s">
        <v>11</v>
      </c>
      <c r="F9" s="71">
        <v>0</v>
      </c>
    </row>
    <row r="10" spans="1:6" x14ac:dyDescent="0.25">
      <c r="A10" s="102" t="s">
        <v>69</v>
      </c>
      <c r="B10" s="103">
        <v>1001190</v>
      </c>
      <c r="C10" s="104" t="s">
        <v>97</v>
      </c>
      <c r="D10" s="105" t="s">
        <v>10</v>
      </c>
      <c r="E10" s="105" t="s">
        <v>11</v>
      </c>
      <c r="F10" s="71">
        <v>0</v>
      </c>
    </row>
    <row r="11" spans="1:6" x14ac:dyDescent="0.25">
      <c r="A11" s="102" t="s">
        <v>69</v>
      </c>
      <c r="B11" s="103">
        <v>1000204</v>
      </c>
      <c r="C11" s="104" t="s">
        <v>519</v>
      </c>
      <c r="D11" s="105" t="s">
        <v>10</v>
      </c>
      <c r="E11" s="105" t="s">
        <v>11</v>
      </c>
      <c r="F11" s="71">
        <v>0</v>
      </c>
    </row>
    <row r="12" spans="1:6" x14ac:dyDescent="0.25">
      <c r="A12" s="102" t="s">
        <v>69</v>
      </c>
      <c r="B12" s="103">
        <v>1002341</v>
      </c>
      <c r="C12" s="104" t="s">
        <v>178</v>
      </c>
      <c r="D12" s="105" t="s">
        <v>18</v>
      </c>
      <c r="E12" s="105" t="s">
        <v>57</v>
      </c>
      <c r="F12" s="71">
        <v>20</v>
      </c>
    </row>
    <row r="13" spans="1:6" x14ac:dyDescent="0.25">
      <c r="A13" s="102" t="s">
        <v>69</v>
      </c>
      <c r="B13" s="103">
        <v>1000208</v>
      </c>
      <c r="C13" s="104" t="s">
        <v>103</v>
      </c>
      <c r="D13" s="105" t="s">
        <v>14</v>
      </c>
      <c r="E13" s="105" t="s">
        <v>11</v>
      </c>
      <c r="F13" s="71">
        <v>0</v>
      </c>
    </row>
    <row r="14" spans="1:6" x14ac:dyDescent="0.25">
      <c r="A14" s="102" t="s">
        <v>69</v>
      </c>
      <c r="B14" s="103">
        <v>1001854</v>
      </c>
      <c r="C14" s="104" t="s">
        <v>105</v>
      </c>
      <c r="D14" s="105" t="s">
        <v>10</v>
      </c>
      <c r="E14" s="105" t="s">
        <v>11</v>
      </c>
      <c r="F14" s="71">
        <v>0</v>
      </c>
    </row>
    <row r="15" spans="1:6" x14ac:dyDescent="0.25">
      <c r="A15" s="102" t="s">
        <v>69</v>
      </c>
      <c r="B15" s="103">
        <v>1002148</v>
      </c>
      <c r="C15" s="104" t="s">
        <v>80</v>
      </c>
      <c r="D15" s="105" t="s">
        <v>10</v>
      </c>
      <c r="E15" s="105" t="s">
        <v>11</v>
      </c>
      <c r="F15" s="71">
        <v>2</v>
      </c>
    </row>
    <row r="16" spans="1:6" x14ac:dyDescent="0.25">
      <c r="A16" s="102" t="s">
        <v>69</v>
      </c>
      <c r="B16" s="103">
        <v>1001697</v>
      </c>
      <c r="C16" s="104" t="s">
        <v>3007</v>
      </c>
      <c r="D16" s="105" t="s">
        <v>14</v>
      </c>
      <c r="E16" s="105" t="s">
        <v>47</v>
      </c>
      <c r="F16" s="71">
        <v>4</v>
      </c>
    </row>
    <row r="17" spans="1:6" x14ac:dyDescent="0.25">
      <c r="A17" s="102" t="s">
        <v>69</v>
      </c>
      <c r="B17" s="103">
        <v>1001924</v>
      </c>
      <c r="C17" s="104" t="s">
        <v>283</v>
      </c>
      <c r="D17" s="105" t="s">
        <v>18</v>
      </c>
      <c r="E17" s="105" t="s">
        <v>47</v>
      </c>
      <c r="F17" s="71">
        <v>2</v>
      </c>
    </row>
    <row r="18" spans="1:6" x14ac:dyDescent="0.25">
      <c r="A18" s="102" t="s">
        <v>8</v>
      </c>
      <c r="B18" s="103">
        <v>1001562</v>
      </c>
      <c r="C18" s="104" t="s">
        <v>44</v>
      </c>
      <c r="D18" s="105" t="s">
        <v>18</v>
      </c>
      <c r="E18" s="105" t="s">
        <v>47</v>
      </c>
      <c r="F18" s="71">
        <v>1</v>
      </c>
    </row>
    <row r="19" spans="1:6" x14ac:dyDescent="0.25">
      <c r="A19" s="102" t="s">
        <v>69</v>
      </c>
      <c r="B19" s="103">
        <v>1000367</v>
      </c>
      <c r="C19" s="104" t="s">
        <v>124</v>
      </c>
      <c r="D19" s="105" t="s">
        <v>14</v>
      </c>
      <c r="E19" s="105" t="s">
        <v>11</v>
      </c>
      <c r="F19" s="71">
        <v>1</v>
      </c>
    </row>
    <row r="20" spans="1:6" x14ac:dyDescent="0.25">
      <c r="A20" s="102" t="s">
        <v>69</v>
      </c>
      <c r="B20" s="103">
        <v>1000368</v>
      </c>
      <c r="C20" s="104" t="s">
        <v>186</v>
      </c>
      <c r="D20" s="105" t="s">
        <v>71</v>
      </c>
      <c r="E20" s="105" t="s">
        <v>11</v>
      </c>
      <c r="F20" s="71">
        <v>1</v>
      </c>
    </row>
    <row r="21" spans="1:6" x14ac:dyDescent="0.25">
      <c r="A21" s="102" t="s">
        <v>69</v>
      </c>
      <c r="B21" s="103">
        <v>1001851</v>
      </c>
      <c r="C21" s="104" t="s">
        <v>932</v>
      </c>
      <c r="D21" s="105" t="s">
        <v>10</v>
      </c>
      <c r="E21" s="105" t="s">
        <v>11</v>
      </c>
      <c r="F21" s="71">
        <v>1</v>
      </c>
    </row>
    <row r="22" spans="1:6" x14ac:dyDescent="0.25">
      <c r="A22" s="102" t="s">
        <v>69</v>
      </c>
      <c r="B22" s="103">
        <v>1001855</v>
      </c>
      <c r="C22" s="104" t="s">
        <v>521</v>
      </c>
      <c r="D22" s="105" t="s">
        <v>10</v>
      </c>
      <c r="E22" s="105" t="s">
        <v>11</v>
      </c>
      <c r="F22" s="71">
        <v>1</v>
      </c>
    </row>
    <row r="23" spans="1:6" x14ac:dyDescent="0.25">
      <c r="A23" s="102" t="s">
        <v>69</v>
      </c>
      <c r="B23" s="103">
        <v>1001852</v>
      </c>
      <c r="C23" s="104" t="s">
        <v>185</v>
      </c>
      <c r="D23" s="105" t="s">
        <v>10</v>
      </c>
      <c r="E23" s="105" t="s">
        <v>11</v>
      </c>
      <c r="F23" s="71">
        <v>0</v>
      </c>
    </row>
    <row r="24" spans="1:6" x14ac:dyDescent="0.25">
      <c r="A24" s="102" t="s">
        <v>69</v>
      </c>
      <c r="B24" s="103">
        <v>1001674</v>
      </c>
      <c r="C24" s="104" t="s">
        <v>293</v>
      </c>
      <c r="D24" s="105" t="s">
        <v>294</v>
      </c>
      <c r="E24" s="105" t="s">
        <v>57</v>
      </c>
      <c r="F24" s="71">
        <v>0</v>
      </c>
    </row>
    <row r="25" spans="1:6" x14ac:dyDescent="0.25">
      <c r="A25" s="102" t="s">
        <v>69</v>
      </c>
      <c r="B25" s="103">
        <v>1000648</v>
      </c>
      <c r="C25" s="104" t="s">
        <v>122</v>
      </c>
      <c r="D25" s="105" t="s">
        <v>14</v>
      </c>
      <c r="E25" s="105" t="s">
        <v>11</v>
      </c>
      <c r="F25" s="71">
        <v>0</v>
      </c>
    </row>
    <row r="26" spans="1:6" x14ac:dyDescent="0.25">
      <c r="A26" s="102" t="s">
        <v>69</v>
      </c>
      <c r="B26" s="103">
        <v>1000995</v>
      </c>
      <c r="C26" s="104" t="s">
        <v>123</v>
      </c>
      <c r="D26" s="105" t="s">
        <v>14</v>
      </c>
      <c r="E26" s="105" t="s">
        <v>11</v>
      </c>
      <c r="F26" s="71">
        <v>0</v>
      </c>
    </row>
    <row r="27" spans="1:6" x14ac:dyDescent="0.25">
      <c r="A27" s="102" t="s">
        <v>69</v>
      </c>
      <c r="B27" s="103">
        <v>1001853</v>
      </c>
      <c r="C27" s="104" t="s">
        <v>531</v>
      </c>
      <c r="D27" s="105" t="s">
        <v>10</v>
      </c>
      <c r="E27" s="105" t="s">
        <v>11</v>
      </c>
      <c r="F27" s="71">
        <v>1</v>
      </c>
    </row>
    <row r="28" spans="1:6" x14ac:dyDescent="0.25">
      <c r="A28" s="102" t="s">
        <v>8</v>
      </c>
      <c r="B28" s="103">
        <v>1001719</v>
      </c>
      <c r="C28" s="104" t="s">
        <v>56</v>
      </c>
      <c r="D28" s="105" t="s">
        <v>10</v>
      </c>
      <c r="E28" s="105" t="s">
        <v>11</v>
      </c>
      <c r="F28" s="71">
        <v>0</v>
      </c>
    </row>
    <row r="29" spans="1:6" x14ac:dyDescent="0.25">
      <c r="A29" s="102" t="s">
        <v>8</v>
      </c>
      <c r="B29" s="103">
        <v>1000032</v>
      </c>
      <c r="C29" s="104" t="s">
        <v>9</v>
      </c>
      <c r="D29" s="105" t="s">
        <v>10</v>
      </c>
      <c r="E29" s="105" t="s">
        <v>11</v>
      </c>
      <c r="F29" s="71">
        <v>0</v>
      </c>
    </row>
    <row r="30" spans="1:6" x14ac:dyDescent="0.25">
      <c r="A30" s="102" t="s">
        <v>8</v>
      </c>
      <c r="B30" s="103">
        <v>1001306</v>
      </c>
      <c r="C30" s="104" t="s">
        <v>13</v>
      </c>
      <c r="D30" s="105" t="s">
        <v>14</v>
      </c>
      <c r="E30" s="105" t="s">
        <v>11</v>
      </c>
      <c r="F30" s="71">
        <v>0</v>
      </c>
    </row>
    <row r="31" spans="1:6" x14ac:dyDescent="0.25">
      <c r="A31" s="102" t="s">
        <v>8</v>
      </c>
      <c r="B31" s="103">
        <v>1000036</v>
      </c>
      <c r="C31" s="104" t="s">
        <v>15</v>
      </c>
      <c r="D31" s="105" t="s">
        <v>10</v>
      </c>
      <c r="E31" s="105" t="s">
        <v>47</v>
      </c>
      <c r="F31" s="71">
        <v>0</v>
      </c>
    </row>
    <row r="32" spans="1:6" x14ac:dyDescent="0.25">
      <c r="A32" s="102" t="s">
        <v>8</v>
      </c>
      <c r="B32" s="103">
        <v>1000039</v>
      </c>
      <c r="C32" s="104" t="s">
        <v>16</v>
      </c>
      <c r="D32" s="105" t="s">
        <v>10</v>
      </c>
      <c r="E32" s="105" t="s">
        <v>11</v>
      </c>
      <c r="F32" s="71">
        <v>75</v>
      </c>
    </row>
    <row r="33" spans="1:6" x14ac:dyDescent="0.25">
      <c r="A33" s="102" t="s">
        <v>8</v>
      </c>
      <c r="B33" s="103">
        <v>1001455</v>
      </c>
      <c r="C33" s="104" t="s">
        <v>17</v>
      </c>
      <c r="D33" s="105" t="s">
        <v>18</v>
      </c>
      <c r="E33" s="105" t="s">
        <v>47</v>
      </c>
      <c r="F33" s="71">
        <v>0</v>
      </c>
    </row>
    <row r="34" spans="1:6" x14ac:dyDescent="0.25">
      <c r="A34" s="102" t="s">
        <v>8</v>
      </c>
      <c r="B34" s="103">
        <v>1000048</v>
      </c>
      <c r="C34" s="104" t="s">
        <v>19</v>
      </c>
      <c r="D34" s="105" t="s">
        <v>10</v>
      </c>
      <c r="E34" s="105" t="s">
        <v>11</v>
      </c>
      <c r="F34" s="71">
        <v>0</v>
      </c>
    </row>
    <row r="35" spans="1:6" x14ac:dyDescent="0.25">
      <c r="A35" s="102" t="s">
        <v>8</v>
      </c>
      <c r="B35" s="103">
        <v>1001712</v>
      </c>
      <c r="C35" s="104" t="s">
        <v>49</v>
      </c>
      <c r="D35" s="105" t="s">
        <v>18</v>
      </c>
      <c r="E35" s="105" t="s">
        <v>47</v>
      </c>
      <c r="F35" s="71">
        <v>0</v>
      </c>
    </row>
    <row r="36" spans="1:6" x14ac:dyDescent="0.25">
      <c r="A36" s="102" t="s">
        <v>8</v>
      </c>
      <c r="B36" s="103">
        <v>1001702</v>
      </c>
      <c r="C36" s="104" t="s">
        <v>20</v>
      </c>
      <c r="D36" s="105" t="s">
        <v>18</v>
      </c>
      <c r="E36" s="105" t="s">
        <v>11</v>
      </c>
      <c r="F36" s="71">
        <v>5</v>
      </c>
    </row>
    <row r="37" spans="1:6" x14ac:dyDescent="0.25">
      <c r="A37" s="102" t="s">
        <v>8</v>
      </c>
      <c r="B37" s="103">
        <v>1001701</v>
      </c>
      <c r="C37" s="104" t="s">
        <v>21</v>
      </c>
      <c r="D37" s="105" t="s">
        <v>18</v>
      </c>
      <c r="E37" s="105" t="s">
        <v>47</v>
      </c>
      <c r="F37" s="71">
        <v>0</v>
      </c>
    </row>
    <row r="38" spans="1:6" x14ac:dyDescent="0.25">
      <c r="A38" s="102" t="s">
        <v>8</v>
      </c>
      <c r="B38" s="103">
        <v>1001941</v>
      </c>
      <c r="C38" s="104" t="s">
        <v>58</v>
      </c>
      <c r="D38" s="105" t="s">
        <v>59</v>
      </c>
      <c r="E38" s="105" t="s">
        <v>47</v>
      </c>
      <c r="F38" s="71">
        <v>0</v>
      </c>
    </row>
    <row r="39" spans="1:6" x14ac:dyDescent="0.25">
      <c r="A39" s="102" t="s">
        <v>301</v>
      </c>
      <c r="B39" s="103">
        <v>1001704</v>
      </c>
      <c r="C39" s="104" t="s">
        <v>136</v>
      </c>
      <c r="D39" s="105" t="s">
        <v>18</v>
      </c>
      <c r="E39" s="105" t="s">
        <v>11</v>
      </c>
      <c r="F39" s="71">
        <v>0</v>
      </c>
    </row>
    <row r="40" spans="1:6" x14ac:dyDescent="0.25">
      <c r="A40" s="102" t="s">
        <v>301</v>
      </c>
      <c r="B40" s="103">
        <v>1001703</v>
      </c>
      <c r="C40" s="104" t="s">
        <v>137</v>
      </c>
      <c r="D40" s="105" t="s">
        <v>18</v>
      </c>
      <c r="E40" s="105" t="s">
        <v>57</v>
      </c>
      <c r="F40" s="71">
        <v>0</v>
      </c>
    </row>
    <row r="41" spans="1:6" x14ac:dyDescent="0.25">
      <c r="A41" s="102" t="s">
        <v>301</v>
      </c>
      <c r="B41" s="103">
        <v>1001457</v>
      </c>
      <c r="C41" s="104" t="s">
        <v>641</v>
      </c>
      <c r="D41" s="105"/>
      <c r="E41" s="105" t="s">
        <v>57</v>
      </c>
      <c r="F41" s="71">
        <v>0</v>
      </c>
    </row>
    <row r="42" spans="1:6" x14ac:dyDescent="0.25">
      <c r="A42" s="102" t="s">
        <v>301</v>
      </c>
      <c r="B42" s="103">
        <v>1000107</v>
      </c>
      <c r="C42" s="104" t="s">
        <v>2006</v>
      </c>
      <c r="D42" s="105" t="s">
        <v>10</v>
      </c>
      <c r="E42" s="105" t="s">
        <v>47</v>
      </c>
      <c r="F42" s="71">
        <v>1</v>
      </c>
    </row>
    <row r="43" spans="1:6" x14ac:dyDescent="0.25">
      <c r="A43" s="102" t="s">
        <v>8</v>
      </c>
      <c r="B43" s="103">
        <v>1000162</v>
      </c>
      <c r="C43" s="104" t="s">
        <v>141</v>
      </c>
      <c r="D43" s="105" t="s">
        <v>10</v>
      </c>
      <c r="E43" s="105" t="s">
        <v>57</v>
      </c>
      <c r="F43" s="71">
        <v>2</v>
      </c>
    </row>
    <row r="44" spans="1:6" x14ac:dyDescent="0.25">
      <c r="A44" s="102" t="s">
        <v>8</v>
      </c>
      <c r="B44" s="103">
        <v>1000838</v>
      </c>
      <c r="C44" s="104" t="s">
        <v>411</v>
      </c>
      <c r="D44" s="105" t="s">
        <v>18</v>
      </c>
      <c r="E44" s="105" t="s">
        <v>47</v>
      </c>
      <c r="F44" s="71">
        <v>50</v>
      </c>
    </row>
    <row r="45" spans="1:6" x14ac:dyDescent="0.25">
      <c r="A45" s="102" t="s">
        <v>8</v>
      </c>
      <c r="B45" s="103">
        <v>1001146</v>
      </c>
      <c r="C45" s="104" t="s">
        <v>27</v>
      </c>
      <c r="D45" s="105" t="s">
        <v>10</v>
      </c>
      <c r="E45" s="105" t="s">
        <v>11</v>
      </c>
      <c r="F45" s="71">
        <v>0</v>
      </c>
    </row>
    <row r="46" spans="1:6" x14ac:dyDescent="0.25">
      <c r="A46" s="102" t="s">
        <v>8</v>
      </c>
      <c r="B46" s="103">
        <v>1000183</v>
      </c>
      <c r="C46" s="104" t="s">
        <v>51</v>
      </c>
      <c r="D46" s="105" t="s">
        <v>14</v>
      </c>
      <c r="E46" s="105" t="s">
        <v>57</v>
      </c>
      <c r="F46" s="71">
        <v>0</v>
      </c>
    </row>
    <row r="47" spans="1:6" x14ac:dyDescent="0.25">
      <c r="A47" s="102" t="s">
        <v>8</v>
      </c>
      <c r="B47" s="103">
        <v>1000184</v>
      </c>
      <c r="C47" s="104" t="s">
        <v>28</v>
      </c>
      <c r="D47" s="105" t="s">
        <v>14</v>
      </c>
      <c r="E47" s="105" t="s">
        <v>57</v>
      </c>
      <c r="F47" s="71">
        <v>0</v>
      </c>
    </row>
    <row r="48" spans="1:6" x14ac:dyDescent="0.25">
      <c r="A48" s="102" t="s">
        <v>8</v>
      </c>
      <c r="B48" s="103">
        <v>1000185</v>
      </c>
      <c r="C48" s="104" t="s">
        <v>52</v>
      </c>
      <c r="D48" s="105" t="s">
        <v>14</v>
      </c>
      <c r="E48" s="105" t="s">
        <v>11</v>
      </c>
      <c r="F48" s="71">
        <v>0</v>
      </c>
    </row>
    <row r="49" spans="1:6" x14ac:dyDescent="0.25">
      <c r="A49" s="102" t="s">
        <v>8</v>
      </c>
      <c r="B49" s="103">
        <v>1006116</v>
      </c>
      <c r="C49" s="104" t="s">
        <v>30</v>
      </c>
      <c r="D49" s="105" t="s">
        <v>10</v>
      </c>
      <c r="E49" s="105" t="s">
        <v>11</v>
      </c>
      <c r="F49" s="71">
        <v>0</v>
      </c>
    </row>
    <row r="50" spans="1:6" x14ac:dyDescent="0.25">
      <c r="A50" s="102" t="s">
        <v>8</v>
      </c>
      <c r="B50" s="103">
        <v>1001707</v>
      </c>
      <c r="C50" s="104" t="s">
        <v>31</v>
      </c>
      <c r="D50" s="105" t="s">
        <v>18</v>
      </c>
      <c r="E50" s="105" t="s">
        <v>11</v>
      </c>
      <c r="F50" s="71">
        <v>26</v>
      </c>
    </row>
    <row r="51" spans="1:6" x14ac:dyDescent="0.25">
      <c r="A51" s="102" t="s">
        <v>8</v>
      </c>
      <c r="B51" s="103">
        <v>1000195</v>
      </c>
      <c r="C51" s="104" t="s">
        <v>32</v>
      </c>
      <c r="D51" s="105" t="s">
        <v>10</v>
      </c>
      <c r="E51" s="105" t="s">
        <v>57</v>
      </c>
      <c r="F51" s="71">
        <v>101</v>
      </c>
    </row>
    <row r="52" spans="1:6" x14ac:dyDescent="0.25">
      <c r="A52" s="102" t="s">
        <v>8</v>
      </c>
      <c r="B52" s="103">
        <v>1000196</v>
      </c>
      <c r="C52" s="104" t="s">
        <v>64</v>
      </c>
      <c r="D52" s="105" t="s">
        <v>14</v>
      </c>
      <c r="E52" s="105" t="s">
        <v>57</v>
      </c>
      <c r="F52" s="71">
        <v>0</v>
      </c>
    </row>
    <row r="53" spans="1:6" x14ac:dyDescent="0.25">
      <c r="A53" s="102" t="s">
        <v>8</v>
      </c>
      <c r="B53" s="103">
        <v>1000197</v>
      </c>
      <c r="C53" s="104" t="s">
        <v>53</v>
      </c>
      <c r="D53" s="105" t="s">
        <v>14</v>
      </c>
      <c r="E53" s="105" t="s">
        <v>57</v>
      </c>
      <c r="F53" s="71">
        <v>0</v>
      </c>
    </row>
    <row r="54" spans="1:6" x14ac:dyDescent="0.25">
      <c r="A54" s="102" t="s">
        <v>8</v>
      </c>
      <c r="B54" s="103">
        <v>1000198</v>
      </c>
      <c r="C54" s="104" t="s">
        <v>65</v>
      </c>
      <c r="D54" s="105" t="s">
        <v>14</v>
      </c>
      <c r="E54" s="105" t="s">
        <v>11</v>
      </c>
      <c r="F54" s="71">
        <v>0</v>
      </c>
    </row>
    <row r="55" spans="1:6" x14ac:dyDescent="0.25">
      <c r="A55" s="102" t="s">
        <v>8</v>
      </c>
      <c r="B55" s="103">
        <v>1001741</v>
      </c>
      <c r="C55" s="104" t="s">
        <v>33</v>
      </c>
      <c r="D55" s="105" t="s">
        <v>14</v>
      </c>
      <c r="E55" s="105" t="s">
        <v>11</v>
      </c>
      <c r="F55" s="71">
        <v>0</v>
      </c>
    </row>
    <row r="56" spans="1:6" x14ac:dyDescent="0.25">
      <c r="A56" s="102" t="s">
        <v>301</v>
      </c>
      <c r="B56" s="103">
        <v>1000224</v>
      </c>
      <c r="C56" s="104" t="s">
        <v>146</v>
      </c>
      <c r="D56" s="105" t="s">
        <v>14</v>
      </c>
      <c r="E56" s="105" t="s">
        <v>11</v>
      </c>
      <c r="F56" s="71">
        <v>3</v>
      </c>
    </row>
    <row r="57" spans="1:6" x14ac:dyDescent="0.25">
      <c r="A57" s="102" t="s">
        <v>8</v>
      </c>
      <c r="B57" s="103">
        <v>1001718</v>
      </c>
      <c r="C57" s="104" t="s">
        <v>306</v>
      </c>
      <c r="D57" s="105" t="s">
        <v>18</v>
      </c>
      <c r="E57" s="105" t="s">
        <v>11</v>
      </c>
      <c r="F57" s="71">
        <v>2</v>
      </c>
    </row>
    <row r="58" spans="1:6" x14ac:dyDescent="0.25">
      <c r="A58" s="102" t="s">
        <v>301</v>
      </c>
      <c r="B58" s="103">
        <v>1000481</v>
      </c>
      <c r="C58" s="104" t="s">
        <v>148</v>
      </c>
      <c r="D58" s="105" t="s">
        <v>14</v>
      </c>
      <c r="E58" s="105" t="s">
        <v>47</v>
      </c>
      <c r="F58" s="71">
        <v>6</v>
      </c>
    </row>
    <row r="59" spans="1:6" x14ac:dyDescent="0.25">
      <c r="A59" s="102" t="s">
        <v>301</v>
      </c>
      <c r="B59" s="103">
        <v>1006821</v>
      </c>
      <c r="C59" s="104" t="s">
        <v>2130</v>
      </c>
      <c r="D59" s="105"/>
      <c r="E59" s="105"/>
      <c r="F59" s="71">
        <v>1</v>
      </c>
    </row>
    <row r="60" spans="1:6" x14ac:dyDescent="0.25">
      <c r="A60" s="102" t="s">
        <v>8</v>
      </c>
      <c r="B60" s="103">
        <v>1001488</v>
      </c>
      <c r="C60" s="104" t="s">
        <v>34</v>
      </c>
      <c r="D60" s="105" t="s">
        <v>18</v>
      </c>
      <c r="E60" s="105" t="s">
        <v>11</v>
      </c>
      <c r="F60" s="71">
        <v>0</v>
      </c>
    </row>
    <row r="61" spans="1:6" x14ac:dyDescent="0.25">
      <c r="A61" s="102" t="s">
        <v>301</v>
      </c>
      <c r="B61" s="103">
        <v>1000254</v>
      </c>
      <c r="C61" s="104" t="s">
        <v>151</v>
      </c>
      <c r="D61" s="105" t="s">
        <v>10</v>
      </c>
      <c r="E61" s="105" t="s">
        <v>11</v>
      </c>
      <c r="F61" s="71">
        <v>2</v>
      </c>
    </row>
    <row r="62" spans="1:6" x14ac:dyDescent="0.25">
      <c r="A62" s="102" t="s">
        <v>8</v>
      </c>
      <c r="B62" s="103">
        <v>1000258</v>
      </c>
      <c r="C62" s="104" t="s">
        <v>35</v>
      </c>
      <c r="D62" s="105" t="s">
        <v>10</v>
      </c>
      <c r="E62" s="105" t="s">
        <v>47</v>
      </c>
      <c r="F62" s="71">
        <v>0</v>
      </c>
    </row>
    <row r="63" spans="1:6" x14ac:dyDescent="0.25">
      <c r="A63" s="102" t="s">
        <v>8</v>
      </c>
      <c r="B63" s="103">
        <v>1001264</v>
      </c>
      <c r="C63" s="104" t="s">
        <v>37</v>
      </c>
      <c r="D63" s="105" t="s">
        <v>14</v>
      </c>
      <c r="E63" s="105" t="s">
        <v>11</v>
      </c>
      <c r="F63" s="71">
        <v>0</v>
      </c>
    </row>
    <row r="64" spans="1:6" x14ac:dyDescent="0.25">
      <c r="A64" s="102" t="s">
        <v>8</v>
      </c>
      <c r="B64" s="103">
        <v>1000262</v>
      </c>
      <c r="C64" s="104" t="s">
        <v>66</v>
      </c>
      <c r="D64" s="105" t="s">
        <v>14</v>
      </c>
      <c r="E64" s="105" t="s">
        <v>57</v>
      </c>
      <c r="F64" s="71">
        <v>0</v>
      </c>
    </row>
    <row r="65" spans="1:6" x14ac:dyDescent="0.25">
      <c r="A65" s="102" t="s">
        <v>8</v>
      </c>
      <c r="B65" s="103">
        <v>1000284</v>
      </c>
      <c r="C65" s="104" t="s">
        <v>38</v>
      </c>
      <c r="D65" s="105" t="s">
        <v>14</v>
      </c>
      <c r="E65" s="105" t="s">
        <v>11</v>
      </c>
      <c r="F65" s="71">
        <v>23</v>
      </c>
    </row>
    <row r="66" spans="1:6" x14ac:dyDescent="0.25">
      <c r="A66" s="102" t="s">
        <v>8</v>
      </c>
      <c r="B66" s="103">
        <v>1001940</v>
      </c>
      <c r="C66" s="104" t="s">
        <v>152</v>
      </c>
      <c r="D66" s="105" t="s">
        <v>14</v>
      </c>
      <c r="E66" s="105" t="s">
        <v>57</v>
      </c>
      <c r="F66" s="71">
        <v>0</v>
      </c>
    </row>
    <row r="67" spans="1:6" x14ac:dyDescent="0.25">
      <c r="A67" s="102" t="s">
        <v>8</v>
      </c>
      <c r="B67" s="103">
        <v>1001705</v>
      </c>
      <c r="C67" s="104" t="s">
        <v>40</v>
      </c>
      <c r="D67" s="105" t="s">
        <v>18</v>
      </c>
      <c r="E67" s="105" t="s">
        <v>11</v>
      </c>
      <c r="F67" s="71">
        <v>3</v>
      </c>
    </row>
    <row r="68" spans="1:6" x14ac:dyDescent="0.25">
      <c r="A68" s="102" t="s">
        <v>8</v>
      </c>
      <c r="B68" s="103">
        <v>1001552</v>
      </c>
      <c r="C68" s="104" t="s">
        <v>156</v>
      </c>
      <c r="D68" s="105" t="s">
        <v>157</v>
      </c>
      <c r="E68" s="105" t="s">
        <v>57</v>
      </c>
      <c r="F68" s="71">
        <v>6</v>
      </c>
    </row>
    <row r="69" spans="1:6" x14ac:dyDescent="0.25">
      <c r="A69" s="102" t="s">
        <v>8</v>
      </c>
      <c r="B69" s="103">
        <v>1000319</v>
      </c>
      <c r="C69" s="104" t="s">
        <v>54</v>
      </c>
      <c r="D69" s="105" t="s">
        <v>14</v>
      </c>
      <c r="E69" s="105" t="s">
        <v>11</v>
      </c>
      <c r="F69" s="71">
        <v>56</v>
      </c>
    </row>
    <row r="70" spans="1:6" x14ac:dyDescent="0.25">
      <c r="A70" s="102" t="s">
        <v>8</v>
      </c>
      <c r="B70" s="103">
        <v>1000348</v>
      </c>
      <c r="C70" s="104" t="s">
        <v>43</v>
      </c>
      <c r="D70" s="105" t="s">
        <v>10</v>
      </c>
      <c r="E70" s="105" t="s">
        <v>47</v>
      </c>
      <c r="F70" s="71">
        <v>0</v>
      </c>
    </row>
    <row r="71" spans="1:6" x14ac:dyDescent="0.25">
      <c r="A71" s="102" t="s">
        <v>301</v>
      </c>
      <c r="B71" s="103">
        <v>1000363</v>
      </c>
      <c r="C71" s="104" t="s">
        <v>160</v>
      </c>
      <c r="D71" s="105" t="s">
        <v>10</v>
      </c>
      <c r="E71" s="105" t="s">
        <v>11</v>
      </c>
      <c r="F71" s="71">
        <v>1</v>
      </c>
    </row>
    <row r="72" spans="1:6" x14ac:dyDescent="0.25">
      <c r="A72" s="102" t="s">
        <v>301</v>
      </c>
      <c r="B72" s="103">
        <v>1001736</v>
      </c>
      <c r="C72" s="104" t="s">
        <v>161</v>
      </c>
      <c r="D72" s="105" t="s">
        <v>18</v>
      </c>
      <c r="E72" s="105" t="s">
        <v>11</v>
      </c>
      <c r="F72" s="71">
        <v>1</v>
      </c>
    </row>
    <row r="73" spans="1:6" x14ac:dyDescent="0.25">
      <c r="A73" s="102" t="s">
        <v>8</v>
      </c>
      <c r="B73" s="103">
        <v>1001476</v>
      </c>
      <c r="C73" s="104" t="s">
        <v>45</v>
      </c>
      <c r="D73" s="105" t="s">
        <v>18</v>
      </c>
      <c r="E73" s="105" t="s">
        <v>11</v>
      </c>
      <c r="F73" s="71">
        <v>164</v>
      </c>
    </row>
    <row r="74" spans="1:6" x14ac:dyDescent="0.25">
      <c r="A74" s="102" t="s">
        <v>8</v>
      </c>
      <c r="B74" s="103">
        <v>1000033</v>
      </c>
      <c r="C74" s="104" t="s">
        <v>12</v>
      </c>
      <c r="D74" s="105" t="s">
        <v>10</v>
      </c>
      <c r="E74" s="105" t="s">
        <v>11</v>
      </c>
      <c r="F74" s="71">
        <v>11</v>
      </c>
    </row>
    <row r="75" spans="1:6" x14ac:dyDescent="0.25">
      <c r="A75" s="102" t="s">
        <v>69</v>
      </c>
      <c r="B75" s="103">
        <v>1001973</v>
      </c>
      <c r="C75" s="104" t="s">
        <v>89</v>
      </c>
      <c r="D75" s="105" t="s">
        <v>18</v>
      </c>
      <c r="E75" s="105" t="s">
        <v>11</v>
      </c>
      <c r="F75" s="71">
        <v>16</v>
      </c>
    </row>
    <row r="76" spans="1:6" x14ac:dyDescent="0.25">
      <c r="A76" s="102" t="s">
        <v>69</v>
      </c>
      <c r="B76" s="103">
        <v>1001694</v>
      </c>
      <c r="C76" s="104" t="s">
        <v>177</v>
      </c>
      <c r="D76" s="105" t="s">
        <v>14</v>
      </c>
      <c r="E76" s="105" t="s">
        <v>11</v>
      </c>
      <c r="F76" s="71">
        <v>0</v>
      </c>
    </row>
    <row r="77" spans="1:6" x14ac:dyDescent="0.25">
      <c r="A77" s="102" t="s">
        <v>69</v>
      </c>
      <c r="B77" s="103">
        <v>1000146</v>
      </c>
      <c r="C77" s="104" t="s">
        <v>99</v>
      </c>
      <c r="D77" s="105" t="s">
        <v>10</v>
      </c>
      <c r="E77" s="105" t="s">
        <v>11</v>
      </c>
      <c r="F77" s="71">
        <v>0</v>
      </c>
    </row>
    <row r="78" spans="1:6" x14ac:dyDescent="0.25">
      <c r="A78" s="102" t="s">
        <v>69</v>
      </c>
      <c r="B78" s="103">
        <v>1001923</v>
      </c>
      <c r="C78" s="104" t="s">
        <v>107</v>
      </c>
      <c r="D78" s="105" t="s">
        <v>18</v>
      </c>
      <c r="E78" s="105" t="s">
        <v>11</v>
      </c>
      <c r="F78" s="71">
        <v>0</v>
      </c>
    </row>
    <row r="79" spans="1:6" x14ac:dyDescent="0.25">
      <c r="A79" s="106" t="s">
        <v>69</v>
      </c>
      <c r="B79" s="107">
        <v>1000305</v>
      </c>
      <c r="C79" s="108" t="s">
        <v>111</v>
      </c>
      <c r="D79" s="109" t="s">
        <v>10</v>
      </c>
      <c r="E79" s="109" t="s">
        <v>11</v>
      </c>
      <c r="F79" s="110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BBD8-E8A3-4A64-82D5-5B54350D7622}">
  <dimension ref="A1:F74"/>
  <sheetViews>
    <sheetView workbookViewId="0">
      <pane ySplit="4" topLeftCell="A5" activePane="bottomLeft" state="frozen"/>
      <selection pane="bottomLeft" activeCell="D75" sqref="D75"/>
    </sheetView>
  </sheetViews>
  <sheetFormatPr defaultRowHeight="15" x14ac:dyDescent="0.25"/>
  <cols>
    <col min="1" max="1" width="15.85546875" customWidth="1"/>
    <col min="2" max="2" width="10.28515625" bestFit="1" customWidth="1"/>
    <col min="3" max="3" width="47.5703125" bestFit="1" customWidth="1"/>
    <col min="4" max="4" width="11.42578125" bestFit="1" customWidth="1"/>
    <col min="5" max="5" width="15.85546875" bestFit="1" customWidth="1"/>
    <col min="6" max="6" width="13.7109375" bestFit="1" customWidth="1"/>
  </cols>
  <sheetData>
    <row r="1" spans="1:6" ht="18.75" x14ac:dyDescent="0.3">
      <c r="A1" s="37" t="s">
        <v>3814</v>
      </c>
    </row>
    <row r="2" spans="1:6" x14ac:dyDescent="0.25">
      <c r="A2" s="38" t="s">
        <v>3815</v>
      </c>
    </row>
    <row r="4" spans="1:6" x14ac:dyDescent="0.25">
      <c r="A4" s="99" t="s">
        <v>2</v>
      </c>
      <c r="B4" s="100" t="s">
        <v>3</v>
      </c>
      <c r="C4" s="100" t="s">
        <v>4</v>
      </c>
      <c r="D4" s="100" t="s">
        <v>5</v>
      </c>
      <c r="E4" s="100" t="s">
        <v>128</v>
      </c>
      <c r="F4" s="101" t="s">
        <v>7</v>
      </c>
    </row>
    <row r="5" spans="1:6" x14ac:dyDescent="0.25">
      <c r="A5" s="102" t="s">
        <v>301</v>
      </c>
      <c r="B5" s="103">
        <v>1001663</v>
      </c>
      <c r="C5" s="104" t="s">
        <v>129</v>
      </c>
      <c r="D5" s="105" t="s">
        <v>18</v>
      </c>
      <c r="E5" s="105" t="s">
        <v>47</v>
      </c>
      <c r="F5" s="71">
        <v>1</v>
      </c>
    </row>
    <row r="6" spans="1:6" x14ac:dyDescent="0.25">
      <c r="A6" s="102" t="s">
        <v>301</v>
      </c>
      <c r="B6" s="103">
        <v>1000031</v>
      </c>
      <c r="C6" s="104" t="s">
        <v>1788</v>
      </c>
      <c r="D6" s="105" t="s">
        <v>3449</v>
      </c>
      <c r="E6" s="105" t="s">
        <v>11</v>
      </c>
      <c r="F6" s="71">
        <v>0</v>
      </c>
    </row>
    <row r="7" spans="1:6" x14ac:dyDescent="0.25">
      <c r="A7" s="102" t="s">
        <v>8</v>
      </c>
      <c r="B7" s="103">
        <v>1001719</v>
      </c>
      <c r="C7" s="104" t="s">
        <v>56</v>
      </c>
      <c r="D7" s="105" t="s">
        <v>10</v>
      </c>
      <c r="E7" s="105" t="s">
        <v>11</v>
      </c>
      <c r="F7" s="71">
        <v>3</v>
      </c>
    </row>
    <row r="8" spans="1:6" x14ac:dyDescent="0.25">
      <c r="A8" s="102" t="s">
        <v>8</v>
      </c>
      <c r="B8" s="103">
        <v>1000032</v>
      </c>
      <c r="C8" s="104" t="s">
        <v>9</v>
      </c>
      <c r="D8" s="105" t="s">
        <v>10</v>
      </c>
      <c r="E8" s="105" t="s">
        <v>11</v>
      </c>
      <c r="F8" s="71">
        <v>0</v>
      </c>
    </row>
    <row r="9" spans="1:6" x14ac:dyDescent="0.25">
      <c r="A9" s="102" t="s">
        <v>8</v>
      </c>
      <c r="B9" s="103">
        <v>1000033</v>
      </c>
      <c r="C9" s="104" t="s">
        <v>12</v>
      </c>
      <c r="D9" s="105" t="s">
        <v>10</v>
      </c>
      <c r="E9" s="105" t="s">
        <v>11</v>
      </c>
      <c r="F9" s="71">
        <v>11</v>
      </c>
    </row>
    <row r="10" spans="1:6" x14ac:dyDescent="0.25">
      <c r="A10" s="102" t="s">
        <v>8</v>
      </c>
      <c r="B10" s="103">
        <v>1001306</v>
      </c>
      <c r="C10" s="104" t="s">
        <v>13</v>
      </c>
      <c r="D10" s="105" t="s">
        <v>14</v>
      </c>
      <c r="E10" s="105" t="s">
        <v>11</v>
      </c>
      <c r="F10" s="71">
        <v>0</v>
      </c>
    </row>
    <row r="11" spans="1:6" x14ac:dyDescent="0.25">
      <c r="A11" s="102" t="s">
        <v>8</v>
      </c>
      <c r="B11" s="103">
        <v>1000036</v>
      </c>
      <c r="C11" s="104" t="s">
        <v>15</v>
      </c>
      <c r="D11" s="105" t="s">
        <v>10</v>
      </c>
      <c r="E11" s="105" t="s">
        <v>47</v>
      </c>
      <c r="F11" s="71">
        <v>50</v>
      </c>
    </row>
    <row r="12" spans="1:6" x14ac:dyDescent="0.25">
      <c r="A12" s="102" t="s">
        <v>8</v>
      </c>
      <c r="B12" s="103">
        <v>1000037</v>
      </c>
      <c r="C12" s="104" t="s">
        <v>46</v>
      </c>
      <c r="D12" s="105" t="s">
        <v>10</v>
      </c>
      <c r="E12" s="105" t="s">
        <v>11</v>
      </c>
      <c r="F12" s="71">
        <v>0</v>
      </c>
    </row>
    <row r="13" spans="1:6" x14ac:dyDescent="0.25">
      <c r="A13" s="102" t="s">
        <v>8</v>
      </c>
      <c r="B13" s="103">
        <v>1000039</v>
      </c>
      <c r="C13" s="104" t="s">
        <v>16</v>
      </c>
      <c r="D13" s="105" t="s">
        <v>10</v>
      </c>
      <c r="E13" s="105" t="s">
        <v>11</v>
      </c>
      <c r="F13" s="71">
        <v>0</v>
      </c>
    </row>
    <row r="14" spans="1:6" x14ac:dyDescent="0.25">
      <c r="A14" s="102" t="s">
        <v>8</v>
      </c>
      <c r="B14" s="103">
        <v>1001455</v>
      </c>
      <c r="C14" s="104" t="s">
        <v>17</v>
      </c>
      <c r="D14" s="105" t="s">
        <v>18</v>
      </c>
      <c r="E14" s="105" t="s">
        <v>47</v>
      </c>
      <c r="F14" s="71">
        <v>103</v>
      </c>
    </row>
    <row r="15" spans="1:6" x14ac:dyDescent="0.25">
      <c r="A15" s="102" t="s">
        <v>8</v>
      </c>
      <c r="B15" s="103">
        <v>1000048</v>
      </c>
      <c r="C15" s="104" t="s">
        <v>19</v>
      </c>
      <c r="D15" s="105" t="s">
        <v>10</v>
      </c>
      <c r="E15" s="105" t="s">
        <v>11</v>
      </c>
      <c r="F15" s="71">
        <v>198</v>
      </c>
    </row>
    <row r="16" spans="1:6" x14ac:dyDescent="0.25">
      <c r="A16" s="102" t="s">
        <v>8</v>
      </c>
      <c r="B16" s="103">
        <v>1000049</v>
      </c>
      <c r="C16" s="104" t="s">
        <v>48</v>
      </c>
      <c r="D16" s="105" t="s">
        <v>10</v>
      </c>
      <c r="E16" s="105" t="s">
        <v>11</v>
      </c>
      <c r="F16" s="71">
        <v>0</v>
      </c>
    </row>
    <row r="17" spans="1:6" x14ac:dyDescent="0.25">
      <c r="A17" s="102" t="s">
        <v>69</v>
      </c>
      <c r="B17" s="103">
        <v>1000052</v>
      </c>
      <c r="C17" s="104" t="s">
        <v>169</v>
      </c>
      <c r="D17" s="105" t="s">
        <v>14</v>
      </c>
      <c r="E17" s="105" t="s">
        <v>47</v>
      </c>
      <c r="F17" s="71">
        <v>0</v>
      </c>
    </row>
    <row r="18" spans="1:6" x14ac:dyDescent="0.25">
      <c r="A18" s="102" t="s">
        <v>301</v>
      </c>
      <c r="B18" s="103">
        <v>1000060</v>
      </c>
      <c r="C18" s="104" t="s">
        <v>130</v>
      </c>
      <c r="D18" s="105" t="s">
        <v>10</v>
      </c>
      <c r="E18" s="105" t="s">
        <v>57</v>
      </c>
      <c r="F18" s="71">
        <v>2</v>
      </c>
    </row>
    <row r="19" spans="1:6" x14ac:dyDescent="0.25">
      <c r="A19" s="102" t="s">
        <v>301</v>
      </c>
      <c r="B19" s="103">
        <v>1000065</v>
      </c>
      <c r="C19" s="104" t="s">
        <v>131</v>
      </c>
      <c r="D19" s="105" t="s">
        <v>10</v>
      </c>
      <c r="E19" s="105" t="s">
        <v>11</v>
      </c>
      <c r="F19" s="71">
        <v>5</v>
      </c>
    </row>
    <row r="20" spans="1:6" x14ac:dyDescent="0.25">
      <c r="A20" s="102" t="s">
        <v>301</v>
      </c>
      <c r="B20" s="103">
        <v>1001307</v>
      </c>
      <c r="C20" s="104" t="s">
        <v>389</v>
      </c>
      <c r="D20" s="105" t="s">
        <v>14</v>
      </c>
      <c r="E20" s="105" t="s">
        <v>11</v>
      </c>
      <c r="F20" s="71">
        <v>3</v>
      </c>
    </row>
    <row r="21" spans="1:6" x14ac:dyDescent="0.25">
      <c r="A21" s="102" t="s">
        <v>8</v>
      </c>
      <c r="B21" s="103">
        <v>1001712</v>
      </c>
      <c r="C21" s="104" t="s">
        <v>49</v>
      </c>
      <c r="D21" s="105" t="s">
        <v>18</v>
      </c>
      <c r="E21" s="105" t="s">
        <v>47</v>
      </c>
      <c r="F21" s="71">
        <v>5</v>
      </c>
    </row>
    <row r="22" spans="1:6" x14ac:dyDescent="0.25">
      <c r="A22" s="102" t="s">
        <v>8</v>
      </c>
      <c r="B22" s="103">
        <v>1001702</v>
      </c>
      <c r="C22" s="104" t="s">
        <v>20</v>
      </c>
      <c r="D22" s="105" t="s">
        <v>18</v>
      </c>
      <c r="E22" s="105" t="s">
        <v>11</v>
      </c>
      <c r="F22" s="71">
        <v>0</v>
      </c>
    </row>
    <row r="23" spans="1:6" x14ac:dyDescent="0.25">
      <c r="A23" s="102" t="s">
        <v>8</v>
      </c>
      <c r="B23" s="103">
        <v>1001701</v>
      </c>
      <c r="C23" s="104" t="s">
        <v>21</v>
      </c>
      <c r="D23" s="105" t="s">
        <v>18</v>
      </c>
      <c r="E23" s="105" t="s">
        <v>47</v>
      </c>
      <c r="F23" s="71">
        <v>0</v>
      </c>
    </row>
    <row r="24" spans="1:6" x14ac:dyDescent="0.25">
      <c r="A24" s="102" t="s">
        <v>8</v>
      </c>
      <c r="B24" s="103">
        <v>1001680</v>
      </c>
      <c r="C24" s="104" t="s">
        <v>22</v>
      </c>
      <c r="D24" s="105" t="s">
        <v>10</v>
      </c>
      <c r="E24" s="105" t="s">
        <v>11</v>
      </c>
      <c r="F24" s="71">
        <v>0</v>
      </c>
    </row>
    <row r="25" spans="1:6" x14ac:dyDescent="0.25">
      <c r="A25" s="102" t="s">
        <v>8</v>
      </c>
      <c r="B25" s="103">
        <v>1001941</v>
      </c>
      <c r="C25" s="104" t="s">
        <v>58</v>
      </c>
      <c r="D25" s="105" t="s">
        <v>59</v>
      </c>
      <c r="E25" s="105" t="s">
        <v>47</v>
      </c>
      <c r="F25" s="71">
        <v>0</v>
      </c>
    </row>
    <row r="26" spans="1:6" x14ac:dyDescent="0.25">
      <c r="A26" s="102" t="s">
        <v>301</v>
      </c>
      <c r="B26" s="103">
        <v>1001704</v>
      </c>
      <c r="C26" s="104" t="s">
        <v>136</v>
      </c>
      <c r="D26" s="105" t="s">
        <v>18</v>
      </c>
      <c r="E26" s="105" t="s">
        <v>11</v>
      </c>
      <c r="F26" s="71">
        <v>0</v>
      </c>
    </row>
    <row r="27" spans="1:6" x14ac:dyDescent="0.25">
      <c r="A27" s="102" t="s">
        <v>301</v>
      </c>
      <c r="B27" s="103">
        <v>1001703</v>
      </c>
      <c r="C27" s="104" t="s">
        <v>137</v>
      </c>
      <c r="D27" s="105" t="s">
        <v>18</v>
      </c>
      <c r="E27" s="105" t="s">
        <v>57</v>
      </c>
      <c r="F27" s="71">
        <v>0</v>
      </c>
    </row>
    <row r="28" spans="1:6" x14ac:dyDescent="0.25">
      <c r="A28" s="102" t="s">
        <v>301</v>
      </c>
      <c r="B28" s="103">
        <v>1001457</v>
      </c>
      <c r="C28" s="104" t="s">
        <v>641</v>
      </c>
      <c r="D28" s="105"/>
      <c r="E28" s="105" t="s">
        <v>57</v>
      </c>
      <c r="F28" s="71">
        <v>0</v>
      </c>
    </row>
    <row r="29" spans="1:6" x14ac:dyDescent="0.25">
      <c r="A29" s="102" t="s">
        <v>8</v>
      </c>
      <c r="B29" s="103">
        <v>1006819</v>
      </c>
      <c r="C29" s="104" t="s">
        <v>138</v>
      </c>
      <c r="D29" s="105" t="s">
        <v>18</v>
      </c>
      <c r="E29" s="105" t="s">
        <v>47</v>
      </c>
      <c r="F29" s="71">
        <v>1</v>
      </c>
    </row>
    <row r="30" spans="1:6" x14ac:dyDescent="0.25">
      <c r="A30" s="102" t="s">
        <v>8</v>
      </c>
      <c r="B30" s="103">
        <v>1008890</v>
      </c>
      <c r="C30" s="104" t="s">
        <v>23</v>
      </c>
      <c r="D30" s="105" t="s">
        <v>18</v>
      </c>
      <c r="E30" s="105" t="s">
        <v>57</v>
      </c>
      <c r="F30" s="71">
        <v>0</v>
      </c>
    </row>
    <row r="31" spans="1:6" x14ac:dyDescent="0.25">
      <c r="A31" s="102" t="s">
        <v>8</v>
      </c>
      <c r="B31" s="103">
        <v>1001667</v>
      </c>
      <c r="C31" s="104" t="s">
        <v>26</v>
      </c>
      <c r="D31" s="105" t="s">
        <v>18</v>
      </c>
      <c r="E31" s="105" t="s">
        <v>47</v>
      </c>
      <c r="F31" s="71">
        <v>116</v>
      </c>
    </row>
    <row r="32" spans="1:6" x14ac:dyDescent="0.25">
      <c r="A32" s="102" t="s">
        <v>8</v>
      </c>
      <c r="B32" s="103">
        <v>1001122</v>
      </c>
      <c r="C32" s="104" t="s">
        <v>25</v>
      </c>
      <c r="D32" s="105" t="s">
        <v>10</v>
      </c>
      <c r="E32" s="105" t="s">
        <v>11</v>
      </c>
      <c r="F32" s="71">
        <v>9</v>
      </c>
    </row>
    <row r="33" spans="1:6" x14ac:dyDescent="0.25">
      <c r="A33" s="102" t="s">
        <v>8</v>
      </c>
      <c r="B33" s="103">
        <v>1000162</v>
      </c>
      <c r="C33" s="104" t="s">
        <v>141</v>
      </c>
      <c r="D33" s="105" t="s">
        <v>10</v>
      </c>
      <c r="E33" s="105" t="s">
        <v>57</v>
      </c>
      <c r="F33" s="71">
        <v>0</v>
      </c>
    </row>
    <row r="34" spans="1:6" x14ac:dyDescent="0.25">
      <c r="A34" s="102" t="s">
        <v>8</v>
      </c>
      <c r="B34" s="103">
        <v>1001146</v>
      </c>
      <c r="C34" s="104" t="s">
        <v>27</v>
      </c>
      <c r="D34" s="105" t="s">
        <v>10</v>
      </c>
      <c r="E34" s="105" t="s">
        <v>11</v>
      </c>
      <c r="F34" s="71">
        <v>59</v>
      </c>
    </row>
    <row r="35" spans="1:6" x14ac:dyDescent="0.25">
      <c r="A35" s="102" t="s">
        <v>8</v>
      </c>
      <c r="B35" s="103">
        <v>1000183</v>
      </c>
      <c r="C35" s="104" t="s">
        <v>51</v>
      </c>
      <c r="D35" s="105" t="s">
        <v>14</v>
      </c>
      <c r="E35" s="105" t="s">
        <v>57</v>
      </c>
      <c r="F35" s="71">
        <v>64</v>
      </c>
    </row>
    <row r="36" spans="1:6" x14ac:dyDescent="0.25">
      <c r="A36" s="102" t="s">
        <v>8</v>
      </c>
      <c r="B36" s="103">
        <v>1000184</v>
      </c>
      <c r="C36" s="104" t="s">
        <v>28</v>
      </c>
      <c r="D36" s="105" t="s">
        <v>14</v>
      </c>
      <c r="E36" s="105" t="s">
        <v>57</v>
      </c>
      <c r="F36" s="71">
        <v>0</v>
      </c>
    </row>
    <row r="37" spans="1:6" x14ac:dyDescent="0.25">
      <c r="A37" s="102" t="s">
        <v>8</v>
      </c>
      <c r="B37" s="103">
        <v>1000185</v>
      </c>
      <c r="C37" s="104" t="s">
        <v>52</v>
      </c>
      <c r="D37" s="105" t="s">
        <v>14</v>
      </c>
      <c r="E37" s="105" t="s">
        <v>11</v>
      </c>
      <c r="F37" s="71">
        <v>0</v>
      </c>
    </row>
    <row r="38" spans="1:6" x14ac:dyDescent="0.25">
      <c r="A38" s="102" t="s">
        <v>8</v>
      </c>
      <c r="B38" s="103">
        <v>1006116</v>
      </c>
      <c r="C38" s="104" t="s">
        <v>30</v>
      </c>
      <c r="D38" s="105" t="s">
        <v>10</v>
      </c>
      <c r="E38" s="105" t="s">
        <v>11</v>
      </c>
      <c r="F38" s="71">
        <v>0</v>
      </c>
    </row>
    <row r="39" spans="1:6" x14ac:dyDescent="0.25">
      <c r="A39" s="102" t="s">
        <v>8</v>
      </c>
      <c r="B39" s="103">
        <v>1001707</v>
      </c>
      <c r="C39" s="104" t="s">
        <v>31</v>
      </c>
      <c r="D39" s="105" t="s">
        <v>18</v>
      </c>
      <c r="E39" s="105" t="s">
        <v>11</v>
      </c>
      <c r="F39" s="71">
        <v>0</v>
      </c>
    </row>
    <row r="40" spans="1:6" x14ac:dyDescent="0.25">
      <c r="A40" s="102" t="s">
        <v>8</v>
      </c>
      <c r="B40" s="103">
        <v>1000195</v>
      </c>
      <c r="C40" s="104" t="s">
        <v>32</v>
      </c>
      <c r="D40" s="105" t="s">
        <v>10</v>
      </c>
      <c r="E40" s="105" t="s">
        <v>57</v>
      </c>
      <c r="F40" s="71">
        <v>0</v>
      </c>
    </row>
    <row r="41" spans="1:6" x14ac:dyDescent="0.25">
      <c r="A41" s="102" t="s">
        <v>8</v>
      </c>
      <c r="B41" s="103">
        <v>1000196</v>
      </c>
      <c r="C41" s="104" t="s">
        <v>64</v>
      </c>
      <c r="D41" s="105" t="s">
        <v>14</v>
      </c>
      <c r="E41" s="105" t="s">
        <v>57</v>
      </c>
      <c r="F41" s="71">
        <v>0</v>
      </c>
    </row>
    <row r="42" spans="1:6" x14ac:dyDescent="0.25">
      <c r="A42" s="102" t="s">
        <v>8</v>
      </c>
      <c r="B42" s="103">
        <v>1000197</v>
      </c>
      <c r="C42" s="104" t="s">
        <v>53</v>
      </c>
      <c r="D42" s="105" t="s">
        <v>14</v>
      </c>
      <c r="E42" s="105" t="s">
        <v>57</v>
      </c>
      <c r="F42" s="71">
        <v>0</v>
      </c>
    </row>
    <row r="43" spans="1:6" x14ac:dyDescent="0.25">
      <c r="A43" s="102" t="s">
        <v>8</v>
      </c>
      <c r="B43" s="103">
        <v>1000198</v>
      </c>
      <c r="C43" s="104" t="s">
        <v>65</v>
      </c>
      <c r="D43" s="105" t="s">
        <v>14</v>
      </c>
      <c r="E43" s="105" t="s">
        <v>11</v>
      </c>
      <c r="F43" s="71">
        <v>0</v>
      </c>
    </row>
    <row r="44" spans="1:6" x14ac:dyDescent="0.25">
      <c r="A44" s="102" t="s">
        <v>8</v>
      </c>
      <c r="B44" s="103">
        <v>1001741</v>
      </c>
      <c r="C44" s="104" t="s">
        <v>33</v>
      </c>
      <c r="D44" s="105" t="s">
        <v>14</v>
      </c>
      <c r="E44" s="105" t="s">
        <v>11</v>
      </c>
      <c r="F44" s="71">
        <v>0</v>
      </c>
    </row>
    <row r="45" spans="1:6" x14ac:dyDescent="0.25">
      <c r="A45" s="102" t="s">
        <v>301</v>
      </c>
      <c r="B45" s="103">
        <v>1000224</v>
      </c>
      <c r="C45" s="104" t="s">
        <v>146</v>
      </c>
      <c r="D45" s="105" t="s">
        <v>14</v>
      </c>
      <c r="E45" s="105" t="s">
        <v>11</v>
      </c>
      <c r="F45" s="71">
        <v>1</v>
      </c>
    </row>
    <row r="46" spans="1:6" x14ac:dyDescent="0.25">
      <c r="A46" s="102" t="s">
        <v>8</v>
      </c>
      <c r="B46" s="103">
        <v>1001718</v>
      </c>
      <c r="C46" s="104" t="s">
        <v>306</v>
      </c>
      <c r="D46" s="105" t="s">
        <v>18</v>
      </c>
      <c r="E46" s="105" t="s">
        <v>11</v>
      </c>
      <c r="F46" s="71">
        <v>1</v>
      </c>
    </row>
    <row r="47" spans="1:6" x14ac:dyDescent="0.25">
      <c r="A47" s="102" t="s">
        <v>301</v>
      </c>
      <c r="B47" s="103">
        <v>1000481</v>
      </c>
      <c r="C47" s="104" t="s">
        <v>148</v>
      </c>
      <c r="D47" s="105" t="s">
        <v>14</v>
      </c>
      <c r="E47" s="105" t="s">
        <v>47</v>
      </c>
      <c r="F47" s="71">
        <v>9</v>
      </c>
    </row>
    <row r="48" spans="1:6" x14ac:dyDescent="0.25">
      <c r="A48" s="102" t="s">
        <v>301</v>
      </c>
      <c r="B48" s="103">
        <v>1001299</v>
      </c>
      <c r="C48" s="104" t="s">
        <v>149</v>
      </c>
      <c r="D48" s="105" t="s">
        <v>14</v>
      </c>
      <c r="E48" s="105" t="s">
        <v>11</v>
      </c>
      <c r="F48" s="71">
        <v>4</v>
      </c>
    </row>
    <row r="49" spans="1:6" x14ac:dyDescent="0.25">
      <c r="A49" s="102" t="s">
        <v>8</v>
      </c>
      <c r="B49" s="103">
        <v>1001488</v>
      </c>
      <c r="C49" s="104" t="s">
        <v>34</v>
      </c>
      <c r="D49" s="105" t="s">
        <v>18</v>
      </c>
      <c r="E49" s="105" t="s">
        <v>11</v>
      </c>
      <c r="F49" s="71">
        <v>0</v>
      </c>
    </row>
    <row r="50" spans="1:6" x14ac:dyDescent="0.25">
      <c r="A50" s="102" t="s">
        <v>301</v>
      </c>
      <c r="B50" s="103">
        <v>1000254</v>
      </c>
      <c r="C50" s="104" t="s">
        <v>151</v>
      </c>
      <c r="D50" s="105" t="s">
        <v>10</v>
      </c>
      <c r="E50" s="105" t="s">
        <v>11</v>
      </c>
      <c r="F50" s="71">
        <v>5</v>
      </c>
    </row>
    <row r="51" spans="1:6" x14ac:dyDescent="0.25">
      <c r="A51" s="102" t="s">
        <v>8</v>
      </c>
      <c r="B51" s="103">
        <v>1000256</v>
      </c>
      <c r="C51" s="104" t="s">
        <v>36</v>
      </c>
      <c r="D51" s="105" t="s">
        <v>14</v>
      </c>
      <c r="E51" s="105" t="s">
        <v>47</v>
      </c>
      <c r="F51" s="71">
        <v>0</v>
      </c>
    </row>
    <row r="52" spans="1:6" x14ac:dyDescent="0.25">
      <c r="A52" s="102" t="s">
        <v>8</v>
      </c>
      <c r="B52" s="103">
        <v>1000258</v>
      </c>
      <c r="C52" s="104" t="s">
        <v>35</v>
      </c>
      <c r="D52" s="105" t="s">
        <v>10</v>
      </c>
      <c r="E52" s="105" t="s">
        <v>47</v>
      </c>
      <c r="F52" s="71">
        <v>0</v>
      </c>
    </row>
    <row r="53" spans="1:6" x14ac:dyDescent="0.25">
      <c r="A53" s="102" t="s">
        <v>8</v>
      </c>
      <c r="B53" s="103">
        <v>1001264</v>
      </c>
      <c r="C53" s="104" t="s">
        <v>37</v>
      </c>
      <c r="D53" s="105" t="s">
        <v>14</v>
      </c>
      <c r="E53" s="105" t="s">
        <v>11</v>
      </c>
      <c r="F53" s="71">
        <v>0</v>
      </c>
    </row>
    <row r="54" spans="1:6" x14ac:dyDescent="0.25">
      <c r="A54" s="102" t="s">
        <v>8</v>
      </c>
      <c r="B54" s="103">
        <v>1000262</v>
      </c>
      <c r="C54" s="104" t="s">
        <v>66</v>
      </c>
      <c r="D54" s="105" t="s">
        <v>14</v>
      </c>
      <c r="E54" s="105" t="s">
        <v>57</v>
      </c>
      <c r="F54" s="71">
        <v>0</v>
      </c>
    </row>
    <row r="55" spans="1:6" x14ac:dyDescent="0.25">
      <c r="A55" s="102" t="s">
        <v>8</v>
      </c>
      <c r="B55" s="103">
        <v>1001940</v>
      </c>
      <c r="C55" s="104" t="s">
        <v>152</v>
      </c>
      <c r="D55" s="105" t="s">
        <v>14</v>
      </c>
      <c r="E55" s="105" t="s">
        <v>57</v>
      </c>
      <c r="F55" s="71">
        <v>0</v>
      </c>
    </row>
    <row r="56" spans="1:6" x14ac:dyDescent="0.25">
      <c r="A56" s="102" t="s">
        <v>301</v>
      </c>
      <c r="B56" s="103">
        <v>1001241</v>
      </c>
      <c r="C56" s="104" t="s">
        <v>205</v>
      </c>
      <c r="D56" s="105" t="s">
        <v>14</v>
      </c>
      <c r="E56" s="105" t="s">
        <v>57</v>
      </c>
      <c r="F56" s="71">
        <v>1</v>
      </c>
    </row>
    <row r="57" spans="1:6" x14ac:dyDescent="0.25">
      <c r="A57" s="102" t="s">
        <v>8</v>
      </c>
      <c r="B57" s="103">
        <v>1001705</v>
      </c>
      <c r="C57" s="104" t="s">
        <v>40</v>
      </c>
      <c r="D57" s="105" t="s">
        <v>18</v>
      </c>
      <c r="E57" s="105" t="s">
        <v>11</v>
      </c>
      <c r="F57" s="71">
        <v>0</v>
      </c>
    </row>
    <row r="58" spans="1:6" x14ac:dyDescent="0.25">
      <c r="A58" s="102" t="s">
        <v>301</v>
      </c>
      <c r="B58" s="103">
        <v>1000636</v>
      </c>
      <c r="C58" s="104" t="s">
        <v>154</v>
      </c>
      <c r="D58" s="105" t="s">
        <v>14</v>
      </c>
      <c r="E58" s="105" t="s">
        <v>57</v>
      </c>
      <c r="F58" s="71">
        <v>0</v>
      </c>
    </row>
    <row r="59" spans="1:6" x14ac:dyDescent="0.25">
      <c r="A59" s="102" t="s">
        <v>8</v>
      </c>
      <c r="B59" s="103">
        <v>1001552</v>
      </c>
      <c r="C59" s="104" t="s">
        <v>156</v>
      </c>
      <c r="D59" s="105" t="s">
        <v>157</v>
      </c>
      <c r="E59" s="105" t="s">
        <v>57</v>
      </c>
      <c r="F59" s="71">
        <v>1</v>
      </c>
    </row>
    <row r="60" spans="1:6" x14ac:dyDescent="0.25">
      <c r="A60" s="102" t="s">
        <v>8</v>
      </c>
      <c r="B60" s="103">
        <v>1000319</v>
      </c>
      <c r="C60" s="104" t="s">
        <v>54</v>
      </c>
      <c r="D60" s="105" t="s">
        <v>14</v>
      </c>
      <c r="E60" s="105" t="s">
        <v>11</v>
      </c>
      <c r="F60" s="71">
        <v>0</v>
      </c>
    </row>
    <row r="61" spans="1:6" x14ac:dyDescent="0.25">
      <c r="A61" s="102" t="s">
        <v>8</v>
      </c>
      <c r="B61" s="103">
        <v>1001660</v>
      </c>
      <c r="C61" s="104" t="s">
        <v>41</v>
      </c>
      <c r="D61" s="105" t="s">
        <v>10</v>
      </c>
      <c r="E61" s="105" t="s">
        <v>11</v>
      </c>
      <c r="F61" s="71">
        <v>0</v>
      </c>
    </row>
    <row r="62" spans="1:6" x14ac:dyDescent="0.25">
      <c r="A62" s="102" t="s">
        <v>8</v>
      </c>
      <c r="B62" s="103">
        <v>1002153</v>
      </c>
      <c r="C62" s="104" t="s">
        <v>42</v>
      </c>
      <c r="D62" s="105" t="s">
        <v>18</v>
      </c>
      <c r="E62" s="105" t="s">
        <v>57</v>
      </c>
      <c r="F62" s="71">
        <v>0</v>
      </c>
    </row>
    <row r="63" spans="1:6" x14ac:dyDescent="0.25">
      <c r="A63" s="102" t="s">
        <v>8</v>
      </c>
      <c r="B63" s="103">
        <v>1000348</v>
      </c>
      <c r="C63" s="104" t="s">
        <v>43</v>
      </c>
      <c r="D63" s="105" t="s">
        <v>10</v>
      </c>
      <c r="E63" s="105" t="s">
        <v>47</v>
      </c>
      <c r="F63" s="71">
        <v>0</v>
      </c>
    </row>
    <row r="64" spans="1:6" x14ac:dyDescent="0.25">
      <c r="A64" s="102" t="s">
        <v>301</v>
      </c>
      <c r="B64" s="103">
        <v>1000363</v>
      </c>
      <c r="C64" s="104" t="s">
        <v>160</v>
      </c>
      <c r="D64" s="105" t="s">
        <v>10</v>
      </c>
      <c r="E64" s="105" t="s">
        <v>11</v>
      </c>
      <c r="F64" s="71">
        <v>5</v>
      </c>
    </row>
    <row r="65" spans="1:6" x14ac:dyDescent="0.25">
      <c r="A65" s="102" t="s">
        <v>301</v>
      </c>
      <c r="B65" s="103">
        <v>1001736</v>
      </c>
      <c r="C65" s="104" t="s">
        <v>161</v>
      </c>
      <c r="D65" s="105" t="s">
        <v>18</v>
      </c>
      <c r="E65" s="105" t="s">
        <v>11</v>
      </c>
      <c r="F65" s="71">
        <v>0</v>
      </c>
    </row>
    <row r="66" spans="1:6" x14ac:dyDescent="0.25">
      <c r="A66" s="102" t="s">
        <v>301</v>
      </c>
      <c r="B66" s="103">
        <v>1000388</v>
      </c>
      <c r="C66" s="104" t="s">
        <v>162</v>
      </c>
      <c r="D66" s="105" t="s">
        <v>14</v>
      </c>
      <c r="E66" s="105" t="s">
        <v>11</v>
      </c>
      <c r="F66" s="71">
        <v>5</v>
      </c>
    </row>
    <row r="67" spans="1:6" x14ac:dyDescent="0.25">
      <c r="A67" s="102" t="s">
        <v>8</v>
      </c>
      <c r="B67" s="103">
        <v>1000391</v>
      </c>
      <c r="C67" s="104" t="s">
        <v>1782</v>
      </c>
      <c r="D67" s="105" t="s">
        <v>14</v>
      </c>
      <c r="E67" s="105" t="s">
        <v>11</v>
      </c>
      <c r="F67" s="71">
        <v>0</v>
      </c>
    </row>
    <row r="68" spans="1:6" x14ac:dyDescent="0.25">
      <c r="A68" s="102" t="s">
        <v>8</v>
      </c>
      <c r="B68" s="103">
        <v>1000392</v>
      </c>
      <c r="C68" s="104" t="s">
        <v>1821</v>
      </c>
      <c r="D68" s="105" t="s">
        <v>14</v>
      </c>
      <c r="E68" s="105" t="s">
        <v>57</v>
      </c>
      <c r="F68" s="71">
        <v>0</v>
      </c>
    </row>
    <row r="69" spans="1:6" x14ac:dyDescent="0.25">
      <c r="A69" s="102" t="s">
        <v>301</v>
      </c>
      <c r="B69" s="103">
        <v>1000545</v>
      </c>
      <c r="C69" s="104" t="s">
        <v>1783</v>
      </c>
      <c r="D69" s="105" t="s">
        <v>14</v>
      </c>
      <c r="E69" s="105" t="s">
        <v>11</v>
      </c>
      <c r="F69" s="71">
        <v>2</v>
      </c>
    </row>
    <row r="70" spans="1:6" x14ac:dyDescent="0.25">
      <c r="A70" s="102" t="s">
        <v>301</v>
      </c>
      <c r="B70" s="103">
        <v>1001669</v>
      </c>
      <c r="C70" s="104" t="s">
        <v>164</v>
      </c>
      <c r="D70" s="105" t="s">
        <v>18</v>
      </c>
      <c r="E70" s="105" t="s">
        <v>11</v>
      </c>
      <c r="F70" s="71">
        <v>1</v>
      </c>
    </row>
    <row r="71" spans="1:6" x14ac:dyDescent="0.25">
      <c r="A71" s="102" t="s">
        <v>301</v>
      </c>
      <c r="B71" s="103">
        <v>1001222</v>
      </c>
      <c r="C71" s="104" t="s">
        <v>491</v>
      </c>
      <c r="D71" s="105" t="s">
        <v>10</v>
      </c>
      <c r="E71" s="105" t="s">
        <v>57</v>
      </c>
      <c r="F71" s="71">
        <v>0</v>
      </c>
    </row>
    <row r="72" spans="1:6" x14ac:dyDescent="0.25">
      <c r="A72" s="102" t="s">
        <v>301</v>
      </c>
      <c r="B72" s="103">
        <v>1002281</v>
      </c>
      <c r="C72" s="104" t="s">
        <v>1849</v>
      </c>
      <c r="D72" s="105" t="s">
        <v>14</v>
      </c>
      <c r="E72" s="105" t="s">
        <v>57</v>
      </c>
      <c r="F72" s="71">
        <v>0</v>
      </c>
    </row>
    <row r="73" spans="1:6" x14ac:dyDescent="0.25">
      <c r="A73" s="102" t="s">
        <v>8</v>
      </c>
      <c r="B73" s="103">
        <v>1001476</v>
      </c>
      <c r="C73" s="104" t="s">
        <v>45</v>
      </c>
      <c r="D73" s="105" t="s">
        <v>18</v>
      </c>
      <c r="E73" s="105" t="s">
        <v>11</v>
      </c>
      <c r="F73" s="71">
        <v>0</v>
      </c>
    </row>
    <row r="74" spans="1:6" x14ac:dyDescent="0.25">
      <c r="A74" s="106" t="s">
        <v>301</v>
      </c>
      <c r="B74" s="107">
        <v>1001461</v>
      </c>
      <c r="C74" s="108" t="s">
        <v>166</v>
      </c>
      <c r="D74" s="109" t="s">
        <v>18</v>
      </c>
      <c r="E74" s="109" t="s">
        <v>47</v>
      </c>
      <c r="F74" s="110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23B5-5F84-4D25-881B-0559F6FFFE38}">
  <dimension ref="A1:G123"/>
  <sheetViews>
    <sheetView zoomScale="69" workbookViewId="0">
      <pane ySplit="4" topLeftCell="A5" activePane="bottomLeft" state="frozen"/>
      <selection pane="bottomLeft" activeCell="C123" sqref="C4:C123"/>
    </sheetView>
  </sheetViews>
  <sheetFormatPr defaultRowHeight="15" x14ac:dyDescent="0.25"/>
  <cols>
    <col min="1" max="1" width="21" customWidth="1"/>
    <col min="2" max="2" width="11.42578125" customWidth="1"/>
    <col min="3" max="3" width="57.140625" customWidth="1"/>
    <col min="4" max="4" width="13.28515625" customWidth="1"/>
    <col min="5" max="5" width="17.140625" customWidth="1"/>
    <col min="6" max="6" width="16.140625" customWidth="1"/>
    <col min="7" max="7" width="10.28515625" hidden="1" customWidth="1"/>
    <col min="8" max="8" width="10.28515625" customWidth="1"/>
  </cols>
  <sheetData>
    <row r="1" spans="1:6" ht="18.75" x14ac:dyDescent="0.3">
      <c r="A1" s="37" t="s">
        <v>3803</v>
      </c>
    </row>
    <row r="2" spans="1:6" x14ac:dyDescent="0.25">
      <c r="A2" s="38" t="s">
        <v>3804</v>
      </c>
    </row>
    <row r="4" spans="1:6" x14ac:dyDescent="0.25">
      <c r="A4" s="47" t="s">
        <v>2</v>
      </c>
      <c r="B4" s="48" t="s">
        <v>3</v>
      </c>
      <c r="C4" s="48" t="s">
        <v>4</v>
      </c>
      <c r="D4" s="48" t="s">
        <v>5</v>
      </c>
      <c r="E4" s="48" t="s">
        <v>128</v>
      </c>
      <c r="F4" s="49" t="s">
        <v>7</v>
      </c>
    </row>
    <row r="5" spans="1:6" x14ac:dyDescent="0.25">
      <c r="A5" s="55" t="str">
        <f>IFERROR(INDEX('de para abc'!$D:$D,MATCH($C5,'de para abc'!$B:$B,0)),"N/D")</f>
        <v>SSO</v>
      </c>
      <c r="B5" s="88">
        <v>1000052</v>
      </c>
      <c r="C5" s="39" t="s">
        <v>169</v>
      </c>
      <c r="D5" s="40" t="s">
        <v>14</v>
      </c>
      <c r="E5" s="40" t="s">
        <v>57</v>
      </c>
      <c r="F5" s="89">
        <v>3</v>
      </c>
    </row>
    <row r="6" spans="1:6" x14ac:dyDescent="0.25">
      <c r="A6" s="55" t="str">
        <f>IFERROR(INDEX('de para abc'!$D:$D,MATCH($C6,'de para abc'!$B:$B,0)),"N/D")</f>
        <v>FERRAMENTARIA</v>
      </c>
      <c r="B6" s="88">
        <v>1002052</v>
      </c>
      <c r="C6" s="39" t="s">
        <v>1926</v>
      </c>
      <c r="D6" s="40"/>
      <c r="E6" s="40" t="str">
        <f>IFERROR(T(INDEX('de para abc'!$C:$C,MATCH($C6,'de para abc'!$B:$B,0))),"N/D")</f>
        <v/>
      </c>
      <c r="F6" s="89">
        <v>7</v>
      </c>
    </row>
    <row r="7" spans="1:6" x14ac:dyDescent="0.25">
      <c r="A7" s="55" t="str">
        <f>IFERROR(INDEX('de para abc'!$D:$D,MATCH($C7,'de para abc'!$B:$B,0)),"N/D")</f>
        <v>FERRAMENTARIA</v>
      </c>
      <c r="B7" s="88">
        <v>1000065</v>
      </c>
      <c r="C7" s="39" t="s">
        <v>131</v>
      </c>
      <c r="D7" s="40" t="s">
        <v>10</v>
      </c>
      <c r="E7" s="40" t="s">
        <v>11</v>
      </c>
      <c r="F7" s="89">
        <v>5</v>
      </c>
    </row>
    <row r="8" spans="1:6" x14ac:dyDescent="0.25">
      <c r="A8" s="55" t="str">
        <f>IFERROR(INDEX('de para abc'!$D:$D,MATCH($C8,'de para abc'!$B:$B,0)),"N/D")</f>
        <v>FERRAMENTARIA</v>
      </c>
      <c r="B8" s="88">
        <v>1000814</v>
      </c>
      <c r="C8" s="39" t="s">
        <v>605</v>
      </c>
      <c r="D8" s="40"/>
      <c r="E8" s="40" t="s">
        <v>57</v>
      </c>
      <c r="F8" s="89">
        <v>3</v>
      </c>
    </row>
    <row r="9" spans="1:6" x14ac:dyDescent="0.25">
      <c r="A9" s="55" t="str">
        <f>IFERROR(INDEX('de para abc'!$D:$D,MATCH($C9,'de para abc'!$B:$B,0)),"N/D")</f>
        <v>FERRAMENTARIA</v>
      </c>
      <c r="B9" s="88">
        <v>1008891</v>
      </c>
      <c r="C9" s="39" t="s">
        <v>607</v>
      </c>
      <c r="D9" s="40" t="s">
        <v>10</v>
      </c>
      <c r="E9" s="40" t="s">
        <v>47</v>
      </c>
      <c r="F9" s="89">
        <v>6</v>
      </c>
    </row>
    <row r="10" spans="1:6" x14ac:dyDescent="0.25">
      <c r="A10" s="91" t="s">
        <v>8</v>
      </c>
      <c r="B10" s="92">
        <v>1001712</v>
      </c>
      <c r="C10" s="93" t="s">
        <v>49</v>
      </c>
      <c r="D10" s="94" t="s">
        <v>18</v>
      </c>
      <c r="E10" s="94" t="s">
        <v>47</v>
      </c>
      <c r="F10" s="89">
        <v>7</v>
      </c>
    </row>
    <row r="11" spans="1:6" x14ac:dyDescent="0.25">
      <c r="A11" s="91" t="s">
        <v>8</v>
      </c>
      <c r="B11" s="92">
        <v>1001702</v>
      </c>
      <c r="C11" s="93" t="s">
        <v>20</v>
      </c>
      <c r="D11" s="94" t="s">
        <v>18</v>
      </c>
      <c r="E11" s="94" t="s">
        <v>11</v>
      </c>
      <c r="F11" s="89">
        <v>21</v>
      </c>
    </row>
    <row r="12" spans="1:6" x14ac:dyDescent="0.25">
      <c r="A12" s="91" t="s">
        <v>8</v>
      </c>
      <c r="B12" s="92">
        <v>1001701</v>
      </c>
      <c r="C12" s="93" t="s">
        <v>21</v>
      </c>
      <c r="D12" s="94" t="s">
        <v>18</v>
      </c>
      <c r="E12" s="94" t="s">
        <v>11</v>
      </c>
      <c r="F12" s="89">
        <v>15</v>
      </c>
    </row>
    <row r="13" spans="1:6" x14ac:dyDescent="0.25">
      <c r="A13" s="91" t="s">
        <v>8</v>
      </c>
      <c r="B13" s="92">
        <v>1001680</v>
      </c>
      <c r="C13" s="93" t="s">
        <v>22</v>
      </c>
      <c r="D13" s="94" t="s">
        <v>10</v>
      </c>
      <c r="E13" s="94" t="s">
        <v>11</v>
      </c>
      <c r="F13" s="89">
        <v>15</v>
      </c>
    </row>
    <row r="14" spans="1:6" x14ac:dyDescent="0.25">
      <c r="A14" s="55" t="str">
        <f>IFERROR(INDEX('de para abc'!$D:$D,MATCH($C14,'de para abc'!$B:$B,0)),"N/D")</f>
        <v>FERRAMENTARIA</v>
      </c>
      <c r="B14" s="88">
        <v>1001941</v>
      </c>
      <c r="C14" s="39" t="s">
        <v>58</v>
      </c>
      <c r="D14" s="40" t="s">
        <v>59</v>
      </c>
      <c r="E14" s="40" t="s">
        <v>57</v>
      </c>
      <c r="F14" s="89">
        <v>5</v>
      </c>
    </row>
    <row r="15" spans="1:6" x14ac:dyDescent="0.25">
      <c r="A15" s="91" t="s">
        <v>301</v>
      </c>
      <c r="B15" s="92">
        <v>1001719</v>
      </c>
      <c r="C15" s="93" t="s">
        <v>56</v>
      </c>
      <c r="D15" s="94" t="s">
        <v>10</v>
      </c>
      <c r="E15" s="94" t="s">
        <v>57</v>
      </c>
      <c r="F15" s="89">
        <v>6</v>
      </c>
    </row>
    <row r="16" spans="1:6" x14ac:dyDescent="0.25">
      <c r="A16" s="55" t="str">
        <f>IFERROR(INDEX('de para abc'!$D:$D,MATCH($C16,'de para abc'!$B:$B,0)),"N/D")</f>
        <v>FERRAMENTARIA</v>
      </c>
      <c r="B16" s="88">
        <v>1000049</v>
      </c>
      <c r="C16" s="39" t="s">
        <v>48</v>
      </c>
      <c r="D16" s="40" t="s">
        <v>10</v>
      </c>
      <c r="E16" s="40" t="s">
        <v>47</v>
      </c>
      <c r="F16" s="89">
        <v>11</v>
      </c>
    </row>
    <row r="17" spans="1:6" x14ac:dyDescent="0.25">
      <c r="A17" s="55" t="str">
        <f>IFERROR(INDEX('de para abc'!$D:$D,MATCH($C17,'de para abc'!$B:$B,0)),"N/D")</f>
        <v>FERRAMENTARIA</v>
      </c>
      <c r="B17" s="88">
        <v>1000048</v>
      </c>
      <c r="C17" s="39" t="s">
        <v>19</v>
      </c>
      <c r="D17" s="40" t="s">
        <v>10</v>
      </c>
      <c r="E17" s="40" t="s">
        <v>11</v>
      </c>
      <c r="F17" s="89">
        <v>14</v>
      </c>
    </row>
    <row r="18" spans="1:6" x14ac:dyDescent="0.25">
      <c r="A18" s="55" t="str">
        <f>IFERROR(INDEX('de para abc'!$D:$D,MATCH($C18,'de para abc'!$B:$B,0)),"N/D")</f>
        <v>FERRAMENTARIA</v>
      </c>
      <c r="B18" s="88">
        <v>1001455</v>
      </c>
      <c r="C18" s="39" t="s">
        <v>17</v>
      </c>
      <c r="D18" s="40" t="s">
        <v>18</v>
      </c>
      <c r="E18" s="40" t="s">
        <v>11</v>
      </c>
      <c r="F18" s="89">
        <v>8</v>
      </c>
    </row>
    <row r="19" spans="1:6" x14ac:dyDescent="0.25">
      <c r="A19" s="55" t="str">
        <f>IFERROR(INDEX('de para abc'!$D:$D,MATCH($C19,'de para abc'!$B:$B,0)),"N/D")</f>
        <v>FERRAMENTARIA</v>
      </c>
      <c r="B19" s="88">
        <v>1000039</v>
      </c>
      <c r="C19" s="39" t="s">
        <v>16</v>
      </c>
      <c r="D19" s="40" t="s">
        <v>10</v>
      </c>
      <c r="E19" s="40" t="s">
        <v>11</v>
      </c>
      <c r="F19" s="89">
        <v>10</v>
      </c>
    </row>
    <row r="20" spans="1:6" x14ac:dyDescent="0.25">
      <c r="A20" s="91" t="s">
        <v>8</v>
      </c>
      <c r="B20" s="92">
        <v>1000037</v>
      </c>
      <c r="C20" s="93" t="s">
        <v>46</v>
      </c>
      <c r="D20" s="94" t="s">
        <v>10</v>
      </c>
      <c r="E20" s="94" t="s">
        <v>47</v>
      </c>
      <c r="F20" s="89">
        <v>13</v>
      </c>
    </row>
    <row r="21" spans="1:6" x14ac:dyDescent="0.25">
      <c r="A21" s="55" t="str">
        <f>IFERROR(INDEX('de para abc'!$D:$D,MATCH($C21,'de para abc'!$B:$B,0)),"N/D")</f>
        <v>FERRAMENTARIA</v>
      </c>
      <c r="B21" s="88">
        <v>1000036</v>
      </c>
      <c r="C21" s="39" t="s">
        <v>15</v>
      </c>
      <c r="D21" s="40" t="s">
        <v>10</v>
      </c>
      <c r="E21" s="40" t="s">
        <v>11</v>
      </c>
      <c r="F21" s="89">
        <v>5</v>
      </c>
    </row>
    <row r="22" spans="1:6" x14ac:dyDescent="0.25">
      <c r="A22" s="91" t="s">
        <v>8</v>
      </c>
      <c r="B22" s="92">
        <v>1001306</v>
      </c>
      <c r="C22" s="93" t="s">
        <v>13</v>
      </c>
      <c r="D22" s="94" t="s">
        <v>14</v>
      </c>
      <c r="E22" s="94" t="s">
        <v>11</v>
      </c>
      <c r="F22" s="89">
        <v>12</v>
      </c>
    </row>
    <row r="23" spans="1:6" x14ac:dyDescent="0.25">
      <c r="A23" s="55" t="str">
        <f>IFERROR(INDEX('de para abc'!$D:$D,MATCH($C23,'de para abc'!$B:$B,0)),"N/D")</f>
        <v>FERRAMENTARIA</v>
      </c>
      <c r="B23" s="88">
        <v>1000033</v>
      </c>
      <c r="C23" s="39" t="s">
        <v>12</v>
      </c>
      <c r="D23" s="40" t="s">
        <v>10</v>
      </c>
      <c r="E23" s="40" t="s">
        <v>11</v>
      </c>
      <c r="F23" s="89">
        <v>10</v>
      </c>
    </row>
    <row r="24" spans="1:6" x14ac:dyDescent="0.25">
      <c r="A24" s="55" t="str">
        <f>IFERROR(INDEX('de para abc'!$D:$D,MATCH($C24,'de para abc'!$B:$B,0)),"N/D")</f>
        <v>FERRAMENTARIA</v>
      </c>
      <c r="B24" s="88">
        <v>1000032</v>
      </c>
      <c r="C24" s="39" t="s">
        <v>9</v>
      </c>
      <c r="D24" s="40" t="s">
        <v>10</v>
      </c>
      <c r="E24" s="40" t="s">
        <v>11</v>
      </c>
      <c r="F24" s="89">
        <v>9</v>
      </c>
    </row>
    <row r="25" spans="1:6" x14ac:dyDescent="0.25">
      <c r="A25" s="55" t="str">
        <f>IFERROR(INDEX('de para abc'!$D:$D,MATCH($C25,'de para abc'!$B:$B,0)),"N/D")</f>
        <v>FERRAMENTARIA</v>
      </c>
      <c r="B25" s="88">
        <v>1001663</v>
      </c>
      <c r="C25" s="39" t="s">
        <v>129</v>
      </c>
      <c r="D25" s="40" t="s">
        <v>18</v>
      </c>
      <c r="E25" s="40" t="s">
        <v>47</v>
      </c>
      <c r="F25" s="89">
        <v>1</v>
      </c>
    </row>
    <row r="26" spans="1:6" x14ac:dyDescent="0.25">
      <c r="A26" s="55" t="str">
        <f>IFERROR(INDEX('de para abc'!$D:$D,MATCH($C26,'de para abc'!$B:$B,0)),"N/D")</f>
        <v>FERRAMENTARIA</v>
      </c>
      <c r="B26" s="88">
        <v>1000183</v>
      </c>
      <c r="C26" s="39" t="s">
        <v>51</v>
      </c>
      <c r="D26" s="40" t="s">
        <v>14</v>
      </c>
      <c r="E26" s="40" t="s">
        <v>47</v>
      </c>
      <c r="F26" s="89">
        <v>24</v>
      </c>
    </row>
    <row r="27" spans="1:6" x14ac:dyDescent="0.25">
      <c r="A27" s="91" t="s">
        <v>8</v>
      </c>
      <c r="B27" s="92">
        <v>1000184</v>
      </c>
      <c r="C27" s="93" t="s">
        <v>28</v>
      </c>
      <c r="D27" s="94" t="s">
        <v>14</v>
      </c>
      <c r="E27" s="94" t="s">
        <v>11</v>
      </c>
      <c r="F27" s="89">
        <v>9</v>
      </c>
    </row>
    <row r="28" spans="1:6" x14ac:dyDescent="0.25">
      <c r="A28" s="55" t="str">
        <f>IFERROR(INDEX('de para abc'!$D:$D,MATCH($C28,'de para abc'!$B:$B,0)),"N/D")</f>
        <v>FERRAMENTARIA</v>
      </c>
      <c r="B28" s="88">
        <v>1000185</v>
      </c>
      <c r="C28" s="39" t="s">
        <v>52</v>
      </c>
      <c r="D28" s="40" t="s">
        <v>14</v>
      </c>
      <c r="E28" s="40" t="s">
        <v>47</v>
      </c>
      <c r="F28" s="89">
        <v>16</v>
      </c>
    </row>
    <row r="29" spans="1:6" x14ac:dyDescent="0.25">
      <c r="A29" s="55" t="str">
        <f>IFERROR(INDEX('de para abc'!$D:$D,MATCH($C29,'de para abc'!$B:$B,0)),"N/D")</f>
        <v>FERRAMENTARIA</v>
      </c>
      <c r="B29" s="88">
        <v>1001263</v>
      </c>
      <c r="C29" s="39" t="s">
        <v>719</v>
      </c>
      <c r="D29" s="40" t="s">
        <v>14</v>
      </c>
      <c r="E29" s="40" t="s">
        <v>47</v>
      </c>
      <c r="F29" s="89">
        <v>1</v>
      </c>
    </row>
    <row r="30" spans="1:6" x14ac:dyDescent="0.25">
      <c r="A30" s="55" t="str">
        <f>IFERROR(INDEX('de para abc'!$D:$D,MATCH($C30,'de para abc'!$B:$B,0)),"N/D")</f>
        <v>FERRAMENTARIA</v>
      </c>
      <c r="B30" s="88">
        <v>1006116</v>
      </c>
      <c r="C30" s="39" t="s">
        <v>30</v>
      </c>
      <c r="D30" s="40" t="s">
        <v>10</v>
      </c>
      <c r="E30" s="40" t="s">
        <v>11</v>
      </c>
      <c r="F30" s="89">
        <v>13</v>
      </c>
    </row>
    <row r="31" spans="1:6" x14ac:dyDescent="0.25">
      <c r="A31" s="91" t="s">
        <v>301</v>
      </c>
      <c r="B31" s="92">
        <v>1001707</v>
      </c>
      <c r="C31" s="93" t="s">
        <v>31</v>
      </c>
      <c r="D31" s="94" t="s">
        <v>18</v>
      </c>
      <c r="E31" s="94" t="s">
        <v>11</v>
      </c>
      <c r="F31" s="89">
        <v>12</v>
      </c>
    </row>
    <row r="32" spans="1:6" x14ac:dyDescent="0.25">
      <c r="A32" s="91" t="s">
        <v>8</v>
      </c>
      <c r="B32" s="92">
        <v>1000195</v>
      </c>
      <c r="C32" s="93" t="s">
        <v>32</v>
      </c>
      <c r="D32" s="94" t="s">
        <v>10</v>
      </c>
      <c r="E32" s="94" t="s">
        <v>11</v>
      </c>
      <c r="F32" s="89">
        <v>12</v>
      </c>
    </row>
    <row r="33" spans="1:6" x14ac:dyDescent="0.25">
      <c r="A33" s="55" t="str">
        <f>IFERROR(INDEX('de para abc'!$D:$D,MATCH($C33,'de para abc'!$B:$B,0)),"N/D")</f>
        <v>FERRAMENTARIA</v>
      </c>
      <c r="B33" s="88">
        <v>1000196</v>
      </c>
      <c r="C33" s="39" t="s">
        <v>64</v>
      </c>
      <c r="D33" s="40" t="s">
        <v>14</v>
      </c>
      <c r="E33" s="40" t="s">
        <v>57</v>
      </c>
      <c r="F33" s="89">
        <v>26</v>
      </c>
    </row>
    <row r="34" spans="1:6" x14ac:dyDescent="0.25">
      <c r="A34" s="91" t="s">
        <v>8</v>
      </c>
      <c r="B34" s="92">
        <v>1000197</v>
      </c>
      <c r="C34" s="93" t="s">
        <v>53</v>
      </c>
      <c r="D34" s="94" t="s">
        <v>14</v>
      </c>
      <c r="E34" s="94" t="s">
        <v>47</v>
      </c>
      <c r="F34" s="89">
        <v>21</v>
      </c>
    </row>
    <row r="35" spans="1:6" x14ac:dyDescent="0.25">
      <c r="A35" s="55" t="str">
        <f>IFERROR(INDEX('de para abc'!$D:$D,MATCH($C35,'de para abc'!$B:$B,0)),"N/D")</f>
        <v>FERRAMENTARIA</v>
      </c>
      <c r="B35" s="88">
        <v>1000198</v>
      </c>
      <c r="C35" s="39" t="s">
        <v>65</v>
      </c>
      <c r="D35" s="40" t="s">
        <v>14</v>
      </c>
      <c r="E35" s="40" t="s">
        <v>57</v>
      </c>
      <c r="F35" s="89">
        <v>13</v>
      </c>
    </row>
    <row r="36" spans="1:6" x14ac:dyDescent="0.25">
      <c r="A36" s="91" t="s">
        <v>301</v>
      </c>
      <c r="B36" s="92">
        <v>1001704</v>
      </c>
      <c r="C36" s="93" t="s">
        <v>136</v>
      </c>
      <c r="D36" s="94" t="s">
        <v>18</v>
      </c>
      <c r="E36" s="94" t="s">
        <v>11</v>
      </c>
      <c r="F36" s="89">
        <v>2</v>
      </c>
    </row>
    <row r="37" spans="1:6" x14ac:dyDescent="0.25">
      <c r="A37" s="55" t="str">
        <f>IFERROR(INDEX('de para abc'!$D:$D,MATCH($C37,'de para abc'!$B:$B,0)),"N/D")</f>
        <v>FERRAMENTARIA</v>
      </c>
      <c r="B37" s="88">
        <v>1000089</v>
      </c>
      <c r="C37" s="39" t="s">
        <v>60</v>
      </c>
      <c r="D37" s="40" t="s">
        <v>10</v>
      </c>
      <c r="E37" s="40" t="s">
        <v>57</v>
      </c>
      <c r="F37" s="89">
        <v>7</v>
      </c>
    </row>
    <row r="38" spans="1:6" x14ac:dyDescent="0.25">
      <c r="A38" s="91" t="s">
        <v>301</v>
      </c>
      <c r="B38" s="92">
        <v>1001703</v>
      </c>
      <c r="C38" s="93" t="s">
        <v>137</v>
      </c>
      <c r="D38" s="94" t="s">
        <v>18</v>
      </c>
      <c r="E38" s="94" t="s">
        <v>57</v>
      </c>
      <c r="F38" s="89">
        <v>2</v>
      </c>
    </row>
    <row r="39" spans="1:6" x14ac:dyDescent="0.25">
      <c r="A39" s="55" t="str">
        <f>IFERROR(INDEX('de para abc'!$D:$D,MATCH($C39,'de para abc'!$B:$B,0)),"N/D")</f>
        <v>FERRAMENTARIA</v>
      </c>
      <c r="B39" s="88">
        <v>1006819</v>
      </c>
      <c r="C39" s="39" t="s">
        <v>138</v>
      </c>
      <c r="D39" s="40" t="s">
        <v>18</v>
      </c>
      <c r="E39" s="40" t="s">
        <v>57</v>
      </c>
      <c r="F39" s="89">
        <v>24</v>
      </c>
    </row>
    <row r="40" spans="1:6" x14ac:dyDescent="0.25">
      <c r="A40" s="91" t="s">
        <v>8</v>
      </c>
      <c r="B40" s="92">
        <v>1008890</v>
      </c>
      <c r="C40" s="93" t="s">
        <v>23</v>
      </c>
      <c r="D40" s="94" t="s">
        <v>18</v>
      </c>
      <c r="E40" s="94" t="s">
        <v>11</v>
      </c>
      <c r="F40" s="89">
        <v>2</v>
      </c>
    </row>
    <row r="41" spans="1:6" x14ac:dyDescent="0.25">
      <c r="A41" s="91" t="s">
        <v>8</v>
      </c>
      <c r="B41" s="92">
        <v>1001667</v>
      </c>
      <c r="C41" s="93" t="s">
        <v>26</v>
      </c>
      <c r="D41" s="94" t="s">
        <v>18</v>
      </c>
      <c r="E41" s="94" t="s">
        <v>11</v>
      </c>
      <c r="F41" s="89">
        <v>0</v>
      </c>
    </row>
    <row r="42" spans="1:6" x14ac:dyDescent="0.25">
      <c r="A42" s="55" t="str">
        <f>IFERROR(INDEX('de para abc'!$D:$D,MATCH($C42,'de para abc'!$B:$B,0)),"N/D")</f>
        <v>N/D</v>
      </c>
      <c r="B42" s="88">
        <v>1001122</v>
      </c>
      <c r="C42" s="39" t="s">
        <v>25</v>
      </c>
      <c r="D42" s="40" t="s">
        <v>10</v>
      </c>
      <c r="E42" s="40" t="s">
        <v>11</v>
      </c>
      <c r="F42" s="89">
        <v>1</v>
      </c>
    </row>
    <row r="43" spans="1:6" x14ac:dyDescent="0.25">
      <c r="A43" s="55" t="str">
        <f>IFERROR(INDEX('de para abc'!$D:$D,MATCH($C43,'de para abc'!$B:$B,0)),"N/D")</f>
        <v>FERRAMENTARIA</v>
      </c>
      <c r="B43" s="88">
        <v>1000149</v>
      </c>
      <c r="C43" s="39" t="s">
        <v>397</v>
      </c>
      <c r="D43" s="40" t="s">
        <v>14</v>
      </c>
      <c r="E43" s="40" t="s">
        <v>57</v>
      </c>
      <c r="F43" s="89">
        <v>0</v>
      </c>
    </row>
    <row r="44" spans="1:6" x14ac:dyDescent="0.25">
      <c r="A44" s="55" t="str">
        <f>IFERROR(INDEX('de para abc'!$D:$D,MATCH($C44,'de para abc'!$B:$B,0)),"N/D")</f>
        <v>FERRAMENTARIA</v>
      </c>
      <c r="B44" s="88">
        <v>1001146</v>
      </c>
      <c r="C44" s="39" t="s">
        <v>27</v>
      </c>
      <c r="D44" s="40" t="s">
        <v>10</v>
      </c>
      <c r="E44" s="40" t="s">
        <v>11</v>
      </c>
      <c r="F44" s="89">
        <v>14</v>
      </c>
    </row>
    <row r="45" spans="1:6" x14ac:dyDescent="0.25">
      <c r="A45" s="55" t="str">
        <f>IFERROR(INDEX('de para abc'!$D:$D,MATCH($C45,'de para abc'!$B:$B,0)),"N/D")</f>
        <v>FERRAMENTARIA</v>
      </c>
      <c r="B45" s="88" t="str">
        <f>IFERROR(INDEX('de para abc'!$A:$A,MATCH($C45,'de para abc'!$B:$B,0)),"N/D")</f>
        <v>E1000284</v>
      </c>
      <c r="C45" s="39" t="s">
        <v>942</v>
      </c>
      <c r="D45" s="40"/>
      <c r="E45" s="40" t="str">
        <f>IFERROR(T(INDEX('de para abc'!$C:$C,MATCH($C45,'de para abc'!$B:$B,0))),"N/D")</f>
        <v/>
      </c>
      <c r="F45" s="89">
        <v>0</v>
      </c>
    </row>
    <row r="46" spans="1:6" x14ac:dyDescent="0.25">
      <c r="A46" s="55" t="str">
        <f>IFERROR(INDEX('de para abc'!$D:$D,MATCH($C46,'de para abc'!$B:$B,0)),"N/D")</f>
        <v>FERRAMENTARIA</v>
      </c>
      <c r="B46" s="88" t="str">
        <f>IFERROR(INDEX('de para abc'!$A:$A,MATCH($C46,'de para abc'!$B:$B,0)),"N/D")</f>
        <v>E1002270</v>
      </c>
      <c r="C46" s="39" t="s">
        <v>944</v>
      </c>
      <c r="D46" s="40"/>
      <c r="E46" s="40" t="str">
        <f>IFERROR(T(INDEX('de para abc'!$C:$C,MATCH($C46,'de para abc'!$B:$B,0))),"N/D")</f>
        <v/>
      </c>
      <c r="F46" s="89">
        <v>2</v>
      </c>
    </row>
    <row r="47" spans="1:6" x14ac:dyDescent="0.25">
      <c r="A47" s="55" t="str">
        <f>IFERROR(INDEX('de para abc'!$D:$D,MATCH($C47,'de para abc'!$B:$B,0)),"N/D")</f>
        <v>FERRAMENTARIA</v>
      </c>
      <c r="B47" s="88">
        <v>1001741</v>
      </c>
      <c r="C47" s="39" t="s">
        <v>33</v>
      </c>
      <c r="D47" s="40" t="s">
        <v>14</v>
      </c>
      <c r="E47" s="40" t="s">
        <v>11</v>
      </c>
      <c r="F47" s="89">
        <v>9</v>
      </c>
    </row>
    <row r="48" spans="1:6" x14ac:dyDescent="0.25">
      <c r="A48" s="91" t="s">
        <v>8</v>
      </c>
      <c r="B48" s="92">
        <v>1000205</v>
      </c>
      <c r="C48" s="93" t="s">
        <v>144</v>
      </c>
      <c r="D48" s="94" t="s">
        <v>10</v>
      </c>
      <c r="E48" s="94" t="s">
        <v>57</v>
      </c>
      <c r="F48" s="89">
        <v>0</v>
      </c>
    </row>
    <row r="49" spans="1:6" x14ac:dyDescent="0.25">
      <c r="A49" s="55" t="str">
        <f>IFERROR(INDEX('de para abc'!$D:$D,MATCH($C49,'de para abc'!$B:$B,0)),"N/D")</f>
        <v>FERRAMENTARIA</v>
      </c>
      <c r="B49" s="88">
        <v>1001045</v>
      </c>
      <c r="C49" s="39" t="s">
        <v>145</v>
      </c>
      <c r="D49" s="40" t="s">
        <v>10</v>
      </c>
      <c r="E49" s="40" t="s">
        <v>11</v>
      </c>
      <c r="F49" s="89">
        <v>1</v>
      </c>
    </row>
    <row r="50" spans="1:6" x14ac:dyDescent="0.25">
      <c r="A50" s="55" t="str">
        <f>IFERROR(INDEX('de para abc'!$D:$D,MATCH($C50,'de para abc'!$B:$B,0)),"N/D")</f>
        <v>FERRAMENTARIA</v>
      </c>
      <c r="B50" s="88">
        <v>30001276</v>
      </c>
      <c r="C50" s="39" t="s">
        <v>733</v>
      </c>
      <c r="D50" s="40"/>
      <c r="E50" s="40" t="str">
        <f>IFERROR(T(INDEX('de para abc'!$C:$C,MATCH($C50,'de para abc'!$B:$B,0))),"N/D")</f>
        <v/>
      </c>
      <c r="F50" s="89">
        <v>0</v>
      </c>
    </row>
    <row r="51" spans="1:6" x14ac:dyDescent="0.25">
      <c r="A51" s="55" t="str">
        <f>IFERROR(INDEX('de para abc'!$D:$D,MATCH($C51,'de para abc'!$B:$B,0)),"N/D")</f>
        <v>FERRAMENTARIA</v>
      </c>
      <c r="B51" s="88">
        <v>1001001</v>
      </c>
      <c r="C51" s="39" t="s">
        <v>1798</v>
      </c>
      <c r="D51" s="40"/>
      <c r="E51" s="40" t="s">
        <v>57</v>
      </c>
      <c r="F51" s="89">
        <v>57</v>
      </c>
    </row>
    <row r="52" spans="1:6" x14ac:dyDescent="0.25">
      <c r="A52" s="55" t="str">
        <f>IFERROR(INDEX('de para abc'!$D:$D,MATCH($C52,'de para abc'!$B:$B,0)),"N/D")</f>
        <v>FERRAMENTARIA</v>
      </c>
      <c r="B52" s="88">
        <v>1000224</v>
      </c>
      <c r="C52" s="39" t="s">
        <v>146</v>
      </c>
      <c r="D52" s="40" t="s">
        <v>14</v>
      </c>
      <c r="E52" s="40" t="s">
        <v>11</v>
      </c>
      <c r="F52" s="89">
        <v>4</v>
      </c>
    </row>
    <row r="53" spans="1:6" x14ac:dyDescent="0.25">
      <c r="A53" s="55" t="str">
        <f>IFERROR(INDEX('de para abc'!$D:$D,MATCH($C53,'de para abc'!$B:$B,0)),"N/D")</f>
        <v>FERRAMENTARIA</v>
      </c>
      <c r="B53" s="88">
        <v>1001718</v>
      </c>
      <c r="C53" s="39" t="s">
        <v>147</v>
      </c>
      <c r="D53" s="40" t="s">
        <v>10</v>
      </c>
      <c r="E53" s="40" t="s">
        <v>11</v>
      </c>
      <c r="F53" s="89">
        <v>13</v>
      </c>
    </row>
    <row r="54" spans="1:6" x14ac:dyDescent="0.25">
      <c r="A54" s="55" t="str">
        <f>IFERROR(INDEX('de para abc'!$D:$D,MATCH($C54,'de para abc'!$B:$B,0)),"N/D")</f>
        <v>FERRAMENTARIA</v>
      </c>
      <c r="B54" s="88">
        <v>1000481</v>
      </c>
      <c r="C54" s="39" t="s">
        <v>148</v>
      </c>
      <c r="D54" s="40" t="s">
        <v>14</v>
      </c>
      <c r="E54" s="40" t="s">
        <v>47</v>
      </c>
      <c r="F54" s="89">
        <v>14</v>
      </c>
    </row>
    <row r="55" spans="1:6" x14ac:dyDescent="0.25">
      <c r="A55" s="55" t="str">
        <f>IFERROR(INDEX('de para abc'!$D:$D,MATCH($C55,'de para abc'!$B:$B,0)),"N/D")</f>
        <v>FERRAMENTARIA</v>
      </c>
      <c r="B55" s="88">
        <v>1001299</v>
      </c>
      <c r="C55" s="39" t="s">
        <v>149</v>
      </c>
      <c r="D55" s="40" t="s">
        <v>14</v>
      </c>
      <c r="E55" s="40" t="s">
        <v>11</v>
      </c>
      <c r="F55" s="89">
        <v>5</v>
      </c>
    </row>
    <row r="56" spans="1:6" x14ac:dyDescent="0.25">
      <c r="A56" s="91" t="s">
        <v>301</v>
      </c>
      <c r="B56" s="92">
        <v>1000243</v>
      </c>
      <c r="C56" s="93" t="s">
        <v>150</v>
      </c>
      <c r="D56" s="94" t="s">
        <v>14</v>
      </c>
      <c r="E56" s="94" t="s">
        <v>11</v>
      </c>
      <c r="F56" s="89">
        <v>0</v>
      </c>
    </row>
    <row r="57" spans="1:6" x14ac:dyDescent="0.25">
      <c r="A57" s="55" t="str">
        <f>IFERROR(INDEX('de para abc'!$D:$D,MATCH($C57,'de para abc'!$B:$B,0)),"N/D")</f>
        <v>FERRAMENTARIA</v>
      </c>
      <c r="B57" s="88" t="str">
        <f>IFERROR(INDEX('de para abc'!$A:$A,MATCH($C57,'de para abc'!$B:$B,0)),"N/D")</f>
        <v>E1000337</v>
      </c>
      <c r="C57" s="39" t="s">
        <v>2302</v>
      </c>
      <c r="D57" s="40"/>
      <c r="E57" s="40" t="str">
        <f>IFERROR(T(INDEX('de para abc'!$C:$C,MATCH($C57,'de para abc'!$B:$B,0))),"N/D")</f>
        <v/>
      </c>
      <c r="F57" s="89">
        <v>0</v>
      </c>
    </row>
    <row r="58" spans="1:6" x14ac:dyDescent="0.25">
      <c r="A58" s="55" t="str">
        <f>IFERROR(INDEX('de para abc'!$D:$D,MATCH($C58,'de para abc'!$B:$B,0)),"N/D")</f>
        <v>FERRAMENTARIA</v>
      </c>
      <c r="B58" s="88" t="str">
        <f>IFERROR(INDEX('de para abc'!$A:$A,MATCH($C58,'de para abc'!$B:$B,0)),"N/D")</f>
        <v>E1006120</v>
      </c>
      <c r="C58" s="39" t="s">
        <v>2312</v>
      </c>
      <c r="D58" s="40"/>
      <c r="E58" s="40" t="str">
        <f>IFERROR(T(INDEX('de para abc'!$C:$C,MATCH($C58,'de para abc'!$B:$B,0))),"N/D")</f>
        <v/>
      </c>
      <c r="F58" s="89">
        <v>0</v>
      </c>
    </row>
    <row r="59" spans="1:6" x14ac:dyDescent="0.25">
      <c r="A59" s="91" t="s">
        <v>8</v>
      </c>
      <c r="B59" s="92">
        <v>1001668</v>
      </c>
      <c r="C59" s="93" t="s">
        <v>153</v>
      </c>
      <c r="D59" s="94" t="s">
        <v>18</v>
      </c>
      <c r="E59" s="94" t="s">
        <v>47</v>
      </c>
      <c r="F59" s="89">
        <v>2</v>
      </c>
    </row>
    <row r="60" spans="1:6" x14ac:dyDescent="0.25">
      <c r="A60" s="91" t="s">
        <v>301</v>
      </c>
      <c r="B60" s="92">
        <v>1000300</v>
      </c>
      <c r="C60" s="93" t="s">
        <v>1785</v>
      </c>
      <c r="D60" s="94" t="s">
        <v>10</v>
      </c>
      <c r="E60" s="94" t="s">
        <v>57</v>
      </c>
      <c r="F60" s="89">
        <v>2</v>
      </c>
    </row>
    <row r="61" spans="1:6" x14ac:dyDescent="0.25">
      <c r="A61" s="55" t="str">
        <f>IFERROR(INDEX('de para abc'!$D:$D,MATCH($C61,'de para abc'!$B:$B,0)),"N/D")</f>
        <v>FERRAMENTARIA</v>
      </c>
      <c r="B61" s="88">
        <v>1001241</v>
      </c>
      <c r="C61" s="39" t="s">
        <v>205</v>
      </c>
      <c r="D61" s="40" t="s">
        <v>14</v>
      </c>
      <c r="E61" s="40" t="s">
        <v>57</v>
      </c>
      <c r="F61" s="89">
        <v>2</v>
      </c>
    </row>
    <row r="62" spans="1:6" x14ac:dyDescent="0.25">
      <c r="A62" s="55" t="str">
        <f>IFERROR(INDEX('de para abc'!$D:$D,MATCH($C62,'de para abc'!$B:$B,0)),"N/D")</f>
        <v>FERRAMENTARIA</v>
      </c>
      <c r="B62" s="88">
        <v>1001705</v>
      </c>
      <c r="C62" s="39" t="s">
        <v>40</v>
      </c>
      <c r="D62" s="40" t="s">
        <v>18</v>
      </c>
      <c r="E62" s="40" t="s">
        <v>11</v>
      </c>
      <c r="F62" s="89">
        <v>5</v>
      </c>
    </row>
    <row r="63" spans="1:6" x14ac:dyDescent="0.25">
      <c r="A63" s="91" t="s">
        <v>301</v>
      </c>
      <c r="B63" s="92">
        <v>1000821</v>
      </c>
      <c r="C63" s="93" t="s">
        <v>2464</v>
      </c>
      <c r="D63" s="94" t="s">
        <v>14</v>
      </c>
      <c r="E63" s="94" t="s">
        <v>47</v>
      </c>
      <c r="F63" s="89">
        <v>1</v>
      </c>
    </row>
    <row r="64" spans="1:6" x14ac:dyDescent="0.25">
      <c r="A64" s="55" t="str">
        <f>IFERROR(INDEX('de para abc'!$D:$D,MATCH($C64,'de para abc'!$B:$B,0)),"N/D")</f>
        <v>FERRAMENTARIA</v>
      </c>
      <c r="B64" s="88">
        <v>1001706</v>
      </c>
      <c r="C64" s="39" t="s">
        <v>2465</v>
      </c>
      <c r="D64" s="40"/>
      <c r="E64" s="40" t="str">
        <f>IFERROR(T(INDEX('de para abc'!$C:$C,MATCH($C64,'de para abc'!$B:$B,0))),"N/D")</f>
        <v/>
      </c>
      <c r="F64" s="89">
        <v>1</v>
      </c>
    </row>
    <row r="65" spans="1:6" x14ac:dyDescent="0.25">
      <c r="A65" s="55" t="str">
        <f>IFERROR(INDEX('de para abc'!$D:$D,MATCH($C65,'de para abc'!$B:$B,0)),"N/D")</f>
        <v>FERRAMENTARIA</v>
      </c>
      <c r="B65" s="88">
        <v>1000636</v>
      </c>
      <c r="C65" s="39" t="s">
        <v>154</v>
      </c>
      <c r="D65" s="40" t="s">
        <v>14</v>
      </c>
      <c r="E65" s="40" t="s">
        <v>57</v>
      </c>
      <c r="F65" s="89">
        <v>4</v>
      </c>
    </row>
    <row r="66" spans="1:6" x14ac:dyDescent="0.25">
      <c r="A66" s="55" t="str">
        <f>IFERROR(INDEX('de para abc'!$D:$D,MATCH($C66,'de para abc'!$B:$B,0)),"N/D")</f>
        <v>FERRAMENTARIA</v>
      </c>
      <c r="B66" s="88">
        <v>1000536</v>
      </c>
      <c r="C66" s="39" t="s">
        <v>155</v>
      </c>
      <c r="D66" s="40" t="s">
        <v>14</v>
      </c>
      <c r="E66" s="40" t="s">
        <v>57</v>
      </c>
      <c r="F66" s="89">
        <v>4</v>
      </c>
    </row>
    <row r="67" spans="1:6" x14ac:dyDescent="0.25">
      <c r="A67" s="55" t="str">
        <f>IFERROR(INDEX('de para abc'!$D:$D,MATCH($C67,'de para abc'!$B:$B,0)),"N/D")</f>
        <v>FERRAMENTARIA</v>
      </c>
      <c r="B67" s="88">
        <v>1000254</v>
      </c>
      <c r="C67" s="39" t="s">
        <v>151</v>
      </c>
      <c r="D67" s="40" t="s">
        <v>10</v>
      </c>
      <c r="E67" s="40" t="s">
        <v>11</v>
      </c>
      <c r="F67" s="89">
        <v>7</v>
      </c>
    </row>
    <row r="68" spans="1:6" x14ac:dyDescent="0.25">
      <c r="A68" s="55" t="str">
        <f>IFERROR(INDEX('de para abc'!$D:$D,MATCH($C68,'de para abc'!$B:$B,0)),"N/D")</f>
        <v>FERRAMENTARIA</v>
      </c>
      <c r="B68" s="88">
        <v>1000256</v>
      </c>
      <c r="C68" s="39" t="s">
        <v>36</v>
      </c>
      <c r="D68" s="40" t="s">
        <v>14</v>
      </c>
      <c r="E68" s="40" t="s">
        <v>11</v>
      </c>
      <c r="F68" s="89">
        <v>5</v>
      </c>
    </row>
    <row r="69" spans="1:6" x14ac:dyDescent="0.25">
      <c r="A69" s="91" t="s">
        <v>8</v>
      </c>
      <c r="B69" s="92">
        <v>1000258</v>
      </c>
      <c r="C69" s="93" t="s">
        <v>35</v>
      </c>
      <c r="D69" s="94" t="s">
        <v>10</v>
      </c>
      <c r="E69" s="94" t="s">
        <v>11</v>
      </c>
      <c r="F69" s="89">
        <v>5</v>
      </c>
    </row>
    <row r="70" spans="1:6" x14ac:dyDescent="0.25">
      <c r="A70" s="55" t="str">
        <f>IFERROR(INDEX('de para abc'!$D:$D,MATCH($C70,'de para abc'!$B:$B,0)),"N/D")</f>
        <v>FERRAMENTARIA</v>
      </c>
      <c r="B70" s="88">
        <v>1001264</v>
      </c>
      <c r="C70" s="39" t="s">
        <v>37</v>
      </c>
      <c r="D70" s="40" t="s">
        <v>14</v>
      </c>
      <c r="E70" s="40" t="s">
        <v>11</v>
      </c>
      <c r="F70" s="89">
        <v>11</v>
      </c>
    </row>
    <row r="71" spans="1:6" x14ac:dyDescent="0.25">
      <c r="A71" s="55" t="str">
        <f>IFERROR(INDEX('de para abc'!$D:$D,MATCH($C71,'de para abc'!$B:$B,0)),"N/D")</f>
        <v>FERRAMENTARIA</v>
      </c>
      <c r="B71" s="88">
        <v>1000284</v>
      </c>
      <c r="C71" s="39" t="s">
        <v>38</v>
      </c>
      <c r="D71" s="40" t="s">
        <v>14</v>
      </c>
      <c r="E71" s="40" t="s">
        <v>11</v>
      </c>
      <c r="F71" s="89">
        <v>0</v>
      </c>
    </row>
    <row r="72" spans="1:6" x14ac:dyDescent="0.25">
      <c r="A72" s="55" t="str">
        <f>IFERROR(INDEX('de para abc'!$D:$D,MATCH($C72,'de para abc'!$B:$B,0)),"N/D")</f>
        <v>FERRAMENTARIA</v>
      </c>
      <c r="B72" s="88">
        <v>1002270</v>
      </c>
      <c r="C72" s="39" t="s">
        <v>39</v>
      </c>
      <c r="D72" s="40" t="s">
        <v>18</v>
      </c>
      <c r="E72" s="40" t="s">
        <v>11</v>
      </c>
      <c r="F72" s="89">
        <v>2</v>
      </c>
    </row>
    <row r="73" spans="1:6" x14ac:dyDescent="0.25">
      <c r="A73" s="55" t="str">
        <f>IFERROR(INDEX('de para abc'!$D:$D,MATCH($C73,'de para abc'!$B:$B,0)),"N/D")</f>
        <v>FERRAMENTARIA</v>
      </c>
      <c r="B73" s="88">
        <v>1001940</v>
      </c>
      <c r="C73" s="39" t="s">
        <v>152</v>
      </c>
      <c r="D73" s="40" t="s">
        <v>14</v>
      </c>
      <c r="E73" s="40" t="s">
        <v>57</v>
      </c>
      <c r="F73" s="89">
        <v>0</v>
      </c>
    </row>
    <row r="74" spans="1:6" x14ac:dyDescent="0.25">
      <c r="A74" s="55" t="str">
        <f>IFERROR(INDEX('de para abc'!$D:$D,MATCH($C74,'de para abc'!$B:$B,0)),"N/D")</f>
        <v>FERRAMENTARIA</v>
      </c>
      <c r="B74" s="88">
        <v>1006121</v>
      </c>
      <c r="C74" s="39" t="s">
        <v>2523</v>
      </c>
      <c r="D74" s="40"/>
      <c r="E74" s="40" t="str">
        <f>IFERROR(T(INDEX('de para abc'!$C:$C,MATCH($C74,'de para abc'!$B:$B,0))),"N/D")</f>
        <v/>
      </c>
      <c r="F74" s="89">
        <v>0</v>
      </c>
    </row>
    <row r="75" spans="1:6" x14ac:dyDescent="0.25">
      <c r="A75" s="55" t="str">
        <f>IFERROR(INDEX('de para abc'!$D:$D,MATCH($C75,'de para abc'!$B:$B,0)),"N/D")</f>
        <v>FERRAMENTARIA</v>
      </c>
      <c r="B75" s="88">
        <v>1000503</v>
      </c>
      <c r="C75" s="39" t="s">
        <v>472</v>
      </c>
      <c r="D75" s="40" t="s">
        <v>10</v>
      </c>
      <c r="E75" s="40" t="s">
        <v>57</v>
      </c>
      <c r="F75" s="89">
        <v>3</v>
      </c>
    </row>
    <row r="76" spans="1:6" x14ac:dyDescent="0.25">
      <c r="A76" s="55" t="str">
        <f>IFERROR(INDEX('de para abc'!$D:$D,MATCH($C76,'de para abc'!$B:$B,0)),"N/D")</f>
        <v>FERRAMENTARIA</v>
      </c>
      <c r="B76" s="88">
        <v>1000363</v>
      </c>
      <c r="C76" s="39" t="s">
        <v>160</v>
      </c>
      <c r="D76" s="40" t="s">
        <v>10</v>
      </c>
      <c r="E76" s="40" t="s">
        <v>11</v>
      </c>
      <c r="F76" s="89">
        <v>8</v>
      </c>
    </row>
    <row r="77" spans="1:6" x14ac:dyDescent="0.25">
      <c r="A77" s="55" t="str">
        <f>IFERROR(INDEX('de para abc'!$D:$D,MATCH($C77,'de para abc'!$B:$B,0)),"N/D")</f>
        <v>FERRAMENTARIA</v>
      </c>
      <c r="B77" s="88">
        <v>1001736</v>
      </c>
      <c r="C77" s="39" t="s">
        <v>161</v>
      </c>
      <c r="D77" s="40" t="s">
        <v>18</v>
      </c>
      <c r="E77" s="40" t="s">
        <v>11</v>
      </c>
      <c r="F77" s="89">
        <v>5</v>
      </c>
    </row>
    <row r="78" spans="1:6" x14ac:dyDescent="0.25">
      <c r="A78" s="55" t="str">
        <f>IFERROR(INDEX('de para abc'!$D:$D,MATCH($C78,'de para abc'!$B:$B,0)),"N/D")</f>
        <v>FERRAMENTARIA</v>
      </c>
      <c r="B78" s="88">
        <v>1000388</v>
      </c>
      <c r="C78" s="39" t="s">
        <v>162</v>
      </c>
      <c r="D78" s="40" t="s">
        <v>14</v>
      </c>
      <c r="E78" s="40" t="s">
        <v>11</v>
      </c>
      <c r="F78" s="89">
        <v>1</v>
      </c>
    </row>
    <row r="79" spans="1:6" x14ac:dyDescent="0.25">
      <c r="A79" s="55" t="str">
        <f>IFERROR(INDEX('de para abc'!$D:$D,MATCH($C79,'de para abc'!$B:$B,0)),"N/D")</f>
        <v>FERRAMENTARIA</v>
      </c>
      <c r="B79" s="88">
        <v>1000391</v>
      </c>
      <c r="C79" s="39" t="s">
        <v>1782</v>
      </c>
      <c r="D79" s="40"/>
      <c r="E79" s="40" t="s">
        <v>11</v>
      </c>
      <c r="F79" s="89">
        <v>0</v>
      </c>
    </row>
    <row r="80" spans="1:6" x14ac:dyDescent="0.25">
      <c r="A80" s="55" t="str">
        <f>IFERROR(INDEX('de para abc'!$D:$D,MATCH($C80,'de para abc'!$B:$B,0)),"N/D")</f>
        <v>FERRAMENTARIA</v>
      </c>
      <c r="B80" s="88">
        <v>1000392</v>
      </c>
      <c r="C80" s="39" t="s">
        <v>1821</v>
      </c>
      <c r="D80" s="40"/>
      <c r="E80" s="40" t="s">
        <v>57</v>
      </c>
      <c r="F80" s="89">
        <v>0</v>
      </c>
    </row>
    <row r="81" spans="1:6" x14ac:dyDescent="0.25">
      <c r="A81" s="55" t="str">
        <f>IFERROR(INDEX('de para abc'!$D:$D,MATCH($C81,'de para abc'!$B:$B,0)),"N/D")</f>
        <v>FERRAMENTARIA</v>
      </c>
      <c r="B81" s="88">
        <v>1000545</v>
      </c>
      <c r="C81" s="39" t="s">
        <v>1783</v>
      </c>
      <c r="D81" s="40" t="s">
        <v>14</v>
      </c>
      <c r="E81" s="40" t="s">
        <v>11</v>
      </c>
      <c r="F81" s="89">
        <v>50</v>
      </c>
    </row>
    <row r="82" spans="1:6" x14ac:dyDescent="0.25">
      <c r="A82" s="91" t="s">
        <v>69</v>
      </c>
      <c r="B82" s="92">
        <v>1002183</v>
      </c>
      <c r="C82" s="93" t="s">
        <v>261</v>
      </c>
      <c r="D82" s="94" t="s">
        <v>18</v>
      </c>
      <c r="E82" s="94" t="s">
        <v>57</v>
      </c>
      <c r="F82" s="89">
        <v>1</v>
      </c>
    </row>
    <row r="83" spans="1:6" x14ac:dyDescent="0.25">
      <c r="A83" s="91" t="s">
        <v>69</v>
      </c>
      <c r="B83" s="92">
        <v>1002158</v>
      </c>
      <c r="C83" s="93" t="s">
        <v>91</v>
      </c>
      <c r="D83" s="94" t="s">
        <v>18</v>
      </c>
      <c r="E83" s="94" t="s">
        <v>11</v>
      </c>
      <c r="F83" s="89">
        <v>16</v>
      </c>
    </row>
    <row r="84" spans="1:6" x14ac:dyDescent="0.25">
      <c r="A84" s="91" t="s">
        <v>69</v>
      </c>
      <c r="B84" s="92">
        <v>1001920</v>
      </c>
      <c r="C84" s="93" t="s">
        <v>262</v>
      </c>
      <c r="D84" s="94" t="s">
        <v>18</v>
      </c>
      <c r="E84" s="94" t="s">
        <v>57</v>
      </c>
      <c r="F84" s="89">
        <v>8</v>
      </c>
    </row>
    <row r="85" spans="1:6" x14ac:dyDescent="0.25">
      <c r="A85" s="91" t="s">
        <v>69</v>
      </c>
      <c r="B85" s="92">
        <v>1001693</v>
      </c>
      <c r="C85" s="93" t="s">
        <v>259</v>
      </c>
      <c r="D85" s="94" t="s">
        <v>14</v>
      </c>
      <c r="E85" s="94" t="s">
        <v>57</v>
      </c>
      <c r="F85" s="89">
        <v>8</v>
      </c>
    </row>
    <row r="86" spans="1:6" x14ac:dyDescent="0.25">
      <c r="A86" s="91" t="s">
        <v>69</v>
      </c>
      <c r="B86" s="92">
        <v>1001696</v>
      </c>
      <c r="C86" s="93" t="s">
        <v>90</v>
      </c>
      <c r="D86" s="94" t="s">
        <v>14</v>
      </c>
      <c r="E86" s="94" t="s">
        <v>11</v>
      </c>
      <c r="F86" s="89">
        <v>7</v>
      </c>
    </row>
    <row r="87" spans="1:6" x14ac:dyDescent="0.25">
      <c r="A87" s="91" t="s">
        <v>69</v>
      </c>
      <c r="B87" s="92">
        <v>1001694</v>
      </c>
      <c r="C87" s="93" t="s">
        <v>177</v>
      </c>
      <c r="D87" s="94" t="s">
        <v>14</v>
      </c>
      <c r="E87" s="94" t="s">
        <v>57</v>
      </c>
      <c r="F87" s="89">
        <v>6</v>
      </c>
    </row>
    <row r="88" spans="1:6" x14ac:dyDescent="0.25">
      <c r="A88" s="91" t="s">
        <v>69</v>
      </c>
      <c r="B88" s="92">
        <v>1002148</v>
      </c>
      <c r="C88" s="93" t="s">
        <v>80</v>
      </c>
      <c r="D88" s="94" t="s">
        <v>10</v>
      </c>
      <c r="E88" s="94" t="s">
        <v>47</v>
      </c>
      <c r="F88" s="89">
        <v>3</v>
      </c>
    </row>
    <row r="89" spans="1:6" x14ac:dyDescent="0.25">
      <c r="A89" s="91" t="s">
        <v>69</v>
      </c>
      <c r="B89" s="92">
        <v>1001916</v>
      </c>
      <c r="C89" s="93" t="s">
        <v>240</v>
      </c>
      <c r="D89" s="94" t="s">
        <v>18</v>
      </c>
      <c r="E89" s="94" t="s">
        <v>57</v>
      </c>
      <c r="F89" s="89">
        <v>1</v>
      </c>
    </row>
    <row r="90" spans="1:6" x14ac:dyDescent="0.25">
      <c r="A90" s="91" t="s">
        <v>69</v>
      </c>
      <c r="B90" s="92">
        <v>1002169</v>
      </c>
      <c r="C90" s="93" t="s">
        <v>79</v>
      </c>
      <c r="D90" s="94" t="s">
        <v>10</v>
      </c>
      <c r="E90" s="94" t="s">
        <v>11</v>
      </c>
      <c r="F90" s="89">
        <v>1</v>
      </c>
    </row>
    <row r="91" spans="1:6" x14ac:dyDescent="0.25">
      <c r="A91" s="91" t="s">
        <v>69</v>
      </c>
      <c r="B91" s="92">
        <v>1001698</v>
      </c>
      <c r="C91" s="93" t="s">
        <v>2991</v>
      </c>
      <c r="D91" s="94" t="s">
        <v>14</v>
      </c>
      <c r="E91" s="94" t="s">
        <v>57</v>
      </c>
      <c r="F91" s="89">
        <v>1</v>
      </c>
    </row>
    <row r="92" spans="1:6" x14ac:dyDescent="0.25">
      <c r="A92" s="91" t="s">
        <v>69</v>
      </c>
      <c r="B92" s="92">
        <v>1001700</v>
      </c>
      <c r="C92" s="93" t="s">
        <v>3006</v>
      </c>
      <c r="D92" s="94" t="s">
        <v>14</v>
      </c>
      <c r="E92" s="94" t="s">
        <v>57</v>
      </c>
      <c r="F92" s="89">
        <v>1</v>
      </c>
    </row>
    <row r="93" spans="1:6" x14ac:dyDescent="0.25">
      <c r="A93" s="91" t="s">
        <v>69</v>
      </c>
      <c r="B93" s="92">
        <v>1001521</v>
      </c>
      <c r="C93" s="93" t="s">
        <v>502</v>
      </c>
      <c r="D93" s="94" t="s">
        <v>18</v>
      </c>
      <c r="E93" s="94" t="s">
        <v>57</v>
      </c>
      <c r="F93" s="89">
        <v>2</v>
      </c>
    </row>
    <row r="94" spans="1:6" x14ac:dyDescent="0.25">
      <c r="A94" s="91" t="s">
        <v>69</v>
      </c>
      <c r="B94" s="92">
        <v>1001526</v>
      </c>
      <c r="C94" s="93" t="s">
        <v>583</v>
      </c>
      <c r="D94" s="94" t="s">
        <v>233</v>
      </c>
      <c r="E94" s="94" t="s">
        <v>57</v>
      </c>
      <c r="F94" s="89">
        <v>1</v>
      </c>
    </row>
    <row r="95" spans="1:6" x14ac:dyDescent="0.25">
      <c r="A95" s="91" t="s">
        <v>69</v>
      </c>
      <c r="B95" s="92">
        <v>1001524</v>
      </c>
      <c r="C95" s="93" t="s">
        <v>579</v>
      </c>
      <c r="D95" s="94" t="s">
        <v>233</v>
      </c>
      <c r="E95" s="94" t="s">
        <v>57</v>
      </c>
      <c r="F95" s="89">
        <v>5</v>
      </c>
    </row>
    <row r="96" spans="1:6" x14ac:dyDescent="0.25">
      <c r="A96" s="91" t="s">
        <v>69</v>
      </c>
      <c r="B96" s="92">
        <v>1001525</v>
      </c>
      <c r="C96" s="93" t="s">
        <v>581</v>
      </c>
      <c r="D96" s="94" t="s">
        <v>233</v>
      </c>
      <c r="E96" s="94" t="s">
        <v>57</v>
      </c>
      <c r="F96" s="89">
        <v>2</v>
      </c>
    </row>
    <row r="97" spans="1:6" x14ac:dyDescent="0.25">
      <c r="A97" s="91" t="s">
        <v>69</v>
      </c>
      <c r="B97" s="92">
        <v>1001523</v>
      </c>
      <c r="C97" s="93" t="s">
        <v>503</v>
      </c>
      <c r="D97" s="94" t="s">
        <v>18</v>
      </c>
      <c r="E97" s="94" t="s">
        <v>57</v>
      </c>
      <c r="F97" s="89">
        <v>6</v>
      </c>
    </row>
    <row r="98" spans="1:6" x14ac:dyDescent="0.25">
      <c r="A98" s="91" t="s">
        <v>69</v>
      </c>
      <c r="B98" s="92">
        <v>1001527</v>
      </c>
      <c r="C98" s="93" t="s">
        <v>585</v>
      </c>
      <c r="D98" s="94" t="s">
        <v>233</v>
      </c>
      <c r="E98" s="94" t="s">
        <v>57</v>
      </c>
      <c r="F98" s="89">
        <v>5</v>
      </c>
    </row>
    <row r="99" spans="1:6" x14ac:dyDescent="0.25">
      <c r="A99" s="91" t="s">
        <v>69</v>
      </c>
      <c r="B99" s="92">
        <v>1000075</v>
      </c>
      <c r="C99" s="93" t="s">
        <v>174</v>
      </c>
      <c r="D99" s="94" t="s">
        <v>71</v>
      </c>
      <c r="E99" s="94" t="s">
        <v>57</v>
      </c>
      <c r="F99" s="89">
        <v>3</v>
      </c>
    </row>
    <row r="100" spans="1:6" x14ac:dyDescent="0.25">
      <c r="A100" s="91" t="s">
        <v>69</v>
      </c>
      <c r="B100" s="92">
        <v>1001529</v>
      </c>
      <c r="C100" s="93" t="s">
        <v>226</v>
      </c>
      <c r="D100" s="94" t="s">
        <v>18</v>
      </c>
      <c r="E100" s="94" t="s">
        <v>57</v>
      </c>
      <c r="F100" s="89">
        <v>5</v>
      </c>
    </row>
    <row r="101" spans="1:6" x14ac:dyDescent="0.25">
      <c r="A101" s="91" t="s">
        <v>69</v>
      </c>
      <c r="B101" s="92">
        <v>1002253</v>
      </c>
      <c r="C101" s="93" t="s">
        <v>98</v>
      </c>
      <c r="D101" s="94" t="s">
        <v>18</v>
      </c>
      <c r="E101" s="94" t="s">
        <v>57</v>
      </c>
      <c r="F101" s="89">
        <v>18</v>
      </c>
    </row>
    <row r="102" spans="1:6" x14ac:dyDescent="0.25">
      <c r="A102" s="91" t="s">
        <v>69</v>
      </c>
      <c r="B102" s="92">
        <v>1000544</v>
      </c>
      <c r="C102" s="93" t="s">
        <v>116</v>
      </c>
      <c r="D102" s="94" t="s">
        <v>14</v>
      </c>
      <c r="E102" s="94" t="s">
        <v>47</v>
      </c>
      <c r="F102" s="89">
        <v>41</v>
      </c>
    </row>
    <row r="103" spans="1:6" x14ac:dyDescent="0.25">
      <c r="A103" s="91" t="s">
        <v>69</v>
      </c>
      <c r="B103" s="92">
        <v>1000633</v>
      </c>
      <c r="C103" s="93" t="s">
        <v>267</v>
      </c>
      <c r="D103" s="94" t="s">
        <v>10</v>
      </c>
      <c r="E103" s="94" t="s">
        <v>57</v>
      </c>
      <c r="F103" s="89">
        <v>19</v>
      </c>
    </row>
    <row r="104" spans="1:6" x14ac:dyDescent="0.25">
      <c r="A104" s="91" t="s">
        <v>69</v>
      </c>
      <c r="B104" s="92">
        <v>1001853</v>
      </c>
      <c r="C104" s="93" t="s">
        <v>531</v>
      </c>
      <c r="D104" s="94" t="s">
        <v>10</v>
      </c>
      <c r="E104" s="94" t="s">
        <v>11</v>
      </c>
      <c r="F104" s="89">
        <v>23</v>
      </c>
    </row>
    <row r="105" spans="1:6" x14ac:dyDescent="0.25">
      <c r="A105" s="91" t="s">
        <v>8</v>
      </c>
      <c r="B105" s="92">
        <v>1001562</v>
      </c>
      <c r="C105" s="93" t="s">
        <v>44</v>
      </c>
      <c r="D105" s="94" t="s">
        <v>18</v>
      </c>
      <c r="E105" s="94" t="s">
        <v>11</v>
      </c>
      <c r="F105" s="89">
        <v>13</v>
      </c>
    </row>
    <row r="106" spans="1:6" x14ac:dyDescent="0.25">
      <c r="A106" s="91" t="s">
        <v>69</v>
      </c>
      <c r="B106" s="92">
        <v>1000995</v>
      </c>
      <c r="C106" s="93" t="s">
        <v>123</v>
      </c>
      <c r="D106" s="94" t="s">
        <v>14</v>
      </c>
      <c r="E106" s="94" t="s">
        <v>11</v>
      </c>
      <c r="F106" s="89">
        <v>16</v>
      </c>
    </row>
    <row r="107" spans="1:6" x14ac:dyDescent="0.25">
      <c r="A107" s="91" t="s">
        <v>301</v>
      </c>
      <c r="B107" s="92">
        <v>1001307</v>
      </c>
      <c r="C107" s="93" t="s">
        <v>389</v>
      </c>
      <c r="D107" s="94" t="s">
        <v>14</v>
      </c>
      <c r="E107" s="94" t="s">
        <v>11</v>
      </c>
      <c r="F107" s="89">
        <v>20</v>
      </c>
    </row>
    <row r="108" spans="1:6" x14ac:dyDescent="0.25">
      <c r="A108" s="91" t="s">
        <v>69</v>
      </c>
      <c r="B108" s="92">
        <v>1002262</v>
      </c>
      <c r="C108" s="93" t="s">
        <v>100</v>
      </c>
      <c r="D108" s="94" t="s">
        <v>101</v>
      </c>
      <c r="E108" s="94" t="s">
        <v>11</v>
      </c>
      <c r="F108" s="89">
        <v>20</v>
      </c>
    </row>
    <row r="109" spans="1:6" x14ac:dyDescent="0.25">
      <c r="A109" s="91" t="s">
        <v>69</v>
      </c>
      <c r="B109" s="92">
        <v>1001444</v>
      </c>
      <c r="C109" s="93" t="s">
        <v>3044</v>
      </c>
      <c r="D109" s="94" t="s">
        <v>14</v>
      </c>
      <c r="E109" s="94" t="s">
        <v>47</v>
      </c>
      <c r="F109" s="89">
        <v>28</v>
      </c>
    </row>
    <row r="110" spans="1:6" x14ac:dyDescent="0.25">
      <c r="A110" s="91" t="s">
        <v>69</v>
      </c>
      <c r="B110" s="92">
        <v>1000648</v>
      </c>
      <c r="C110" s="93" t="s">
        <v>122</v>
      </c>
      <c r="D110" s="94" t="s">
        <v>14</v>
      </c>
      <c r="E110" s="94" t="s">
        <v>11</v>
      </c>
      <c r="F110" s="89">
        <v>22</v>
      </c>
    </row>
    <row r="111" spans="1:6" x14ac:dyDescent="0.25">
      <c r="A111" s="91" t="s">
        <v>69</v>
      </c>
      <c r="B111" s="92">
        <v>1006180</v>
      </c>
      <c r="C111" s="93" t="s">
        <v>168</v>
      </c>
      <c r="D111" s="94" t="s">
        <v>18</v>
      </c>
      <c r="E111" s="94" t="s">
        <v>11</v>
      </c>
      <c r="F111" s="89">
        <v>10</v>
      </c>
    </row>
    <row r="112" spans="1:6" x14ac:dyDescent="0.25">
      <c r="A112" s="91" t="s">
        <v>69</v>
      </c>
      <c r="B112" s="92" t="s">
        <v>3525</v>
      </c>
      <c r="C112" s="93" t="s">
        <v>212</v>
      </c>
      <c r="D112" s="94" t="s">
        <v>18</v>
      </c>
      <c r="E112" s="94" t="s">
        <v>57</v>
      </c>
      <c r="F112" s="89">
        <v>21</v>
      </c>
    </row>
    <row r="113" spans="1:6" x14ac:dyDescent="0.25">
      <c r="A113" s="91" t="s">
        <v>69</v>
      </c>
      <c r="B113" s="92">
        <v>1000206</v>
      </c>
      <c r="C113" s="93" t="s">
        <v>102</v>
      </c>
      <c r="D113" s="94" t="s">
        <v>10</v>
      </c>
      <c r="E113" s="94" t="s">
        <v>11</v>
      </c>
      <c r="F113" s="89">
        <v>26</v>
      </c>
    </row>
    <row r="114" spans="1:6" x14ac:dyDescent="0.25">
      <c r="A114" s="91" t="s">
        <v>69</v>
      </c>
      <c r="B114" s="92"/>
      <c r="C114" s="93" t="s">
        <v>361</v>
      </c>
      <c r="D114" s="94" t="s">
        <v>18</v>
      </c>
      <c r="E114" s="94" t="s">
        <v>57</v>
      </c>
      <c r="F114" s="89">
        <v>23</v>
      </c>
    </row>
    <row r="115" spans="1:6" x14ac:dyDescent="0.25">
      <c r="A115" s="91" t="s">
        <v>69</v>
      </c>
      <c r="B115" s="92">
        <v>1006179</v>
      </c>
      <c r="C115" s="93" t="s">
        <v>106</v>
      </c>
      <c r="D115" s="94" t="s">
        <v>18</v>
      </c>
      <c r="E115" s="94" t="s">
        <v>11</v>
      </c>
      <c r="F115" s="89">
        <v>10</v>
      </c>
    </row>
    <row r="116" spans="1:6" x14ac:dyDescent="0.25">
      <c r="A116" s="91" t="s">
        <v>69</v>
      </c>
      <c r="B116" s="92">
        <v>1000277</v>
      </c>
      <c r="C116" s="93" t="s">
        <v>182</v>
      </c>
      <c r="D116" s="94" t="s">
        <v>183</v>
      </c>
      <c r="E116" s="94" t="s">
        <v>11</v>
      </c>
      <c r="F116" s="89">
        <v>19</v>
      </c>
    </row>
    <row r="117" spans="1:6" x14ac:dyDescent="0.25">
      <c r="A117" s="91" t="s">
        <v>69</v>
      </c>
      <c r="B117" s="92">
        <v>1001855</v>
      </c>
      <c r="C117" s="93" t="s">
        <v>521</v>
      </c>
      <c r="D117" s="94" t="s">
        <v>10</v>
      </c>
      <c r="E117" s="94" t="s">
        <v>11</v>
      </c>
      <c r="F117" s="89">
        <v>22</v>
      </c>
    </row>
    <row r="118" spans="1:6" x14ac:dyDescent="0.25">
      <c r="A118" s="55" t="str">
        <f>IFERROR(INDEX('de para abc'!$D:$D,MATCH($C118,'de para abc'!$B:$B,0)),"N/D")</f>
        <v>SSO</v>
      </c>
      <c r="B118" s="88">
        <v>1000997</v>
      </c>
      <c r="C118" s="39" t="s">
        <v>291</v>
      </c>
      <c r="D118" s="40" t="s">
        <v>14</v>
      </c>
      <c r="E118" s="40" t="s">
        <v>57</v>
      </c>
      <c r="F118" s="89">
        <v>13</v>
      </c>
    </row>
    <row r="119" spans="1:6" x14ac:dyDescent="0.25">
      <c r="A119" s="91" t="s">
        <v>69</v>
      </c>
      <c r="B119" s="92">
        <v>1000366</v>
      </c>
      <c r="C119" s="93" t="s">
        <v>117</v>
      </c>
      <c r="D119" s="94" t="s">
        <v>14</v>
      </c>
      <c r="E119" s="94" t="s">
        <v>57</v>
      </c>
      <c r="F119" s="89">
        <v>4</v>
      </c>
    </row>
    <row r="120" spans="1:6" x14ac:dyDescent="0.25">
      <c r="A120" s="91" t="s">
        <v>8</v>
      </c>
      <c r="B120" s="92">
        <v>1001289</v>
      </c>
      <c r="C120" s="93" t="s">
        <v>24</v>
      </c>
      <c r="D120" s="94" t="s">
        <v>14</v>
      </c>
      <c r="E120" s="94" t="s">
        <v>11</v>
      </c>
      <c r="F120" s="89">
        <v>29</v>
      </c>
    </row>
    <row r="121" spans="1:6" x14ac:dyDescent="0.25">
      <c r="A121" s="91" t="s">
        <v>69</v>
      </c>
      <c r="B121" s="92">
        <v>1000146</v>
      </c>
      <c r="C121" s="93" t="s">
        <v>99</v>
      </c>
      <c r="D121" s="94" t="s">
        <v>10</v>
      </c>
      <c r="E121" s="94" t="s">
        <v>11</v>
      </c>
      <c r="F121" s="89">
        <v>2</v>
      </c>
    </row>
    <row r="122" spans="1:6" x14ac:dyDescent="0.25">
      <c r="A122" s="91" t="s">
        <v>69</v>
      </c>
      <c r="B122" s="92">
        <v>1001199</v>
      </c>
      <c r="C122" s="93" t="s">
        <v>288</v>
      </c>
      <c r="D122" s="94" t="s">
        <v>71</v>
      </c>
      <c r="E122" s="94" t="s">
        <v>57</v>
      </c>
      <c r="F122" s="89">
        <v>25</v>
      </c>
    </row>
    <row r="123" spans="1:6" x14ac:dyDescent="0.25">
      <c r="A123" s="95" t="s">
        <v>69</v>
      </c>
      <c r="B123" s="96">
        <v>1006150</v>
      </c>
      <c r="C123" s="97" t="s">
        <v>115</v>
      </c>
      <c r="D123" s="98" t="s">
        <v>71</v>
      </c>
      <c r="E123" s="94" t="s">
        <v>57</v>
      </c>
      <c r="F123" s="90">
        <v>10</v>
      </c>
    </row>
  </sheetData>
  <phoneticPr fontId="19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B183-DF7A-454B-8DE9-1A3EA7467667}">
  <dimension ref="A1:F287"/>
  <sheetViews>
    <sheetView topLeftCell="B1" zoomScale="80" workbookViewId="0">
      <pane ySplit="4" topLeftCell="A232" activePane="bottomLeft" state="frozen"/>
      <selection pane="bottomLeft" activeCell="D255" sqref="D255"/>
    </sheetView>
  </sheetViews>
  <sheetFormatPr defaultRowHeight="15" x14ac:dyDescent="0.25"/>
  <cols>
    <col min="1" max="1" width="20" customWidth="1"/>
    <col min="2" max="2" width="14.140625" bestFit="1" customWidth="1"/>
    <col min="3" max="3" width="49.5703125" customWidth="1"/>
    <col min="4" max="4" width="10.7109375" customWidth="1"/>
    <col min="5" max="5" width="15.85546875" customWidth="1"/>
    <col min="6" max="6" width="13.5703125" customWidth="1"/>
  </cols>
  <sheetData>
    <row r="1" spans="1:6" ht="18.75" x14ac:dyDescent="0.3">
      <c r="A1" s="72" t="s">
        <v>3769</v>
      </c>
      <c r="B1" s="62"/>
      <c r="C1" s="62"/>
      <c r="D1" s="62"/>
      <c r="E1" s="62"/>
      <c r="F1" s="62"/>
    </row>
    <row r="2" spans="1:6" x14ac:dyDescent="0.25">
      <c r="A2" s="73" t="s">
        <v>3770</v>
      </c>
      <c r="B2" s="62"/>
      <c r="C2" s="62"/>
      <c r="D2" s="62"/>
      <c r="E2" s="62"/>
      <c r="F2" s="62"/>
    </row>
    <row r="3" spans="1:6" x14ac:dyDescent="0.25">
      <c r="A3" s="62"/>
      <c r="B3" s="62"/>
      <c r="C3" s="62"/>
      <c r="D3" s="62"/>
      <c r="E3" s="62"/>
      <c r="F3" s="62"/>
    </row>
    <row r="4" spans="1:6" x14ac:dyDescent="0.25">
      <c r="A4" s="78" t="s">
        <v>2</v>
      </c>
      <c r="B4" s="79" t="s">
        <v>3</v>
      </c>
      <c r="C4" s="79" t="s">
        <v>4</v>
      </c>
      <c r="D4" s="79" t="s">
        <v>5</v>
      </c>
      <c r="E4" s="79" t="s">
        <v>128</v>
      </c>
      <c r="F4" s="80" t="s">
        <v>7</v>
      </c>
    </row>
    <row r="5" spans="1:6" x14ac:dyDescent="0.25">
      <c r="A5" s="76" t="s">
        <v>69</v>
      </c>
      <c r="B5" s="116">
        <v>1000014</v>
      </c>
      <c r="C5" s="75" t="s">
        <v>3761</v>
      </c>
      <c r="D5" s="74" t="s">
        <v>14</v>
      </c>
      <c r="E5" s="74" t="s">
        <v>47</v>
      </c>
      <c r="F5" s="77">
        <v>46</v>
      </c>
    </row>
    <row r="6" spans="1:6" x14ac:dyDescent="0.25">
      <c r="A6" s="76" t="s">
        <v>69</v>
      </c>
      <c r="B6" s="116">
        <v>1001850</v>
      </c>
      <c r="C6" s="75" t="s">
        <v>167</v>
      </c>
      <c r="D6" s="74" t="s">
        <v>10</v>
      </c>
      <c r="E6" s="74" t="s">
        <v>11</v>
      </c>
      <c r="F6" s="77">
        <v>85</v>
      </c>
    </row>
    <row r="7" spans="1:6" x14ac:dyDescent="0.25">
      <c r="A7" s="76" t="s">
        <v>69</v>
      </c>
      <c r="B7" s="116">
        <v>1006180</v>
      </c>
      <c r="C7" s="75" t="s">
        <v>168</v>
      </c>
      <c r="D7" s="74" t="s">
        <v>18</v>
      </c>
      <c r="E7" s="74" t="s">
        <v>11</v>
      </c>
      <c r="F7" s="77">
        <v>80</v>
      </c>
    </row>
    <row r="8" spans="1:6" x14ac:dyDescent="0.25">
      <c r="A8" s="76" t="s">
        <v>69</v>
      </c>
      <c r="B8" s="116">
        <v>1000052</v>
      </c>
      <c r="C8" s="75" t="s">
        <v>169</v>
      </c>
      <c r="D8" s="74" t="s">
        <v>14</v>
      </c>
      <c r="E8" s="74" t="s">
        <v>57</v>
      </c>
      <c r="F8" s="77">
        <v>52</v>
      </c>
    </row>
    <row r="9" spans="1:6" x14ac:dyDescent="0.25">
      <c r="A9" s="76" t="s">
        <v>69</v>
      </c>
      <c r="B9" s="116">
        <v>1001864</v>
      </c>
      <c r="C9" s="75" t="s">
        <v>567</v>
      </c>
      <c r="D9" s="74" t="s">
        <v>14</v>
      </c>
      <c r="E9" s="74" t="s">
        <v>11</v>
      </c>
      <c r="F9" s="77">
        <v>55</v>
      </c>
    </row>
    <row r="10" spans="1:6" x14ac:dyDescent="0.25">
      <c r="A10" s="76" t="s">
        <v>69</v>
      </c>
      <c r="B10" s="116">
        <v>1001522</v>
      </c>
      <c r="C10" s="75" t="s">
        <v>575</v>
      </c>
      <c r="D10" s="74" t="s">
        <v>233</v>
      </c>
      <c r="E10" s="74" t="s">
        <v>57</v>
      </c>
      <c r="F10" s="77">
        <v>0</v>
      </c>
    </row>
    <row r="11" spans="1:6" x14ac:dyDescent="0.25">
      <c r="A11" s="76" t="s">
        <v>69</v>
      </c>
      <c r="B11" s="116">
        <v>1001524</v>
      </c>
      <c r="C11" s="75" t="s">
        <v>579</v>
      </c>
      <c r="D11" s="74" t="s">
        <v>233</v>
      </c>
      <c r="E11" s="74" t="s">
        <v>57</v>
      </c>
      <c r="F11" s="77">
        <v>0</v>
      </c>
    </row>
    <row r="12" spans="1:6" x14ac:dyDescent="0.25">
      <c r="A12" s="76" t="s">
        <v>69</v>
      </c>
      <c r="B12" s="116">
        <v>1001525</v>
      </c>
      <c r="C12" s="75" t="s">
        <v>581</v>
      </c>
      <c r="D12" s="74" t="s">
        <v>233</v>
      </c>
      <c r="E12" s="74" t="s">
        <v>57</v>
      </c>
      <c r="F12" s="77">
        <v>0</v>
      </c>
    </row>
    <row r="13" spans="1:6" x14ac:dyDescent="0.25">
      <c r="A13" s="76" t="s">
        <v>69</v>
      </c>
      <c r="B13" s="116">
        <v>1001526</v>
      </c>
      <c r="C13" s="75" t="s">
        <v>583</v>
      </c>
      <c r="D13" s="74" t="s">
        <v>233</v>
      </c>
      <c r="E13" s="74" t="s">
        <v>57</v>
      </c>
      <c r="F13" s="77">
        <v>0</v>
      </c>
    </row>
    <row r="14" spans="1:6" x14ac:dyDescent="0.25">
      <c r="A14" s="76" t="s">
        <v>69</v>
      </c>
      <c r="B14" s="116">
        <v>1001527</v>
      </c>
      <c r="C14" s="75" t="s">
        <v>585</v>
      </c>
      <c r="D14" s="74" t="s">
        <v>233</v>
      </c>
      <c r="E14" s="74" t="s">
        <v>57</v>
      </c>
      <c r="F14" s="77">
        <v>0</v>
      </c>
    </row>
    <row r="15" spans="1:6" x14ac:dyDescent="0.25">
      <c r="A15" s="76" t="s">
        <v>69</v>
      </c>
      <c r="B15" s="116">
        <v>1001249</v>
      </c>
      <c r="C15" s="75" t="s">
        <v>72</v>
      </c>
      <c r="D15" s="74" t="s">
        <v>71</v>
      </c>
      <c r="E15" s="74" t="s">
        <v>57</v>
      </c>
      <c r="F15" s="77">
        <v>19</v>
      </c>
    </row>
    <row r="16" spans="1:6" x14ac:dyDescent="0.25">
      <c r="A16" s="76" t="s">
        <v>69</v>
      </c>
      <c r="B16" s="116">
        <v>1000068</v>
      </c>
      <c r="C16" s="75" t="s">
        <v>73</v>
      </c>
      <c r="D16" s="74" t="s">
        <v>71</v>
      </c>
      <c r="E16" s="74" t="s">
        <v>57</v>
      </c>
      <c r="F16" s="77">
        <v>16</v>
      </c>
    </row>
    <row r="17" spans="1:6" x14ac:dyDescent="0.25">
      <c r="A17" s="76" t="s">
        <v>69</v>
      </c>
      <c r="B17" s="116">
        <v>1000069</v>
      </c>
      <c r="C17" s="75" t="s">
        <v>74</v>
      </c>
      <c r="D17" s="74" t="s">
        <v>71</v>
      </c>
      <c r="E17" s="74" t="s">
        <v>47</v>
      </c>
      <c r="F17" s="77">
        <v>9</v>
      </c>
    </row>
    <row r="18" spans="1:6" x14ac:dyDescent="0.25">
      <c r="A18" s="76" t="s">
        <v>69</v>
      </c>
      <c r="B18" s="116">
        <v>1000070</v>
      </c>
      <c r="C18" s="75" t="s">
        <v>75</v>
      </c>
      <c r="D18" s="74" t="s">
        <v>71</v>
      </c>
      <c r="E18" s="74" t="s">
        <v>47</v>
      </c>
      <c r="F18" s="77">
        <v>16</v>
      </c>
    </row>
    <row r="19" spans="1:6" x14ac:dyDescent="0.25">
      <c r="A19" s="76" t="s">
        <v>69</v>
      </c>
      <c r="B19" s="116">
        <v>1000071</v>
      </c>
      <c r="C19" s="75" t="s">
        <v>76</v>
      </c>
      <c r="D19" s="74" t="s">
        <v>71</v>
      </c>
      <c r="E19" s="74" t="s">
        <v>11</v>
      </c>
      <c r="F19" s="77">
        <v>25</v>
      </c>
    </row>
    <row r="20" spans="1:6" x14ac:dyDescent="0.25">
      <c r="A20" s="76" t="s">
        <v>69</v>
      </c>
      <c r="B20" s="116">
        <v>1000072</v>
      </c>
      <c r="C20" s="75" t="s">
        <v>171</v>
      </c>
      <c r="D20" s="74" t="s">
        <v>71</v>
      </c>
      <c r="E20" s="74" t="s">
        <v>11</v>
      </c>
      <c r="F20" s="77">
        <v>17</v>
      </c>
    </row>
    <row r="21" spans="1:6" x14ac:dyDescent="0.25">
      <c r="A21" s="76" t="s">
        <v>69</v>
      </c>
      <c r="B21" s="116">
        <v>1000073</v>
      </c>
      <c r="C21" s="75" t="s">
        <v>172</v>
      </c>
      <c r="D21" s="74" t="s">
        <v>71</v>
      </c>
      <c r="E21" s="74" t="s">
        <v>47</v>
      </c>
      <c r="F21" s="77">
        <v>17</v>
      </c>
    </row>
    <row r="22" spans="1:6" x14ac:dyDescent="0.25">
      <c r="A22" s="76" t="s">
        <v>69</v>
      </c>
      <c r="B22" s="116">
        <v>1000074</v>
      </c>
      <c r="C22" s="75" t="s">
        <v>173</v>
      </c>
      <c r="D22" s="74" t="s">
        <v>71</v>
      </c>
      <c r="E22" s="74" t="s">
        <v>47</v>
      </c>
      <c r="F22" s="77">
        <v>16</v>
      </c>
    </row>
    <row r="23" spans="1:6" x14ac:dyDescent="0.25">
      <c r="A23" s="76" t="s">
        <v>69</v>
      </c>
      <c r="B23" s="116">
        <v>1000075</v>
      </c>
      <c r="C23" s="75" t="s">
        <v>174</v>
      </c>
      <c r="D23" s="74" t="s">
        <v>71</v>
      </c>
      <c r="E23" s="74" t="s">
        <v>57</v>
      </c>
      <c r="F23" s="77">
        <v>21</v>
      </c>
    </row>
    <row r="24" spans="1:6" x14ac:dyDescent="0.25">
      <c r="A24" s="76" t="s">
        <v>69</v>
      </c>
      <c r="B24" s="116">
        <v>1000076</v>
      </c>
      <c r="C24" s="75" t="s">
        <v>77</v>
      </c>
      <c r="D24" s="74" t="s">
        <v>71</v>
      </c>
      <c r="E24" s="74" t="s">
        <v>57</v>
      </c>
      <c r="F24" s="77">
        <v>17</v>
      </c>
    </row>
    <row r="25" spans="1:6" x14ac:dyDescent="0.25">
      <c r="A25" s="76" t="s">
        <v>69</v>
      </c>
      <c r="B25" s="116">
        <v>1001895</v>
      </c>
      <c r="C25" s="75" t="s">
        <v>505</v>
      </c>
      <c r="D25" s="74" t="s">
        <v>71</v>
      </c>
      <c r="E25" s="74" t="s">
        <v>57</v>
      </c>
      <c r="F25" s="77">
        <v>1</v>
      </c>
    </row>
    <row r="26" spans="1:6" x14ac:dyDescent="0.25">
      <c r="A26" s="76" t="s">
        <v>69</v>
      </c>
      <c r="B26" s="116">
        <v>1006802</v>
      </c>
      <c r="C26" s="75" t="s">
        <v>603</v>
      </c>
      <c r="D26" s="74" t="s">
        <v>10</v>
      </c>
      <c r="E26" s="74" t="s">
        <v>57</v>
      </c>
      <c r="F26" s="77">
        <v>0</v>
      </c>
    </row>
    <row r="27" spans="1:6" x14ac:dyDescent="0.25">
      <c r="A27" s="76" t="s">
        <v>69</v>
      </c>
      <c r="B27" s="116">
        <v>1002180</v>
      </c>
      <c r="C27" s="75" t="s">
        <v>3762</v>
      </c>
      <c r="D27" s="74" t="s">
        <v>10</v>
      </c>
      <c r="E27" s="74" t="s">
        <v>57</v>
      </c>
      <c r="F27" s="77">
        <v>1</v>
      </c>
    </row>
    <row r="28" spans="1:6" x14ac:dyDescent="0.25">
      <c r="A28" s="76" t="s">
        <v>69</v>
      </c>
      <c r="B28" s="116">
        <v>1002276</v>
      </c>
      <c r="C28" s="75" t="s">
        <v>3763</v>
      </c>
      <c r="D28" s="74"/>
      <c r="E28" s="74" t="s">
        <v>57</v>
      </c>
      <c r="F28" s="77">
        <v>2</v>
      </c>
    </row>
    <row r="29" spans="1:6" x14ac:dyDescent="0.25">
      <c r="A29" s="76" t="s">
        <v>69</v>
      </c>
      <c r="B29" s="116">
        <v>1002273</v>
      </c>
      <c r="C29" s="75" t="s">
        <v>645</v>
      </c>
      <c r="D29" s="74" t="s">
        <v>18</v>
      </c>
      <c r="E29" s="74" t="s">
        <v>47</v>
      </c>
      <c r="F29" s="77">
        <v>34</v>
      </c>
    </row>
    <row r="30" spans="1:6" x14ac:dyDescent="0.25">
      <c r="A30" s="76" t="s">
        <v>69</v>
      </c>
      <c r="B30" s="116">
        <v>1002274</v>
      </c>
      <c r="C30" s="75" t="s">
        <v>647</v>
      </c>
      <c r="D30" s="74" t="s">
        <v>18</v>
      </c>
      <c r="E30" s="74" t="s">
        <v>57</v>
      </c>
      <c r="F30" s="77">
        <v>58</v>
      </c>
    </row>
    <row r="31" spans="1:6" x14ac:dyDescent="0.25">
      <c r="A31" s="76" t="s">
        <v>69</v>
      </c>
      <c r="B31" s="116">
        <v>1002303</v>
      </c>
      <c r="C31" s="75" t="s">
        <v>3764</v>
      </c>
      <c r="D31" s="74"/>
      <c r="E31" s="74" t="s">
        <v>57</v>
      </c>
      <c r="F31" s="77">
        <v>9</v>
      </c>
    </row>
    <row r="32" spans="1:6" x14ac:dyDescent="0.25">
      <c r="A32" s="76" t="s">
        <v>69</v>
      </c>
      <c r="B32" s="116">
        <v>1002352</v>
      </c>
      <c r="C32" s="75" t="s">
        <v>3004</v>
      </c>
      <c r="D32" s="74" t="s">
        <v>18</v>
      </c>
      <c r="E32" s="74" t="s">
        <v>57</v>
      </c>
      <c r="F32" s="77">
        <v>25</v>
      </c>
    </row>
    <row r="33" spans="1:6" x14ac:dyDescent="0.25">
      <c r="A33" s="76" t="s">
        <v>69</v>
      </c>
      <c r="B33" s="116">
        <v>1002275</v>
      </c>
      <c r="C33" s="75" t="s">
        <v>649</v>
      </c>
      <c r="D33" s="74" t="s">
        <v>18</v>
      </c>
      <c r="E33" s="74" t="s">
        <v>57</v>
      </c>
      <c r="F33" s="77">
        <v>1</v>
      </c>
    </row>
    <row r="34" spans="1:6" x14ac:dyDescent="0.25">
      <c r="A34" s="76" t="s">
        <v>69</v>
      </c>
      <c r="B34" s="116">
        <v>1002302</v>
      </c>
      <c r="C34" s="75" t="s">
        <v>651</v>
      </c>
      <c r="D34" s="74" t="s">
        <v>18</v>
      </c>
      <c r="E34" s="74" t="s">
        <v>57</v>
      </c>
      <c r="F34" s="77">
        <v>54</v>
      </c>
    </row>
    <row r="35" spans="1:6" x14ac:dyDescent="0.25">
      <c r="A35" s="76" t="s">
        <v>69</v>
      </c>
      <c r="B35" s="116">
        <v>1002140</v>
      </c>
      <c r="C35" s="75" t="s">
        <v>653</v>
      </c>
      <c r="D35" s="74" t="s">
        <v>59</v>
      </c>
      <c r="E35" s="74" t="s">
        <v>57</v>
      </c>
      <c r="F35" s="77">
        <v>0</v>
      </c>
    </row>
    <row r="36" spans="1:6" x14ac:dyDescent="0.25">
      <c r="A36" s="76" t="s">
        <v>69</v>
      </c>
      <c r="B36" s="116">
        <v>1001992</v>
      </c>
      <c r="C36" s="75" t="s">
        <v>655</v>
      </c>
      <c r="D36" s="74" t="s">
        <v>18</v>
      </c>
      <c r="E36" s="74" t="s">
        <v>47</v>
      </c>
      <c r="F36" s="77">
        <v>7</v>
      </c>
    </row>
    <row r="37" spans="1:6" x14ac:dyDescent="0.25">
      <c r="A37" s="76" t="s">
        <v>69</v>
      </c>
      <c r="B37" s="116">
        <v>1001993</v>
      </c>
      <c r="C37" s="75" t="s">
        <v>657</v>
      </c>
      <c r="D37" s="74" t="s">
        <v>18</v>
      </c>
      <c r="E37" s="74" t="s">
        <v>47</v>
      </c>
      <c r="F37" s="77">
        <v>59</v>
      </c>
    </row>
    <row r="38" spans="1:6" x14ac:dyDescent="0.25">
      <c r="A38" s="76" t="s">
        <v>69</v>
      </c>
      <c r="B38" s="116">
        <v>1001994</v>
      </c>
      <c r="C38" s="75" t="s">
        <v>659</v>
      </c>
      <c r="D38" s="74" t="s">
        <v>18</v>
      </c>
      <c r="E38" s="74" t="s">
        <v>11</v>
      </c>
      <c r="F38" s="77">
        <v>44</v>
      </c>
    </row>
    <row r="39" spans="1:6" x14ac:dyDescent="0.25">
      <c r="A39" s="76" t="s">
        <v>69</v>
      </c>
      <c r="B39" s="116">
        <v>1001995</v>
      </c>
      <c r="C39" s="75" t="s">
        <v>667</v>
      </c>
      <c r="D39" s="74" t="s">
        <v>18</v>
      </c>
      <c r="E39" s="74" t="s">
        <v>11</v>
      </c>
      <c r="F39" s="77">
        <v>34</v>
      </c>
    </row>
    <row r="40" spans="1:6" x14ac:dyDescent="0.25">
      <c r="A40" s="76" t="s">
        <v>69</v>
      </c>
      <c r="B40" s="116">
        <v>1001996</v>
      </c>
      <c r="C40" s="75" t="s">
        <v>669</v>
      </c>
      <c r="D40" s="74" t="s">
        <v>18</v>
      </c>
      <c r="E40" s="74" t="s">
        <v>11</v>
      </c>
      <c r="F40" s="77">
        <v>30</v>
      </c>
    </row>
    <row r="41" spans="1:6" x14ac:dyDescent="0.25">
      <c r="A41" s="76" t="s">
        <v>69</v>
      </c>
      <c r="B41" s="116">
        <v>1001997</v>
      </c>
      <c r="C41" s="75" t="s">
        <v>671</v>
      </c>
      <c r="D41" s="74" t="s">
        <v>18</v>
      </c>
      <c r="E41" s="74" t="s">
        <v>11</v>
      </c>
      <c r="F41" s="77">
        <v>24</v>
      </c>
    </row>
    <row r="42" spans="1:6" x14ac:dyDescent="0.25">
      <c r="A42" s="76" t="s">
        <v>69</v>
      </c>
      <c r="B42" s="116">
        <v>1001998</v>
      </c>
      <c r="C42" s="75" t="s">
        <v>661</v>
      </c>
      <c r="D42" s="74" t="s">
        <v>18</v>
      </c>
      <c r="E42" s="74" t="s">
        <v>47</v>
      </c>
      <c r="F42" s="77">
        <v>34</v>
      </c>
    </row>
    <row r="43" spans="1:6" x14ac:dyDescent="0.25">
      <c r="A43" s="76" t="s">
        <v>69</v>
      </c>
      <c r="B43" s="116">
        <v>1001999</v>
      </c>
      <c r="C43" s="75" t="s">
        <v>673</v>
      </c>
      <c r="D43" s="74" t="s">
        <v>18</v>
      </c>
      <c r="E43" s="74" t="s">
        <v>47</v>
      </c>
      <c r="F43" s="77">
        <v>36</v>
      </c>
    </row>
    <row r="44" spans="1:6" x14ac:dyDescent="0.25">
      <c r="A44" s="76" t="s">
        <v>69</v>
      </c>
      <c r="B44" s="116">
        <v>1006798</v>
      </c>
      <c r="C44" s="75" t="s">
        <v>663</v>
      </c>
      <c r="D44" s="74" t="s">
        <v>10</v>
      </c>
      <c r="E44" s="74" t="s">
        <v>57</v>
      </c>
      <c r="F44" s="77">
        <v>41</v>
      </c>
    </row>
    <row r="45" spans="1:6" x14ac:dyDescent="0.25">
      <c r="A45" s="76" t="s">
        <v>69</v>
      </c>
      <c r="B45" s="116">
        <v>1000878</v>
      </c>
      <c r="C45" s="75" t="s">
        <v>665</v>
      </c>
      <c r="D45" s="74" t="s">
        <v>10</v>
      </c>
      <c r="E45" s="74" t="s">
        <v>57</v>
      </c>
      <c r="F45" s="77">
        <v>12</v>
      </c>
    </row>
    <row r="46" spans="1:6" x14ac:dyDescent="0.25">
      <c r="A46" s="76" t="s">
        <v>69</v>
      </c>
      <c r="B46" s="116">
        <v>1002325</v>
      </c>
      <c r="C46" s="75" t="s">
        <v>675</v>
      </c>
      <c r="D46" s="74" t="s">
        <v>18</v>
      </c>
      <c r="E46" s="74" t="s">
        <v>57</v>
      </c>
      <c r="F46" s="77">
        <v>0</v>
      </c>
    </row>
    <row r="47" spans="1:6" x14ac:dyDescent="0.25">
      <c r="A47" s="76" t="s">
        <v>69</v>
      </c>
      <c r="B47" s="116">
        <v>1002319</v>
      </c>
      <c r="C47" s="75" t="s">
        <v>3021</v>
      </c>
      <c r="D47" s="74"/>
      <c r="E47" s="74" t="s">
        <v>57</v>
      </c>
      <c r="F47" s="77">
        <v>10</v>
      </c>
    </row>
    <row r="48" spans="1:6" x14ac:dyDescent="0.25">
      <c r="A48" s="76" t="s">
        <v>69</v>
      </c>
      <c r="B48" s="116">
        <v>1002318</v>
      </c>
      <c r="C48" s="75" t="s">
        <v>677</v>
      </c>
      <c r="D48" s="74" t="s">
        <v>10</v>
      </c>
      <c r="E48" s="74" t="s">
        <v>57</v>
      </c>
      <c r="F48" s="77">
        <v>5</v>
      </c>
    </row>
    <row r="49" spans="1:6" x14ac:dyDescent="0.25">
      <c r="A49" s="76" t="s">
        <v>69</v>
      </c>
      <c r="B49" s="116">
        <v>1002317</v>
      </c>
      <c r="C49" s="75" t="s">
        <v>3030</v>
      </c>
      <c r="D49" s="74"/>
      <c r="E49" s="74" t="s">
        <v>57</v>
      </c>
      <c r="F49" s="77">
        <v>24</v>
      </c>
    </row>
    <row r="50" spans="1:6" x14ac:dyDescent="0.25">
      <c r="A50" s="76" t="s">
        <v>69</v>
      </c>
      <c r="B50" s="116">
        <v>1002337</v>
      </c>
      <c r="C50" s="75" t="s">
        <v>2992</v>
      </c>
      <c r="D50" s="74" t="s">
        <v>18</v>
      </c>
      <c r="E50" s="74" t="s">
        <v>57</v>
      </c>
      <c r="F50" s="77">
        <v>47</v>
      </c>
    </row>
    <row r="51" spans="1:6" x14ac:dyDescent="0.25">
      <c r="A51" s="76" t="s">
        <v>69</v>
      </c>
      <c r="B51" s="116">
        <v>1002338</v>
      </c>
      <c r="C51" s="75" t="s">
        <v>3765</v>
      </c>
      <c r="D51" s="74"/>
      <c r="E51" s="74" t="s">
        <v>57</v>
      </c>
      <c r="F51" s="77">
        <v>36</v>
      </c>
    </row>
    <row r="52" spans="1:6" x14ac:dyDescent="0.25">
      <c r="A52" s="76" t="s">
        <v>69</v>
      </c>
      <c r="B52" s="116">
        <v>1002279</v>
      </c>
      <c r="C52" s="75" t="s">
        <v>3031</v>
      </c>
      <c r="D52" s="74" t="s">
        <v>18</v>
      </c>
      <c r="E52" s="74" t="s">
        <v>47</v>
      </c>
      <c r="F52" s="77">
        <v>44</v>
      </c>
    </row>
    <row r="53" spans="1:6" x14ac:dyDescent="0.25">
      <c r="A53" s="76" t="s">
        <v>69</v>
      </c>
      <c r="B53" s="116">
        <v>1002335</v>
      </c>
      <c r="C53" s="75" t="s">
        <v>3766</v>
      </c>
      <c r="D53" s="74"/>
      <c r="E53" s="74" t="s">
        <v>57</v>
      </c>
      <c r="F53" s="77">
        <v>24</v>
      </c>
    </row>
    <row r="54" spans="1:6" x14ac:dyDescent="0.25">
      <c r="A54" s="76" t="s">
        <v>69</v>
      </c>
      <c r="B54" s="116">
        <v>1002280</v>
      </c>
      <c r="C54" s="75" t="s">
        <v>3032</v>
      </c>
      <c r="D54" s="74" t="s">
        <v>18</v>
      </c>
      <c r="E54" s="74" t="s">
        <v>57</v>
      </c>
      <c r="F54" s="77">
        <v>103</v>
      </c>
    </row>
    <row r="55" spans="1:6" x14ac:dyDescent="0.25">
      <c r="A55" s="76" t="s">
        <v>69</v>
      </c>
      <c r="B55" s="116">
        <v>1002278</v>
      </c>
      <c r="C55" s="75" t="s">
        <v>2993</v>
      </c>
      <c r="D55" s="74" t="s">
        <v>18</v>
      </c>
      <c r="E55" s="74" t="s">
        <v>57</v>
      </c>
      <c r="F55" s="77">
        <v>22</v>
      </c>
    </row>
    <row r="56" spans="1:6" x14ac:dyDescent="0.25">
      <c r="A56" s="76" t="s">
        <v>69</v>
      </c>
      <c r="B56" s="116">
        <v>1006871</v>
      </c>
      <c r="C56" s="75" t="s">
        <v>3034</v>
      </c>
      <c r="D56" s="74"/>
      <c r="E56" s="74" t="s">
        <v>57</v>
      </c>
      <c r="F56" s="77">
        <v>5</v>
      </c>
    </row>
    <row r="57" spans="1:6" x14ac:dyDescent="0.25">
      <c r="A57" s="76" t="s">
        <v>69</v>
      </c>
      <c r="B57" s="116">
        <v>1002009</v>
      </c>
      <c r="C57" s="75" t="s">
        <v>3035</v>
      </c>
      <c r="D57" s="74" t="s">
        <v>18</v>
      </c>
      <c r="E57" s="74" t="s">
        <v>57</v>
      </c>
      <c r="F57" s="77">
        <v>14</v>
      </c>
    </row>
    <row r="58" spans="1:6" x14ac:dyDescent="0.25">
      <c r="A58" s="76" t="s">
        <v>69</v>
      </c>
      <c r="B58" s="116">
        <v>1002010</v>
      </c>
      <c r="C58" s="75" t="s">
        <v>3036</v>
      </c>
      <c r="D58" s="74" t="s">
        <v>18</v>
      </c>
      <c r="E58" s="74" t="s">
        <v>57</v>
      </c>
      <c r="F58" s="77">
        <v>10</v>
      </c>
    </row>
    <row r="59" spans="1:6" x14ac:dyDescent="0.25">
      <c r="A59" s="76" t="s">
        <v>69</v>
      </c>
      <c r="B59" s="116">
        <v>1002008</v>
      </c>
      <c r="C59" s="75" t="s">
        <v>3767</v>
      </c>
      <c r="D59" s="74" t="s">
        <v>18</v>
      </c>
      <c r="E59" s="74" t="s">
        <v>57</v>
      </c>
      <c r="F59" s="77">
        <v>8</v>
      </c>
    </row>
    <row r="60" spans="1:6" x14ac:dyDescent="0.25">
      <c r="A60" s="76" t="s">
        <v>69</v>
      </c>
      <c r="B60" s="116">
        <v>10015633</v>
      </c>
      <c r="C60" s="75" t="s">
        <v>3040</v>
      </c>
      <c r="D60" s="74" t="s">
        <v>18</v>
      </c>
      <c r="E60" s="74" t="s">
        <v>57</v>
      </c>
      <c r="F60" s="77">
        <v>0</v>
      </c>
    </row>
    <row r="61" spans="1:6" x14ac:dyDescent="0.25">
      <c r="A61" s="76" t="s">
        <v>69</v>
      </c>
      <c r="B61" s="116">
        <v>10015622</v>
      </c>
      <c r="C61" s="75" t="s">
        <v>3041</v>
      </c>
      <c r="D61" s="74"/>
      <c r="E61" s="74" t="s">
        <v>57</v>
      </c>
      <c r="F61" s="77">
        <v>0</v>
      </c>
    </row>
    <row r="62" spans="1:6" x14ac:dyDescent="0.25">
      <c r="A62" s="76" t="s">
        <v>69</v>
      </c>
      <c r="B62" s="116">
        <v>1001289</v>
      </c>
      <c r="C62" s="75" t="s">
        <v>517</v>
      </c>
      <c r="D62" s="74" t="s">
        <v>14</v>
      </c>
      <c r="E62" s="74" t="s">
        <v>11</v>
      </c>
      <c r="F62" s="77">
        <v>8</v>
      </c>
    </row>
    <row r="63" spans="1:6" x14ac:dyDescent="0.25">
      <c r="A63" s="76" t="s">
        <v>69</v>
      </c>
      <c r="B63" s="116">
        <v>1001302</v>
      </c>
      <c r="C63" s="75" t="s">
        <v>96</v>
      </c>
      <c r="D63" s="74" t="s">
        <v>10</v>
      </c>
      <c r="E63" s="74" t="s">
        <v>11</v>
      </c>
      <c r="F63" s="77">
        <v>22</v>
      </c>
    </row>
    <row r="64" spans="1:6" x14ac:dyDescent="0.25">
      <c r="A64" s="76" t="s">
        <v>69</v>
      </c>
      <c r="B64" s="116">
        <v>1001190</v>
      </c>
      <c r="C64" s="75" t="s">
        <v>97</v>
      </c>
      <c r="D64" s="74" t="s">
        <v>10</v>
      </c>
      <c r="E64" s="74" t="s">
        <v>11</v>
      </c>
      <c r="F64" s="77">
        <v>53</v>
      </c>
    </row>
    <row r="65" spans="1:6" x14ac:dyDescent="0.25">
      <c r="A65" s="76" t="s">
        <v>69</v>
      </c>
      <c r="B65" s="116">
        <v>1000495</v>
      </c>
      <c r="C65" s="75" t="s">
        <v>270</v>
      </c>
      <c r="D65" s="74" t="s">
        <v>10</v>
      </c>
      <c r="E65" s="74" t="s">
        <v>47</v>
      </c>
      <c r="F65" s="77">
        <v>43</v>
      </c>
    </row>
    <row r="66" spans="1:6" x14ac:dyDescent="0.25">
      <c r="A66" s="76" t="s">
        <v>69</v>
      </c>
      <c r="B66" s="116">
        <v>1000146</v>
      </c>
      <c r="C66" s="75" t="s">
        <v>99</v>
      </c>
      <c r="D66" s="74" t="s">
        <v>10</v>
      </c>
      <c r="E66" s="74" t="s">
        <v>11</v>
      </c>
      <c r="F66" s="77">
        <v>19</v>
      </c>
    </row>
    <row r="67" spans="1:6" x14ac:dyDescent="0.25">
      <c r="A67" s="76" t="s">
        <v>69</v>
      </c>
      <c r="B67" s="116">
        <v>1002188</v>
      </c>
      <c r="C67" s="75" t="s">
        <v>3042</v>
      </c>
      <c r="D67" s="74"/>
      <c r="E67" s="74" t="s">
        <v>57</v>
      </c>
      <c r="F67" s="77">
        <v>30</v>
      </c>
    </row>
    <row r="68" spans="1:6" x14ac:dyDescent="0.25">
      <c r="A68" s="76" t="s">
        <v>69</v>
      </c>
      <c r="B68" s="116">
        <v>1002341</v>
      </c>
      <c r="C68" s="75" t="s">
        <v>727</v>
      </c>
      <c r="D68" s="74" t="s">
        <v>18</v>
      </c>
      <c r="E68" s="74" t="s">
        <v>47</v>
      </c>
      <c r="F68" s="77">
        <v>53</v>
      </c>
    </row>
    <row r="69" spans="1:6" x14ac:dyDescent="0.25">
      <c r="A69" s="76" t="s">
        <v>69</v>
      </c>
      <c r="B69" s="116">
        <v>1002262</v>
      </c>
      <c r="C69" s="75" t="s">
        <v>518</v>
      </c>
      <c r="D69" s="74" t="s">
        <v>101</v>
      </c>
      <c r="E69" s="74" t="s">
        <v>57</v>
      </c>
      <c r="F69" s="77">
        <v>6</v>
      </c>
    </row>
    <row r="70" spans="1:6" x14ac:dyDescent="0.25">
      <c r="A70" s="76" t="s">
        <v>69</v>
      </c>
      <c r="B70" s="116">
        <v>1000204</v>
      </c>
      <c r="C70" s="75" t="s">
        <v>519</v>
      </c>
      <c r="D70" s="74" t="s">
        <v>10</v>
      </c>
      <c r="E70" s="74" t="s">
        <v>11</v>
      </c>
      <c r="F70" s="77">
        <v>0</v>
      </c>
    </row>
    <row r="71" spans="1:6" x14ac:dyDescent="0.25">
      <c r="A71" s="76" t="s">
        <v>69</v>
      </c>
      <c r="B71" s="116">
        <v>1000206</v>
      </c>
      <c r="C71" s="75" t="s">
        <v>102</v>
      </c>
      <c r="D71" s="74" t="s">
        <v>10</v>
      </c>
      <c r="E71" s="74" t="s">
        <v>11</v>
      </c>
      <c r="F71" s="77">
        <v>74</v>
      </c>
    </row>
    <row r="72" spans="1:6" x14ac:dyDescent="0.25">
      <c r="A72" s="76" t="s">
        <v>69</v>
      </c>
      <c r="B72" s="116">
        <v>1000208</v>
      </c>
      <c r="C72" s="75" t="s">
        <v>103</v>
      </c>
      <c r="D72" s="74" t="s">
        <v>14</v>
      </c>
      <c r="E72" s="74" t="s">
        <v>11</v>
      </c>
      <c r="F72" s="77">
        <v>150</v>
      </c>
    </row>
    <row r="73" spans="1:6" x14ac:dyDescent="0.25">
      <c r="A73" s="76" t="s">
        <v>69</v>
      </c>
      <c r="B73" s="116">
        <v>1000209</v>
      </c>
      <c r="C73" s="75" t="s">
        <v>742</v>
      </c>
      <c r="D73" s="74" t="s">
        <v>14</v>
      </c>
      <c r="E73" s="74" t="s">
        <v>47</v>
      </c>
      <c r="F73" s="77">
        <v>131</v>
      </c>
    </row>
    <row r="74" spans="1:6" x14ac:dyDescent="0.25">
      <c r="A74" s="76" t="s">
        <v>69</v>
      </c>
      <c r="B74" s="116">
        <v>1002030</v>
      </c>
      <c r="C74" s="75" t="s">
        <v>744</v>
      </c>
      <c r="D74" s="74" t="s">
        <v>10</v>
      </c>
      <c r="E74" s="74" t="s">
        <v>57</v>
      </c>
      <c r="F74" s="77">
        <v>19</v>
      </c>
    </row>
    <row r="75" spans="1:6" x14ac:dyDescent="0.25">
      <c r="A75" s="76" t="s">
        <v>69</v>
      </c>
      <c r="B75" s="116">
        <v>1001444</v>
      </c>
      <c r="C75" s="75" t="s">
        <v>3044</v>
      </c>
      <c r="D75" s="74" t="s">
        <v>14</v>
      </c>
      <c r="E75" s="74" t="s">
        <v>47</v>
      </c>
      <c r="F75" s="77">
        <v>0</v>
      </c>
    </row>
    <row r="76" spans="1:6" x14ac:dyDescent="0.25">
      <c r="A76" s="76" t="s">
        <v>69</v>
      </c>
      <c r="B76" s="116">
        <v>1006151</v>
      </c>
      <c r="C76" s="75" t="s">
        <v>275</v>
      </c>
      <c r="D76" s="74" t="s">
        <v>273</v>
      </c>
      <c r="E76" s="74" t="s">
        <v>11</v>
      </c>
      <c r="F76" s="77">
        <v>75</v>
      </c>
    </row>
    <row r="77" spans="1:6" x14ac:dyDescent="0.25">
      <c r="A77" s="76" t="s">
        <v>69</v>
      </c>
      <c r="B77" s="116">
        <v>1001854</v>
      </c>
      <c r="C77" s="75" t="s">
        <v>105</v>
      </c>
      <c r="D77" s="74" t="s">
        <v>10</v>
      </c>
      <c r="E77" s="74" t="s">
        <v>11</v>
      </c>
      <c r="F77" s="77">
        <v>0</v>
      </c>
    </row>
    <row r="78" spans="1:6" x14ac:dyDescent="0.25">
      <c r="A78" s="76" t="s">
        <v>69</v>
      </c>
      <c r="B78" s="116">
        <v>1001234</v>
      </c>
      <c r="C78" s="75" t="s">
        <v>748</v>
      </c>
      <c r="D78" s="74" t="s">
        <v>14</v>
      </c>
      <c r="E78" s="74" t="s">
        <v>47</v>
      </c>
      <c r="F78" s="77">
        <v>51</v>
      </c>
    </row>
    <row r="79" spans="1:6" x14ac:dyDescent="0.25">
      <c r="A79" s="76" t="s">
        <v>69</v>
      </c>
      <c r="B79" s="116">
        <v>1006134</v>
      </c>
      <c r="C79" s="75" t="s">
        <v>1090</v>
      </c>
      <c r="D79" s="74" t="s">
        <v>3771</v>
      </c>
      <c r="E79" s="74" t="s">
        <v>11</v>
      </c>
      <c r="F79" s="77">
        <v>48</v>
      </c>
    </row>
    <row r="80" spans="1:6" x14ac:dyDescent="0.25">
      <c r="A80" s="76" t="s">
        <v>69</v>
      </c>
      <c r="B80" s="116">
        <v>1001851</v>
      </c>
      <c r="C80" s="75" t="s">
        <v>180</v>
      </c>
      <c r="D80" s="74" t="s">
        <v>10</v>
      </c>
      <c r="E80" s="74" t="s">
        <v>11</v>
      </c>
      <c r="F80" s="77">
        <v>73</v>
      </c>
    </row>
    <row r="81" spans="1:6" x14ac:dyDescent="0.25">
      <c r="A81" s="76" t="s">
        <v>69</v>
      </c>
      <c r="B81" s="116">
        <v>1001855</v>
      </c>
      <c r="C81" s="75" t="s">
        <v>521</v>
      </c>
      <c r="D81" s="74" t="s">
        <v>10</v>
      </c>
      <c r="E81" s="74" t="s">
        <v>11</v>
      </c>
      <c r="F81" s="77">
        <v>43</v>
      </c>
    </row>
    <row r="82" spans="1:6" x14ac:dyDescent="0.25">
      <c r="A82" s="76" t="s">
        <v>69</v>
      </c>
      <c r="B82" s="116">
        <v>1000277</v>
      </c>
      <c r="C82" s="75" t="s">
        <v>182</v>
      </c>
      <c r="D82" s="74" t="s">
        <v>183</v>
      </c>
      <c r="E82" s="74" t="s">
        <v>11</v>
      </c>
      <c r="F82" s="77">
        <v>135</v>
      </c>
    </row>
    <row r="83" spans="1:6" x14ac:dyDescent="0.25">
      <c r="A83" s="76" t="s">
        <v>69</v>
      </c>
      <c r="B83" s="116">
        <v>1000261</v>
      </c>
      <c r="C83" s="75" t="s">
        <v>1111</v>
      </c>
      <c r="D83" s="74" t="s">
        <v>183</v>
      </c>
      <c r="E83" s="74" t="s">
        <v>47</v>
      </c>
      <c r="F83" s="77">
        <v>0</v>
      </c>
    </row>
    <row r="84" spans="1:6" x14ac:dyDescent="0.25">
      <c r="A84" s="76" t="s">
        <v>69</v>
      </c>
      <c r="B84" s="116">
        <v>1006179</v>
      </c>
      <c r="C84" s="75" t="s">
        <v>106</v>
      </c>
      <c r="D84" s="74" t="s">
        <v>18</v>
      </c>
      <c r="E84" s="74" t="s">
        <v>11</v>
      </c>
      <c r="F84" s="77">
        <v>87</v>
      </c>
    </row>
    <row r="85" spans="1:6" x14ac:dyDescent="0.25">
      <c r="A85" s="76" t="s">
        <v>69</v>
      </c>
      <c r="B85" s="116">
        <v>1002238</v>
      </c>
      <c r="C85" s="75" t="s">
        <v>109</v>
      </c>
      <c r="D85" s="74" t="s">
        <v>18</v>
      </c>
      <c r="E85" s="74" t="s">
        <v>57</v>
      </c>
      <c r="F85" s="77">
        <v>30</v>
      </c>
    </row>
    <row r="86" spans="1:6" x14ac:dyDescent="0.25">
      <c r="A86" s="76" t="s">
        <v>69</v>
      </c>
      <c r="B86" s="116">
        <v>1002239</v>
      </c>
      <c r="C86" s="75" t="s">
        <v>110</v>
      </c>
      <c r="D86" s="74" t="s">
        <v>18</v>
      </c>
      <c r="E86" s="74" t="s">
        <v>57</v>
      </c>
      <c r="F86" s="77">
        <v>12</v>
      </c>
    </row>
    <row r="87" spans="1:6" x14ac:dyDescent="0.25">
      <c r="A87" s="76" t="s">
        <v>69</v>
      </c>
      <c r="B87" s="116">
        <v>1002236</v>
      </c>
      <c r="C87" s="75" t="s">
        <v>284</v>
      </c>
      <c r="D87" s="74" t="s">
        <v>18</v>
      </c>
      <c r="E87" s="74" t="s">
        <v>47</v>
      </c>
      <c r="F87" s="77">
        <v>15</v>
      </c>
    </row>
    <row r="88" spans="1:6" x14ac:dyDescent="0.25">
      <c r="A88" s="76" t="s">
        <v>69</v>
      </c>
      <c r="B88" s="116">
        <v>1002237</v>
      </c>
      <c r="C88" s="75" t="s">
        <v>285</v>
      </c>
      <c r="D88" s="74" t="s">
        <v>18</v>
      </c>
      <c r="E88" s="74" t="s">
        <v>47</v>
      </c>
      <c r="F88" s="77">
        <v>22</v>
      </c>
    </row>
    <row r="89" spans="1:6" x14ac:dyDescent="0.25">
      <c r="A89" s="76" t="s">
        <v>69</v>
      </c>
      <c r="B89" s="116">
        <v>1002235</v>
      </c>
      <c r="C89" s="75" t="s">
        <v>3183</v>
      </c>
      <c r="D89" s="74" t="s">
        <v>18</v>
      </c>
      <c r="E89" s="74" t="s">
        <v>57</v>
      </c>
      <c r="F89" s="77">
        <v>0</v>
      </c>
    </row>
    <row r="90" spans="1:6" x14ac:dyDescent="0.25">
      <c r="A90" s="76" t="s">
        <v>69</v>
      </c>
      <c r="B90" s="116">
        <v>1001797</v>
      </c>
      <c r="C90" s="75" t="s">
        <v>3184</v>
      </c>
      <c r="D90" s="74"/>
      <c r="E90" s="74" t="s">
        <v>57</v>
      </c>
      <c r="F90" s="77">
        <v>0</v>
      </c>
    </row>
    <row r="91" spans="1:6" x14ac:dyDescent="0.25">
      <c r="A91" s="76" t="s">
        <v>69</v>
      </c>
      <c r="B91" s="116">
        <v>1001795</v>
      </c>
      <c r="C91" s="75" t="s">
        <v>3185</v>
      </c>
      <c r="D91" s="74" t="s">
        <v>14</v>
      </c>
      <c r="E91" s="74" t="s">
        <v>57</v>
      </c>
      <c r="F91" s="77">
        <v>0</v>
      </c>
    </row>
    <row r="92" spans="1:6" x14ac:dyDescent="0.25">
      <c r="A92" s="76" t="s">
        <v>69</v>
      </c>
      <c r="B92" s="116">
        <v>1001796</v>
      </c>
      <c r="C92" s="75" t="s">
        <v>3186</v>
      </c>
      <c r="D92" s="74"/>
      <c r="E92" s="74" t="s">
        <v>57</v>
      </c>
      <c r="F92" s="77">
        <v>0</v>
      </c>
    </row>
    <row r="93" spans="1:6" x14ac:dyDescent="0.25">
      <c r="A93" s="76" t="s">
        <v>69</v>
      </c>
      <c r="B93" s="116">
        <v>1001794</v>
      </c>
      <c r="C93" s="75" t="s">
        <v>3187</v>
      </c>
      <c r="D93" s="74"/>
      <c r="E93" s="74" t="s">
        <v>57</v>
      </c>
      <c r="F93" s="77">
        <v>0</v>
      </c>
    </row>
    <row r="94" spans="1:6" x14ac:dyDescent="0.25">
      <c r="A94" s="76" t="s">
        <v>69</v>
      </c>
      <c r="B94" s="116">
        <v>1001793</v>
      </c>
      <c r="C94" s="75" t="s">
        <v>3188</v>
      </c>
      <c r="D94" s="74"/>
      <c r="E94" s="74" t="s">
        <v>57</v>
      </c>
      <c r="F94" s="77">
        <v>0</v>
      </c>
    </row>
    <row r="95" spans="1:6" x14ac:dyDescent="0.25">
      <c r="A95" s="76" t="s">
        <v>69</v>
      </c>
      <c r="B95" s="116">
        <v>1000305</v>
      </c>
      <c r="C95" s="75" t="s">
        <v>111</v>
      </c>
      <c r="D95" s="74" t="s">
        <v>10</v>
      </c>
      <c r="E95" s="74" t="s">
        <v>11</v>
      </c>
      <c r="F95" s="77">
        <v>0</v>
      </c>
    </row>
    <row r="96" spans="1:6" x14ac:dyDescent="0.25">
      <c r="A96" s="76" t="s">
        <v>69</v>
      </c>
      <c r="B96" s="116">
        <v>1000319</v>
      </c>
      <c r="C96" s="75" t="s">
        <v>54</v>
      </c>
      <c r="D96" s="74" t="s">
        <v>14</v>
      </c>
      <c r="E96" s="74" t="s">
        <v>47</v>
      </c>
      <c r="F96" s="77">
        <v>0</v>
      </c>
    </row>
    <row r="97" spans="1:6" x14ac:dyDescent="0.25">
      <c r="A97" s="76" t="s">
        <v>69</v>
      </c>
      <c r="B97" s="116">
        <v>1000665</v>
      </c>
      <c r="C97" s="75" t="s">
        <v>113</v>
      </c>
      <c r="D97" s="74" t="s">
        <v>71</v>
      </c>
      <c r="E97" s="74" t="s">
        <v>11</v>
      </c>
      <c r="F97" s="77">
        <v>33</v>
      </c>
    </row>
    <row r="98" spans="1:6" x14ac:dyDescent="0.25">
      <c r="A98" s="76" t="s">
        <v>69</v>
      </c>
      <c r="B98" s="116">
        <v>1000327</v>
      </c>
      <c r="C98" s="75" t="s">
        <v>114</v>
      </c>
      <c r="D98" s="74" t="s">
        <v>71</v>
      </c>
      <c r="E98" s="74" t="s">
        <v>11</v>
      </c>
      <c r="F98" s="77">
        <v>70</v>
      </c>
    </row>
    <row r="99" spans="1:6" x14ac:dyDescent="0.25">
      <c r="A99" s="76" t="s">
        <v>69</v>
      </c>
      <c r="B99" s="116">
        <v>1006150</v>
      </c>
      <c r="C99" s="75" t="s">
        <v>115</v>
      </c>
      <c r="D99" s="74" t="s">
        <v>71</v>
      </c>
      <c r="E99" s="74" t="s">
        <v>11</v>
      </c>
      <c r="F99" s="77">
        <v>37</v>
      </c>
    </row>
    <row r="100" spans="1:6" x14ac:dyDescent="0.25">
      <c r="A100" s="76" t="s">
        <v>69</v>
      </c>
      <c r="B100" s="116">
        <v>1001199</v>
      </c>
      <c r="C100" s="75" t="s">
        <v>288</v>
      </c>
      <c r="D100" s="74" t="s">
        <v>71</v>
      </c>
      <c r="E100" s="74" t="s">
        <v>57</v>
      </c>
      <c r="F100" s="77">
        <v>43</v>
      </c>
    </row>
    <row r="101" spans="1:6" x14ac:dyDescent="0.25">
      <c r="A101" s="76" t="s">
        <v>69</v>
      </c>
      <c r="B101" s="116">
        <v>1000332</v>
      </c>
      <c r="C101" s="75" t="s">
        <v>184</v>
      </c>
      <c r="D101" s="74" t="s">
        <v>71</v>
      </c>
      <c r="E101" s="74" t="s">
        <v>47</v>
      </c>
      <c r="F101" s="77">
        <v>0</v>
      </c>
    </row>
    <row r="102" spans="1:6" x14ac:dyDescent="0.25">
      <c r="A102" s="76" t="s">
        <v>69</v>
      </c>
      <c r="B102" s="116">
        <v>1001863</v>
      </c>
      <c r="C102" s="75" t="s">
        <v>3768</v>
      </c>
      <c r="D102" s="74"/>
      <c r="E102" s="74" t="s">
        <v>57</v>
      </c>
      <c r="F102" s="77">
        <v>1</v>
      </c>
    </row>
    <row r="103" spans="1:6" x14ac:dyDescent="0.25">
      <c r="A103" s="76" t="s">
        <v>69</v>
      </c>
      <c r="B103" s="116">
        <v>1001586</v>
      </c>
      <c r="C103" s="75" t="s">
        <v>1181</v>
      </c>
      <c r="D103" s="74" t="s">
        <v>18</v>
      </c>
      <c r="E103" s="74" t="s">
        <v>47</v>
      </c>
      <c r="F103" s="77">
        <v>23</v>
      </c>
    </row>
    <row r="104" spans="1:6" x14ac:dyDescent="0.25">
      <c r="A104" s="76" t="s">
        <v>69</v>
      </c>
      <c r="B104" s="116">
        <v>1001852</v>
      </c>
      <c r="C104" s="75" t="s">
        <v>185</v>
      </c>
      <c r="D104" s="74" t="s">
        <v>10</v>
      </c>
      <c r="E104" s="74" t="s">
        <v>11</v>
      </c>
      <c r="F104" s="77">
        <v>171</v>
      </c>
    </row>
    <row r="105" spans="1:6" x14ac:dyDescent="0.25">
      <c r="A105" s="76" t="s">
        <v>69</v>
      </c>
      <c r="B105" s="116">
        <v>1001562</v>
      </c>
      <c r="C105" s="75" t="s">
        <v>1190</v>
      </c>
      <c r="D105" s="74" t="s">
        <v>18</v>
      </c>
      <c r="E105" s="74" t="s">
        <v>57</v>
      </c>
      <c r="F105" s="77">
        <v>103</v>
      </c>
    </row>
    <row r="106" spans="1:6" x14ac:dyDescent="0.25">
      <c r="A106" s="76" t="s">
        <v>69</v>
      </c>
      <c r="B106" s="116">
        <v>1000366</v>
      </c>
      <c r="C106" s="75" t="s">
        <v>117</v>
      </c>
      <c r="D106" s="74" t="s">
        <v>14</v>
      </c>
      <c r="E106" s="74" t="s">
        <v>11</v>
      </c>
      <c r="F106" s="77">
        <v>44</v>
      </c>
    </row>
    <row r="107" spans="1:6" x14ac:dyDescent="0.25">
      <c r="A107" s="76" t="s">
        <v>69</v>
      </c>
      <c r="B107" s="116">
        <v>1000367</v>
      </c>
      <c r="C107" s="75" t="s">
        <v>124</v>
      </c>
      <c r="D107" s="74" t="s">
        <v>14</v>
      </c>
      <c r="E107" s="74" t="s">
        <v>11</v>
      </c>
      <c r="F107" s="77">
        <v>34</v>
      </c>
    </row>
    <row r="108" spans="1:6" x14ac:dyDescent="0.25">
      <c r="A108" s="76" t="s">
        <v>69</v>
      </c>
      <c r="B108" s="116">
        <v>1000368</v>
      </c>
      <c r="C108" s="75" t="s">
        <v>186</v>
      </c>
      <c r="D108" s="74" t="s">
        <v>10</v>
      </c>
      <c r="E108" s="74" t="s">
        <v>11</v>
      </c>
      <c r="F108" s="77">
        <v>0</v>
      </c>
    </row>
    <row r="109" spans="1:6" x14ac:dyDescent="0.25">
      <c r="A109" s="76" t="s">
        <v>69</v>
      </c>
      <c r="B109" s="116">
        <v>1006136</v>
      </c>
      <c r="C109" s="75" t="s">
        <v>1787</v>
      </c>
      <c r="D109" s="74" t="s">
        <v>14</v>
      </c>
      <c r="E109" s="74" t="s">
        <v>47</v>
      </c>
      <c r="F109" s="77">
        <v>202</v>
      </c>
    </row>
    <row r="110" spans="1:6" x14ac:dyDescent="0.25">
      <c r="A110" s="76" t="s">
        <v>69</v>
      </c>
      <c r="B110" s="116">
        <v>1001991</v>
      </c>
      <c r="C110" s="75" t="s">
        <v>1211</v>
      </c>
      <c r="D110" s="74" t="s">
        <v>18</v>
      </c>
      <c r="E110" s="74" t="s">
        <v>11</v>
      </c>
      <c r="F110" s="77">
        <v>49</v>
      </c>
    </row>
    <row r="111" spans="1:6" x14ac:dyDescent="0.25">
      <c r="A111" s="76" t="s">
        <v>69</v>
      </c>
      <c r="B111" s="116">
        <v>1006808</v>
      </c>
      <c r="C111" s="75" t="s">
        <v>1203</v>
      </c>
      <c r="D111" s="74" t="s">
        <v>10</v>
      </c>
      <c r="E111" s="74" t="s">
        <v>47</v>
      </c>
      <c r="F111" s="77">
        <v>21</v>
      </c>
    </row>
    <row r="112" spans="1:6" x14ac:dyDescent="0.25">
      <c r="A112" s="76" t="s">
        <v>69</v>
      </c>
      <c r="B112" s="116">
        <v>1002180</v>
      </c>
      <c r="C112" s="75" t="s">
        <v>1205</v>
      </c>
      <c r="D112" s="74" t="s">
        <v>10</v>
      </c>
      <c r="E112" s="74" t="s">
        <v>57</v>
      </c>
      <c r="F112" s="77">
        <v>0</v>
      </c>
    </row>
    <row r="113" spans="1:6" x14ac:dyDescent="0.25">
      <c r="A113" s="76" t="s">
        <v>69</v>
      </c>
      <c r="B113" s="116">
        <v>1001988</v>
      </c>
      <c r="C113" s="75" t="s">
        <v>1213</v>
      </c>
      <c r="D113" s="74" t="s">
        <v>18</v>
      </c>
      <c r="E113" s="74" t="s">
        <v>11</v>
      </c>
      <c r="F113" s="77">
        <v>60</v>
      </c>
    </row>
    <row r="114" spans="1:6" x14ac:dyDescent="0.25">
      <c r="A114" s="76" t="s">
        <v>69</v>
      </c>
      <c r="B114" s="116">
        <v>1001989</v>
      </c>
      <c r="C114" s="75" t="s">
        <v>1215</v>
      </c>
      <c r="D114" s="74" t="s">
        <v>18</v>
      </c>
      <c r="E114" s="74" t="s">
        <v>11</v>
      </c>
      <c r="F114" s="77">
        <v>35</v>
      </c>
    </row>
    <row r="115" spans="1:6" x14ac:dyDescent="0.25">
      <c r="A115" s="76" t="s">
        <v>69</v>
      </c>
      <c r="B115" s="116">
        <v>1001987</v>
      </c>
      <c r="C115" s="75" t="s">
        <v>1217</v>
      </c>
      <c r="D115" s="74" t="s">
        <v>18</v>
      </c>
      <c r="E115" s="74" t="s">
        <v>11</v>
      </c>
      <c r="F115" s="77">
        <v>16</v>
      </c>
    </row>
    <row r="116" spans="1:6" x14ac:dyDescent="0.25">
      <c r="A116" s="76" t="s">
        <v>69</v>
      </c>
      <c r="B116" s="116">
        <v>1006826</v>
      </c>
      <c r="C116" s="75" t="s">
        <v>1219</v>
      </c>
      <c r="D116" s="74" t="s">
        <v>18</v>
      </c>
      <c r="E116" s="74" t="s">
        <v>47</v>
      </c>
      <c r="F116" s="77">
        <v>19</v>
      </c>
    </row>
    <row r="117" spans="1:6" x14ac:dyDescent="0.25">
      <c r="A117" s="76" t="s">
        <v>69</v>
      </c>
      <c r="B117" s="116">
        <v>1001990</v>
      </c>
      <c r="C117" s="75" t="s">
        <v>1221</v>
      </c>
      <c r="D117" s="74" t="s">
        <v>18</v>
      </c>
      <c r="E117" s="74" t="s">
        <v>57</v>
      </c>
      <c r="F117" s="77">
        <v>14</v>
      </c>
    </row>
    <row r="118" spans="1:6" x14ac:dyDescent="0.25">
      <c r="A118" s="76" t="s">
        <v>69</v>
      </c>
      <c r="B118" s="116">
        <v>1000421</v>
      </c>
      <c r="C118" s="75" t="s">
        <v>292</v>
      </c>
      <c r="D118" s="74" t="s">
        <v>14</v>
      </c>
      <c r="E118" s="74" t="s">
        <v>11</v>
      </c>
      <c r="F118" s="77">
        <v>62</v>
      </c>
    </row>
    <row r="119" spans="1:6" x14ac:dyDescent="0.25">
      <c r="A119" s="76" t="s">
        <v>69</v>
      </c>
      <c r="B119" s="116">
        <v>1000583</v>
      </c>
      <c r="C119" s="75" t="s">
        <v>121</v>
      </c>
      <c r="D119" s="74" t="s">
        <v>14</v>
      </c>
      <c r="E119" s="74" t="s">
        <v>47</v>
      </c>
      <c r="F119" s="77">
        <v>56</v>
      </c>
    </row>
    <row r="120" spans="1:6" x14ac:dyDescent="0.25">
      <c r="A120" s="76" t="s">
        <v>69</v>
      </c>
      <c r="B120" s="116">
        <v>1006841</v>
      </c>
      <c r="C120" s="75" t="s">
        <v>2645</v>
      </c>
      <c r="D120" s="74" t="s">
        <v>18</v>
      </c>
      <c r="E120" s="74" t="s">
        <v>57</v>
      </c>
      <c r="F120" s="77">
        <v>20</v>
      </c>
    </row>
    <row r="121" spans="1:6" x14ac:dyDescent="0.25">
      <c r="A121" s="76" t="s">
        <v>69</v>
      </c>
      <c r="B121" s="116">
        <v>1002234</v>
      </c>
      <c r="C121" s="75" t="s">
        <v>3270</v>
      </c>
      <c r="D121" s="74" t="s">
        <v>71</v>
      </c>
      <c r="E121" s="74" t="s">
        <v>57</v>
      </c>
      <c r="F121" s="77">
        <v>38</v>
      </c>
    </row>
    <row r="122" spans="1:6" x14ac:dyDescent="0.25">
      <c r="A122" s="76" t="s">
        <v>69</v>
      </c>
      <c r="B122" s="116">
        <v>1001168</v>
      </c>
      <c r="C122" s="75" t="s">
        <v>3271</v>
      </c>
      <c r="D122" s="74" t="s">
        <v>71</v>
      </c>
      <c r="E122" s="74" t="s">
        <v>47</v>
      </c>
      <c r="F122" s="77">
        <v>20</v>
      </c>
    </row>
    <row r="123" spans="1:6" x14ac:dyDescent="0.25">
      <c r="A123" s="76" t="s">
        <v>69</v>
      </c>
      <c r="B123" s="116">
        <v>1000648</v>
      </c>
      <c r="C123" s="75" t="s">
        <v>1758</v>
      </c>
      <c r="D123" s="74" t="s">
        <v>14</v>
      </c>
      <c r="E123" s="74" t="s">
        <v>11</v>
      </c>
      <c r="F123" s="77">
        <v>143</v>
      </c>
    </row>
    <row r="124" spans="1:6" x14ac:dyDescent="0.25">
      <c r="A124" s="76" t="s">
        <v>69</v>
      </c>
      <c r="B124" s="116">
        <v>1000995</v>
      </c>
      <c r="C124" s="75" t="s">
        <v>530</v>
      </c>
      <c r="D124" s="74" t="s">
        <v>14</v>
      </c>
      <c r="E124" s="74" t="s">
        <v>11</v>
      </c>
      <c r="F124" s="77">
        <v>111</v>
      </c>
    </row>
    <row r="125" spans="1:6" x14ac:dyDescent="0.25">
      <c r="A125" s="81" t="s">
        <v>69</v>
      </c>
      <c r="B125" s="117">
        <v>1001853</v>
      </c>
      <c r="C125" s="83" t="s">
        <v>531</v>
      </c>
      <c r="D125" s="82" t="s">
        <v>10</v>
      </c>
      <c r="E125" s="82" t="s">
        <v>11</v>
      </c>
      <c r="F125" s="84">
        <v>92</v>
      </c>
    </row>
    <row r="126" spans="1:6" x14ac:dyDescent="0.25">
      <c r="A126" s="102" t="s">
        <v>301</v>
      </c>
      <c r="B126" s="118">
        <v>1001663</v>
      </c>
      <c r="C126" s="113" t="s">
        <v>129</v>
      </c>
      <c r="D126" s="112" t="s">
        <v>18</v>
      </c>
      <c r="E126" s="112" t="s">
        <v>47</v>
      </c>
      <c r="F126" s="71">
        <v>83</v>
      </c>
    </row>
    <row r="127" spans="1:6" x14ac:dyDescent="0.25">
      <c r="A127" s="102" t="s">
        <v>301</v>
      </c>
      <c r="B127" s="118">
        <v>1000021</v>
      </c>
      <c r="C127" s="113" t="s">
        <v>376</v>
      </c>
      <c r="D127" s="112" t="s">
        <v>10</v>
      </c>
      <c r="E127" s="112" t="s">
        <v>11</v>
      </c>
      <c r="F127" s="71">
        <v>0</v>
      </c>
    </row>
    <row r="128" spans="1:6" x14ac:dyDescent="0.25">
      <c r="A128" s="102" t="s">
        <v>301</v>
      </c>
      <c r="B128" s="118">
        <v>1001719</v>
      </c>
      <c r="C128" s="113" t="s">
        <v>3820</v>
      </c>
      <c r="D128" s="112" t="s">
        <v>10</v>
      </c>
      <c r="E128" s="112" t="s">
        <v>11</v>
      </c>
      <c r="F128" s="71">
        <v>7</v>
      </c>
    </row>
    <row r="129" spans="1:6" x14ac:dyDescent="0.25">
      <c r="A129" s="102" t="s">
        <v>301</v>
      </c>
      <c r="B129" s="118">
        <v>1000032</v>
      </c>
      <c r="C129" s="113" t="s">
        <v>9</v>
      </c>
      <c r="D129" s="112" t="s">
        <v>10</v>
      </c>
      <c r="E129" s="112" t="s">
        <v>11</v>
      </c>
      <c r="F129" s="71">
        <v>25</v>
      </c>
    </row>
    <row r="130" spans="1:6" x14ac:dyDescent="0.25">
      <c r="A130" s="102" t="s">
        <v>301</v>
      </c>
      <c r="B130" s="118">
        <v>1000033</v>
      </c>
      <c r="C130" s="113" t="s">
        <v>12</v>
      </c>
      <c r="D130" s="112" t="s">
        <v>10</v>
      </c>
      <c r="E130" s="112" t="s">
        <v>11</v>
      </c>
      <c r="F130" s="71">
        <v>4</v>
      </c>
    </row>
    <row r="131" spans="1:6" x14ac:dyDescent="0.25">
      <c r="A131" s="102" t="s">
        <v>301</v>
      </c>
      <c r="B131" s="118">
        <v>1001306</v>
      </c>
      <c r="C131" s="113" t="s">
        <v>13</v>
      </c>
      <c r="D131" s="112" t="s">
        <v>14</v>
      </c>
      <c r="E131" s="112" t="s">
        <v>11</v>
      </c>
      <c r="F131" s="71">
        <v>65</v>
      </c>
    </row>
    <row r="132" spans="1:6" x14ac:dyDescent="0.25">
      <c r="A132" s="102" t="s">
        <v>301</v>
      </c>
      <c r="B132" s="118">
        <v>1000035</v>
      </c>
      <c r="C132" s="113" t="s">
        <v>381</v>
      </c>
      <c r="D132" s="112" t="s">
        <v>18</v>
      </c>
      <c r="E132" s="112" t="s">
        <v>57</v>
      </c>
      <c r="F132" s="71">
        <v>39</v>
      </c>
    </row>
    <row r="133" spans="1:6" x14ac:dyDescent="0.25">
      <c r="A133" s="102" t="s">
        <v>301</v>
      </c>
      <c r="B133" s="118">
        <v>1000036</v>
      </c>
      <c r="C133" s="113" t="s">
        <v>15</v>
      </c>
      <c r="D133" s="112" t="s">
        <v>10</v>
      </c>
      <c r="E133" s="112" t="s">
        <v>47</v>
      </c>
      <c r="F133" s="71">
        <v>49</v>
      </c>
    </row>
    <row r="134" spans="1:6" x14ac:dyDescent="0.25">
      <c r="A134" s="102" t="s">
        <v>301</v>
      </c>
      <c r="B134" s="118">
        <v>1000037</v>
      </c>
      <c r="C134" s="113" t="s">
        <v>46</v>
      </c>
      <c r="D134" s="112" t="s">
        <v>10</v>
      </c>
      <c r="E134" s="112" t="s">
        <v>11</v>
      </c>
      <c r="F134" s="71">
        <v>57</v>
      </c>
    </row>
    <row r="135" spans="1:6" x14ac:dyDescent="0.25">
      <c r="A135" s="102" t="s">
        <v>301</v>
      </c>
      <c r="B135" s="118">
        <v>1001588</v>
      </c>
      <c r="C135" s="113" t="s">
        <v>557</v>
      </c>
      <c r="D135" s="112"/>
      <c r="E135" s="112"/>
      <c r="F135" s="71">
        <v>1</v>
      </c>
    </row>
    <row r="136" spans="1:6" x14ac:dyDescent="0.25">
      <c r="A136" s="102" t="s">
        <v>301</v>
      </c>
      <c r="B136" s="118">
        <v>1000039</v>
      </c>
      <c r="C136" s="113" t="s">
        <v>16</v>
      </c>
      <c r="D136" s="112" t="s">
        <v>10</v>
      </c>
      <c r="E136" s="112" t="s">
        <v>11</v>
      </c>
      <c r="F136" s="71">
        <v>87</v>
      </c>
    </row>
    <row r="137" spans="1:6" x14ac:dyDescent="0.25">
      <c r="A137" s="102" t="s">
        <v>301</v>
      </c>
      <c r="B137" s="118">
        <v>1001455</v>
      </c>
      <c r="C137" s="113" t="s">
        <v>17</v>
      </c>
      <c r="D137" s="112" t="s">
        <v>18</v>
      </c>
      <c r="E137" s="112" t="s">
        <v>47</v>
      </c>
      <c r="F137" s="71">
        <v>194</v>
      </c>
    </row>
    <row r="138" spans="1:6" x14ac:dyDescent="0.25">
      <c r="A138" s="102" t="s">
        <v>301</v>
      </c>
      <c r="B138" s="118">
        <v>1000041</v>
      </c>
      <c r="C138" s="113" t="s">
        <v>1902</v>
      </c>
      <c r="D138" s="112"/>
      <c r="E138" s="112"/>
      <c r="F138" s="71">
        <v>9</v>
      </c>
    </row>
    <row r="139" spans="1:6" x14ac:dyDescent="0.25">
      <c r="A139" s="102" t="s">
        <v>301</v>
      </c>
      <c r="B139" s="118">
        <v>1000048</v>
      </c>
      <c r="C139" s="113" t="s">
        <v>19</v>
      </c>
      <c r="D139" s="112" t="s">
        <v>10</v>
      </c>
      <c r="E139" s="112" t="s">
        <v>11</v>
      </c>
      <c r="F139" s="71">
        <v>88</v>
      </c>
    </row>
    <row r="140" spans="1:6" x14ac:dyDescent="0.25">
      <c r="A140" s="102" t="s">
        <v>301</v>
      </c>
      <c r="B140" s="118">
        <v>1000049</v>
      </c>
      <c r="C140" s="113" t="s">
        <v>48</v>
      </c>
      <c r="D140" s="112" t="s">
        <v>10</v>
      </c>
      <c r="E140" s="112" t="s">
        <v>11</v>
      </c>
      <c r="F140" s="71">
        <v>7</v>
      </c>
    </row>
    <row r="141" spans="1:6" x14ac:dyDescent="0.25">
      <c r="A141" s="102" t="s">
        <v>301</v>
      </c>
      <c r="B141" s="118">
        <v>1001110</v>
      </c>
      <c r="C141" s="113" t="s">
        <v>386</v>
      </c>
      <c r="D141" s="112" t="s">
        <v>10</v>
      </c>
      <c r="E141" s="112" t="s">
        <v>11</v>
      </c>
      <c r="F141" s="71">
        <v>1</v>
      </c>
    </row>
    <row r="142" spans="1:6" x14ac:dyDescent="0.25">
      <c r="A142" s="102" t="s">
        <v>301</v>
      </c>
      <c r="B142" s="118">
        <v>1000657</v>
      </c>
      <c r="C142" s="113" t="s">
        <v>387</v>
      </c>
      <c r="D142" s="112" t="s">
        <v>10</v>
      </c>
      <c r="E142" s="112" t="s">
        <v>57</v>
      </c>
      <c r="F142" s="71">
        <v>1</v>
      </c>
    </row>
    <row r="143" spans="1:6" x14ac:dyDescent="0.25">
      <c r="A143" s="102" t="s">
        <v>301</v>
      </c>
      <c r="B143" s="118">
        <v>1000060</v>
      </c>
      <c r="C143" s="113" t="s">
        <v>130</v>
      </c>
      <c r="D143" s="112" t="s">
        <v>10</v>
      </c>
      <c r="E143" s="112" t="s">
        <v>57</v>
      </c>
      <c r="F143" s="71">
        <v>62</v>
      </c>
    </row>
    <row r="144" spans="1:6" x14ac:dyDescent="0.25">
      <c r="A144" s="102" t="s">
        <v>301</v>
      </c>
      <c r="B144" s="118" t="s">
        <v>1921</v>
      </c>
      <c r="C144" s="113" t="s">
        <v>1922</v>
      </c>
      <c r="D144" s="112"/>
      <c r="E144" s="112"/>
      <c r="F144" s="71">
        <v>2</v>
      </c>
    </row>
    <row r="145" spans="1:6" x14ac:dyDescent="0.25">
      <c r="A145" s="102" t="s">
        <v>301</v>
      </c>
      <c r="B145" s="118">
        <v>1001262</v>
      </c>
      <c r="C145" s="113" t="s">
        <v>388</v>
      </c>
      <c r="D145" s="112" t="s">
        <v>14</v>
      </c>
      <c r="E145" s="112" t="s">
        <v>57</v>
      </c>
      <c r="F145" s="71">
        <v>1</v>
      </c>
    </row>
    <row r="146" spans="1:6" x14ac:dyDescent="0.25">
      <c r="A146" s="102" t="s">
        <v>301</v>
      </c>
      <c r="B146" s="118">
        <v>1001872</v>
      </c>
      <c r="C146" s="113" t="s">
        <v>565</v>
      </c>
      <c r="D146" s="112"/>
      <c r="E146" s="112"/>
      <c r="F146" s="71">
        <v>1</v>
      </c>
    </row>
    <row r="147" spans="1:6" x14ac:dyDescent="0.25">
      <c r="A147" s="102" t="s">
        <v>301</v>
      </c>
      <c r="B147" s="118">
        <v>1002050</v>
      </c>
      <c r="C147" s="113" t="s">
        <v>1924</v>
      </c>
      <c r="D147" s="112" t="s">
        <v>18</v>
      </c>
      <c r="E147" s="112" t="s">
        <v>57</v>
      </c>
      <c r="F147" s="71">
        <v>5</v>
      </c>
    </row>
    <row r="148" spans="1:6" x14ac:dyDescent="0.25">
      <c r="A148" s="102" t="s">
        <v>301</v>
      </c>
      <c r="B148" s="118">
        <v>1002051</v>
      </c>
      <c r="C148" s="113" t="s">
        <v>1925</v>
      </c>
      <c r="D148" s="112"/>
      <c r="E148" s="112"/>
      <c r="F148" s="71">
        <v>0</v>
      </c>
    </row>
    <row r="149" spans="1:6" x14ac:dyDescent="0.25">
      <c r="A149" s="102" t="s">
        <v>301</v>
      </c>
      <c r="B149" s="118">
        <v>1000065</v>
      </c>
      <c r="C149" s="113" t="s">
        <v>131</v>
      </c>
      <c r="D149" s="112" t="s">
        <v>10</v>
      </c>
      <c r="E149" s="112" t="s">
        <v>11</v>
      </c>
      <c r="F149" s="71">
        <v>58</v>
      </c>
    </row>
    <row r="150" spans="1:6" x14ac:dyDescent="0.25">
      <c r="A150" s="102" t="s">
        <v>301</v>
      </c>
      <c r="B150" s="118">
        <v>1000814</v>
      </c>
      <c r="C150" s="113" t="s">
        <v>605</v>
      </c>
      <c r="D150" s="112"/>
      <c r="E150" s="112" t="s">
        <v>57</v>
      </c>
      <c r="F150" s="71">
        <v>72</v>
      </c>
    </row>
    <row r="151" spans="1:6" x14ac:dyDescent="0.25">
      <c r="A151" s="102" t="s">
        <v>301</v>
      </c>
      <c r="B151" s="118">
        <v>1002284</v>
      </c>
      <c r="C151" s="113" t="s">
        <v>616</v>
      </c>
      <c r="D151" s="112" t="s">
        <v>18</v>
      </c>
      <c r="E151" s="112" t="s">
        <v>57</v>
      </c>
      <c r="F151" s="71">
        <v>31</v>
      </c>
    </row>
    <row r="152" spans="1:6" x14ac:dyDescent="0.25">
      <c r="A152" s="102" t="s">
        <v>301</v>
      </c>
      <c r="B152" s="118">
        <v>1001456</v>
      </c>
      <c r="C152" s="113" t="s">
        <v>618</v>
      </c>
      <c r="D152" s="112" t="s">
        <v>18</v>
      </c>
      <c r="E152" s="112" t="s">
        <v>57</v>
      </c>
      <c r="F152" s="71">
        <v>53</v>
      </c>
    </row>
    <row r="153" spans="1:6" x14ac:dyDescent="0.25">
      <c r="A153" s="102" t="s">
        <v>301</v>
      </c>
      <c r="B153" s="118">
        <v>1001686</v>
      </c>
      <c r="C153" s="113" t="s">
        <v>392</v>
      </c>
      <c r="D153" s="112" t="s">
        <v>18</v>
      </c>
      <c r="E153" s="112" t="s">
        <v>57</v>
      </c>
      <c r="F153" s="71">
        <v>16</v>
      </c>
    </row>
    <row r="154" spans="1:6" x14ac:dyDescent="0.25">
      <c r="A154" s="102" t="s">
        <v>301</v>
      </c>
      <c r="B154" s="118">
        <v>1001680</v>
      </c>
      <c r="C154" s="113" t="s">
        <v>135</v>
      </c>
      <c r="D154" s="112" t="s">
        <v>10</v>
      </c>
      <c r="E154" s="112" t="s">
        <v>11</v>
      </c>
      <c r="F154" s="71">
        <v>58</v>
      </c>
    </row>
    <row r="155" spans="1:6" x14ac:dyDescent="0.25">
      <c r="A155" s="102" t="s">
        <v>301</v>
      </c>
      <c r="B155" s="118">
        <v>1001941</v>
      </c>
      <c r="C155" s="113" t="s">
        <v>58</v>
      </c>
      <c r="D155" s="112" t="s">
        <v>59</v>
      </c>
      <c r="E155" s="112" t="s">
        <v>47</v>
      </c>
      <c r="F155" s="71">
        <v>20</v>
      </c>
    </row>
    <row r="156" spans="1:6" x14ac:dyDescent="0.25">
      <c r="A156" s="102" t="s">
        <v>301</v>
      </c>
      <c r="B156" s="118">
        <v>1001976</v>
      </c>
      <c r="C156" s="113" t="s">
        <v>3821</v>
      </c>
      <c r="D156" s="112"/>
      <c r="E156" s="112"/>
      <c r="F156" s="71">
        <v>15</v>
      </c>
    </row>
    <row r="157" spans="1:6" x14ac:dyDescent="0.25">
      <c r="A157" s="102" t="s">
        <v>301</v>
      </c>
      <c r="B157" s="118">
        <v>1001975</v>
      </c>
      <c r="C157" s="113" t="s">
        <v>3822</v>
      </c>
      <c r="D157" s="112"/>
      <c r="E157" s="112"/>
      <c r="F157" s="71">
        <v>15</v>
      </c>
    </row>
    <row r="158" spans="1:6" x14ac:dyDescent="0.25">
      <c r="A158" s="102" t="s">
        <v>301</v>
      </c>
      <c r="B158" s="118">
        <v>1002095</v>
      </c>
      <c r="C158" s="113" t="s">
        <v>633</v>
      </c>
      <c r="D158" s="112"/>
      <c r="E158" s="112"/>
      <c r="F158" s="71">
        <v>15</v>
      </c>
    </row>
    <row r="159" spans="1:6" x14ac:dyDescent="0.25">
      <c r="A159" s="102" t="s">
        <v>301</v>
      </c>
      <c r="B159" s="118">
        <v>1001704</v>
      </c>
      <c r="C159" s="113" t="s">
        <v>136</v>
      </c>
      <c r="D159" s="112" t="s">
        <v>18</v>
      </c>
      <c r="E159" s="112" t="s">
        <v>11</v>
      </c>
      <c r="F159" s="71">
        <v>10</v>
      </c>
    </row>
    <row r="160" spans="1:6" x14ac:dyDescent="0.25">
      <c r="A160" s="102" t="s">
        <v>301</v>
      </c>
      <c r="B160" s="118">
        <v>1000089</v>
      </c>
      <c r="C160" s="113" t="s">
        <v>60</v>
      </c>
      <c r="D160" s="112" t="s">
        <v>10</v>
      </c>
      <c r="E160" s="112" t="s">
        <v>47</v>
      </c>
      <c r="F160" s="71">
        <v>39</v>
      </c>
    </row>
    <row r="161" spans="1:6" x14ac:dyDescent="0.25">
      <c r="A161" s="102" t="s">
        <v>301</v>
      </c>
      <c r="B161" s="118">
        <v>1001703</v>
      </c>
      <c r="C161" s="113" t="s">
        <v>137</v>
      </c>
      <c r="D161" s="112" t="s">
        <v>18</v>
      </c>
      <c r="E161" s="112" t="s">
        <v>57</v>
      </c>
      <c r="F161" s="71">
        <v>15</v>
      </c>
    </row>
    <row r="162" spans="1:6" x14ac:dyDescent="0.25">
      <c r="A162" s="102" t="s">
        <v>301</v>
      </c>
      <c r="B162" s="118">
        <v>1000095</v>
      </c>
      <c r="C162" s="113" t="s">
        <v>643</v>
      </c>
      <c r="D162" s="112" t="s">
        <v>14</v>
      </c>
      <c r="E162" s="112" t="s">
        <v>11</v>
      </c>
      <c r="F162" s="71">
        <v>46</v>
      </c>
    </row>
    <row r="163" spans="1:6" x14ac:dyDescent="0.25">
      <c r="A163" s="102" t="s">
        <v>301</v>
      </c>
      <c r="B163" s="118">
        <v>1001927</v>
      </c>
      <c r="C163" s="113" t="s">
        <v>2005</v>
      </c>
      <c r="D163" s="112"/>
      <c r="E163" s="112"/>
      <c r="F163" s="71">
        <v>1</v>
      </c>
    </row>
    <row r="164" spans="1:6" x14ac:dyDescent="0.25">
      <c r="A164" s="102" t="s">
        <v>301</v>
      </c>
      <c r="B164" s="118">
        <v>30001277</v>
      </c>
      <c r="C164" s="113" t="s">
        <v>2002</v>
      </c>
      <c r="D164" s="112"/>
      <c r="E164" s="112"/>
      <c r="F164" s="71">
        <v>22</v>
      </c>
    </row>
    <row r="165" spans="1:6" x14ac:dyDescent="0.25">
      <c r="A165" s="102" t="s">
        <v>301</v>
      </c>
      <c r="B165" s="118">
        <v>1000109</v>
      </c>
      <c r="C165" s="113" t="s">
        <v>1790</v>
      </c>
      <c r="D165" s="112"/>
      <c r="E165" s="112" t="s">
        <v>57</v>
      </c>
      <c r="F165" s="71">
        <v>43</v>
      </c>
    </row>
    <row r="166" spans="1:6" x14ac:dyDescent="0.25">
      <c r="A166" s="102" t="s">
        <v>301</v>
      </c>
      <c r="B166" s="118">
        <v>1001959</v>
      </c>
      <c r="C166" s="113" t="s">
        <v>2008</v>
      </c>
      <c r="D166" s="112"/>
      <c r="E166" s="112"/>
      <c r="F166" s="71">
        <v>66</v>
      </c>
    </row>
    <row r="167" spans="1:6" x14ac:dyDescent="0.25">
      <c r="A167" s="102" t="s">
        <v>301</v>
      </c>
      <c r="B167" s="118">
        <v>1001667</v>
      </c>
      <c r="C167" s="113" t="s">
        <v>26</v>
      </c>
      <c r="D167" s="112" t="s">
        <v>18</v>
      </c>
      <c r="E167" s="112" t="s">
        <v>47</v>
      </c>
      <c r="F167" s="71">
        <v>43</v>
      </c>
    </row>
    <row r="168" spans="1:6" x14ac:dyDescent="0.25">
      <c r="A168" s="102" t="s">
        <v>301</v>
      </c>
      <c r="B168" s="118">
        <v>1001122</v>
      </c>
      <c r="C168" s="113" t="s">
        <v>140</v>
      </c>
      <c r="D168" s="112" t="s">
        <v>10</v>
      </c>
      <c r="E168" s="112" t="s">
        <v>11</v>
      </c>
      <c r="F168" s="71">
        <v>29</v>
      </c>
    </row>
    <row r="169" spans="1:6" x14ac:dyDescent="0.25">
      <c r="A169" s="102" t="s">
        <v>301</v>
      </c>
      <c r="B169" s="118">
        <v>1000137</v>
      </c>
      <c r="C169" s="113" t="s">
        <v>395</v>
      </c>
      <c r="D169" s="112" t="s">
        <v>14</v>
      </c>
      <c r="E169" s="112" t="s">
        <v>57</v>
      </c>
      <c r="F169" s="71">
        <v>13</v>
      </c>
    </row>
    <row r="170" spans="1:6" x14ac:dyDescent="0.25">
      <c r="A170" s="102" t="s">
        <v>301</v>
      </c>
      <c r="B170" s="118">
        <v>1000149</v>
      </c>
      <c r="C170" s="113" t="s">
        <v>397</v>
      </c>
      <c r="D170" s="112" t="s">
        <v>14</v>
      </c>
      <c r="E170" s="112" t="s">
        <v>57</v>
      </c>
      <c r="F170" s="71">
        <v>1</v>
      </c>
    </row>
    <row r="171" spans="1:6" x14ac:dyDescent="0.25">
      <c r="A171" s="102" t="s">
        <v>301</v>
      </c>
      <c r="B171" s="118">
        <v>1001939</v>
      </c>
      <c r="C171" s="113" t="s">
        <v>50</v>
      </c>
      <c r="D171" s="112" t="s">
        <v>18</v>
      </c>
      <c r="E171" s="112" t="s">
        <v>57</v>
      </c>
      <c r="F171" s="71">
        <v>51</v>
      </c>
    </row>
    <row r="172" spans="1:6" x14ac:dyDescent="0.25">
      <c r="A172" s="102" t="s">
        <v>301</v>
      </c>
      <c r="B172" s="118">
        <v>1000838</v>
      </c>
      <c r="C172" s="113" t="s">
        <v>411</v>
      </c>
      <c r="D172" s="112" t="s">
        <v>18</v>
      </c>
      <c r="E172" s="112" t="s">
        <v>47</v>
      </c>
      <c r="F172" s="71">
        <v>0</v>
      </c>
    </row>
    <row r="173" spans="1:6" x14ac:dyDescent="0.25">
      <c r="A173" s="102" t="s">
        <v>301</v>
      </c>
      <c r="B173" s="118">
        <v>1000167</v>
      </c>
      <c r="C173" s="113" t="s">
        <v>412</v>
      </c>
      <c r="D173" s="112" t="s">
        <v>10</v>
      </c>
      <c r="E173" s="112" t="s">
        <v>11</v>
      </c>
      <c r="F173" s="71">
        <v>57</v>
      </c>
    </row>
    <row r="174" spans="1:6" x14ac:dyDescent="0.25">
      <c r="A174" s="102" t="s">
        <v>301</v>
      </c>
      <c r="B174" s="118">
        <v>1000837</v>
      </c>
      <c r="C174" s="113" t="s">
        <v>413</v>
      </c>
      <c r="D174" s="112" t="s">
        <v>14</v>
      </c>
      <c r="E174" s="112" t="s">
        <v>47</v>
      </c>
      <c r="F174" s="71">
        <v>34</v>
      </c>
    </row>
    <row r="175" spans="1:6" x14ac:dyDescent="0.25">
      <c r="A175" s="102" t="s">
        <v>301</v>
      </c>
      <c r="B175" s="118">
        <v>1000170</v>
      </c>
      <c r="C175" s="113" t="s">
        <v>61</v>
      </c>
      <c r="D175" s="112" t="s">
        <v>10</v>
      </c>
      <c r="E175" s="112" t="s">
        <v>57</v>
      </c>
      <c r="F175" s="71">
        <v>20</v>
      </c>
    </row>
    <row r="176" spans="1:6" x14ac:dyDescent="0.25">
      <c r="A176" s="102" t="s">
        <v>301</v>
      </c>
      <c r="B176" s="118">
        <v>1000171</v>
      </c>
      <c r="C176" s="113" t="s">
        <v>62</v>
      </c>
      <c r="D176" s="112" t="s">
        <v>10</v>
      </c>
      <c r="E176" s="112" t="s">
        <v>47</v>
      </c>
      <c r="F176" s="71">
        <v>76</v>
      </c>
    </row>
    <row r="177" spans="1:6" x14ac:dyDescent="0.25">
      <c r="A177" s="102" t="s">
        <v>301</v>
      </c>
      <c r="B177" s="118">
        <v>1001146</v>
      </c>
      <c r="C177" s="113" t="s">
        <v>27</v>
      </c>
      <c r="D177" s="112" t="s">
        <v>10</v>
      </c>
      <c r="E177" s="112" t="s">
        <v>11</v>
      </c>
      <c r="F177" s="71">
        <v>46</v>
      </c>
    </row>
    <row r="178" spans="1:6" x14ac:dyDescent="0.25">
      <c r="A178" s="102" t="s">
        <v>301</v>
      </c>
      <c r="B178" s="118">
        <v>1000182</v>
      </c>
      <c r="C178" s="113" t="s">
        <v>431</v>
      </c>
      <c r="D178" s="112" t="s">
        <v>10</v>
      </c>
      <c r="E178" s="112" t="s">
        <v>57</v>
      </c>
      <c r="F178" s="71">
        <v>22</v>
      </c>
    </row>
    <row r="179" spans="1:6" x14ac:dyDescent="0.25">
      <c r="A179" s="102" t="s">
        <v>301</v>
      </c>
      <c r="B179" s="118">
        <v>1000183</v>
      </c>
      <c r="C179" s="113" t="s">
        <v>51</v>
      </c>
      <c r="D179" s="112" t="s">
        <v>14</v>
      </c>
      <c r="E179" s="112" t="s">
        <v>57</v>
      </c>
      <c r="F179" s="71">
        <v>90</v>
      </c>
    </row>
    <row r="180" spans="1:6" x14ac:dyDescent="0.25">
      <c r="A180" s="102" t="s">
        <v>301</v>
      </c>
      <c r="B180" s="118">
        <v>1000184</v>
      </c>
      <c r="C180" s="113" t="s">
        <v>28</v>
      </c>
      <c r="D180" s="112" t="s">
        <v>14</v>
      </c>
      <c r="E180" s="112" t="s">
        <v>57</v>
      </c>
      <c r="F180" s="71">
        <v>41</v>
      </c>
    </row>
    <row r="181" spans="1:6" x14ac:dyDescent="0.25">
      <c r="A181" s="102" t="s">
        <v>301</v>
      </c>
      <c r="B181" s="118">
        <v>1000185</v>
      </c>
      <c r="C181" s="113" t="s">
        <v>52</v>
      </c>
      <c r="D181" s="112" t="s">
        <v>14</v>
      </c>
      <c r="E181" s="112" t="s">
        <v>11</v>
      </c>
      <c r="F181" s="71">
        <v>50</v>
      </c>
    </row>
    <row r="182" spans="1:6" x14ac:dyDescent="0.25">
      <c r="A182" s="102" t="s">
        <v>301</v>
      </c>
      <c r="B182" s="118">
        <v>1001478</v>
      </c>
      <c r="C182" s="113" t="s">
        <v>716</v>
      </c>
      <c r="D182" s="112" t="s">
        <v>18</v>
      </c>
      <c r="E182" s="112" t="s">
        <v>11</v>
      </c>
      <c r="F182" s="71">
        <v>44</v>
      </c>
    </row>
    <row r="183" spans="1:6" x14ac:dyDescent="0.25">
      <c r="A183" s="102" t="s">
        <v>301</v>
      </c>
      <c r="B183" s="118">
        <v>1000189</v>
      </c>
      <c r="C183" s="113" t="s">
        <v>63</v>
      </c>
      <c r="D183" s="112" t="s">
        <v>14</v>
      </c>
      <c r="E183" s="112" t="s">
        <v>47</v>
      </c>
      <c r="F183" s="71">
        <v>28</v>
      </c>
    </row>
    <row r="184" spans="1:6" x14ac:dyDescent="0.25">
      <c r="A184" s="102" t="s">
        <v>301</v>
      </c>
      <c r="B184" s="118">
        <v>1000190</v>
      </c>
      <c r="C184" s="113" t="s">
        <v>433</v>
      </c>
      <c r="D184" s="112" t="s">
        <v>14</v>
      </c>
      <c r="E184" s="112" t="s">
        <v>57</v>
      </c>
      <c r="F184" s="71">
        <v>52</v>
      </c>
    </row>
    <row r="185" spans="1:6" x14ac:dyDescent="0.25">
      <c r="A185" s="102" t="s">
        <v>301</v>
      </c>
      <c r="B185" s="118">
        <v>1000191</v>
      </c>
      <c r="C185" s="113" t="s">
        <v>3823</v>
      </c>
      <c r="D185" s="112"/>
      <c r="E185" s="112"/>
      <c r="F185" s="71">
        <v>8</v>
      </c>
    </row>
    <row r="186" spans="1:6" x14ac:dyDescent="0.25">
      <c r="A186" s="102" t="s">
        <v>301</v>
      </c>
      <c r="B186" s="118">
        <v>1000866</v>
      </c>
      <c r="C186" s="113" t="s">
        <v>1797</v>
      </c>
      <c r="D186" s="112"/>
      <c r="E186" s="112" t="s">
        <v>57</v>
      </c>
      <c r="F186" s="71">
        <v>8</v>
      </c>
    </row>
    <row r="187" spans="1:6" x14ac:dyDescent="0.25">
      <c r="A187" s="102" t="s">
        <v>301</v>
      </c>
      <c r="B187" s="118">
        <v>1000195</v>
      </c>
      <c r="C187" s="113" t="s">
        <v>32</v>
      </c>
      <c r="D187" s="112" t="s">
        <v>10</v>
      </c>
      <c r="E187" s="112" t="s">
        <v>57</v>
      </c>
      <c r="F187" s="71">
        <v>53</v>
      </c>
    </row>
    <row r="188" spans="1:6" x14ac:dyDescent="0.25">
      <c r="A188" s="102" t="s">
        <v>301</v>
      </c>
      <c r="B188" s="118">
        <v>1002334</v>
      </c>
      <c r="C188" s="113" t="s">
        <v>438</v>
      </c>
      <c r="D188" s="112" t="s">
        <v>18</v>
      </c>
      <c r="E188" s="112" t="s">
        <v>11</v>
      </c>
      <c r="F188" s="71">
        <v>14</v>
      </c>
    </row>
    <row r="189" spans="1:6" x14ac:dyDescent="0.25">
      <c r="A189" s="102" t="s">
        <v>301</v>
      </c>
      <c r="B189" s="118">
        <v>1000196</v>
      </c>
      <c r="C189" s="113" t="s">
        <v>64</v>
      </c>
      <c r="D189" s="112" t="s">
        <v>14</v>
      </c>
      <c r="E189" s="112" t="s">
        <v>57</v>
      </c>
      <c r="F189" s="71">
        <v>27</v>
      </c>
    </row>
    <row r="190" spans="1:6" x14ac:dyDescent="0.25">
      <c r="A190" s="102" t="s">
        <v>301</v>
      </c>
      <c r="B190" s="118">
        <v>1000197</v>
      </c>
      <c r="C190" s="113" t="s">
        <v>53</v>
      </c>
      <c r="D190" s="112" t="s">
        <v>14</v>
      </c>
      <c r="E190" s="112" t="s">
        <v>57</v>
      </c>
      <c r="F190" s="71">
        <v>27</v>
      </c>
    </row>
    <row r="191" spans="1:6" x14ac:dyDescent="0.25">
      <c r="A191" s="102" t="s">
        <v>301</v>
      </c>
      <c r="B191" s="118">
        <v>1000198</v>
      </c>
      <c r="C191" s="113" t="s">
        <v>65</v>
      </c>
      <c r="D191" s="112" t="s">
        <v>14</v>
      </c>
      <c r="E191" s="112" t="s">
        <v>11</v>
      </c>
      <c r="F191" s="71">
        <v>30</v>
      </c>
    </row>
    <row r="192" spans="1:6" x14ac:dyDescent="0.25">
      <c r="A192" s="102" t="s">
        <v>301</v>
      </c>
      <c r="B192" s="118">
        <v>1000629</v>
      </c>
      <c r="C192" s="113" t="s">
        <v>1784</v>
      </c>
      <c r="D192" s="112"/>
      <c r="E192" s="112" t="s">
        <v>47</v>
      </c>
      <c r="F192" s="71">
        <v>81</v>
      </c>
    </row>
    <row r="193" spans="1:6" x14ac:dyDescent="0.25">
      <c r="A193" s="102" t="s">
        <v>301</v>
      </c>
      <c r="B193" s="118">
        <v>1000223</v>
      </c>
      <c r="C193" s="113" t="s">
        <v>327</v>
      </c>
      <c r="D193" s="112" t="s">
        <v>10</v>
      </c>
      <c r="E193" s="112" t="s">
        <v>47</v>
      </c>
      <c r="F193" s="71">
        <v>18</v>
      </c>
    </row>
    <row r="194" spans="1:6" x14ac:dyDescent="0.25">
      <c r="A194" s="102" t="s">
        <v>301</v>
      </c>
      <c r="B194" s="118">
        <v>1000224</v>
      </c>
      <c r="C194" s="113" t="s">
        <v>146</v>
      </c>
      <c r="D194" s="112" t="s">
        <v>14</v>
      </c>
      <c r="E194" s="112" t="s">
        <v>11</v>
      </c>
      <c r="F194" s="71">
        <v>2</v>
      </c>
    </row>
    <row r="195" spans="1:6" x14ac:dyDescent="0.25">
      <c r="A195" s="102" t="s">
        <v>301</v>
      </c>
      <c r="B195" s="118">
        <v>1000607</v>
      </c>
      <c r="C195" s="113" t="s">
        <v>442</v>
      </c>
      <c r="D195" s="112" t="s">
        <v>14</v>
      </c>
      <c r="E195" s="112" t="s">
        <v>47</v>
      </c>
      <c r="F195" s="71">
        <v>1</v>
      </c>
    </row>
    <row r="196" spans="1:6" x14ac:dyDescent="0.25">
      <c r="A196" s="102" t="s">
        <v>301</v>
      </c>
      <c r="B196" s="118">
        <v>1001718</v>
      </c>
      <c r="C196" s="113" t="s">
        <v>147</v>
      </c>
      <c r="D196" s="112" t="s">
        <v>18</v>
      </c>
      <c r="E196" s="112" t="s">
        <v>11</v>
      </c>
      <c r="F196" s="71">
        <v>32</v>
      </c>
    </row>
    <row r="197" spans="1:6" x14ac:dyDescent="0.25">
      <c r="A197" s="102" t="s">
        <v>301</v>
      </c>
      <c r="B197" s="118">
        <v>1000481</v>
      </c>
      <c r="C197" s="113" t="s">
        <v>148</v>
      </c>
      <c r="D197" s="112" t="s">
        <v>14</v>
      </c>
      <c r="E197" s="112" t="s">
        <v>47</v>
      </c>
      <c r="F197" s="71">
        <v>58</v>
      </c>
    </row>
    <row r="198" spans="1:6" x14ac:dyDescent="0.25">
      <c r="A198" s="102" t="s">
        <v>301</v>
      </c>
      <c r="B198" s="118">
        <v>1001299</v>
      </c>
      <c r="C198" s="113" t="s">
        <v>149</v>
      </c>
      <c r="D198" s="112" t="s">
        <v>14</v>
      </c>
      <c r="E198" s="112" t="s">
        <v>11</v>
      </c>
      <c r="F198" s="71">
        <v>105</v>
      </c>
    </row>
    <row r="199" spans="1:6" x14ac:dyDescent="0.25">
      <c r="A199" s="102" t="s">
        <v>301</v>
      </c>
      <c r="B199" s="118">
        <v>1000300</v>
      </c>
      <c r="C199" s="113" t="s">
        <v>461</v>
      </c>
      <c r="D199" s="112" t="s">
        <v>10</v>
      </c>
      <c r="E199" s="112" t="s">
        <v>57</v>
      </c>
      <c r="F199" s="71">
        <v>3</v>
      </c>
    </row>
    <row r="200" spans="1:6" x14ac:dyDescent="0.25">
      <c r="A200" s="102" t="s">
        <v>301</v>
      </c>
      <c r="B200" s="118">
        <v>1001488</v>
      </c>
      <c r="C200" s="113" t="s">
        <v>34</v>
      </c>
      <c r="D200" s="112" t="s">
        <v>18</v>
      </c>
      <c r="E200" s="112" t="s">
        <v>11</v>
      </c>
      <c r="F200" s="71">
        <v>23</v>
      </c>
    </row>
    <row r="201" spans="1:6" x14ac:dyDescent="0.25">
      <c r="A201" s="102" t="s">
        <v>301</v>
      </c>
      <c r="B201" s="118">
        <v>1000243</v>
      </c>
      <c r="C201" s="113" t="s">
        <v>150</v>
      </c>
      <c r="D201" s="112" t="s">
        <v>14</v>
      </c>
      <c r="E201" s="112" t="s">
        <v>11</v>
      </c>
      <c r="F201" s="71">
        <v>15</v>
      </c>
    </row>
    <row r="202" spans="1:6" x14ac:dyDescent="0.25">
      <c r="A202" s="102" t="s">
        <v>301</v>
      </c>
      <c r="B202" s="118">
        <v>1000254</v>
      </c>
      <c r="C202" s="113" t="s">
        <v>151</v>
      </c>
      <c r="D202" s="112" t="s">
        <v>10</v>
      </c>
      <c r="E202" s="112" t="s">
        <v>11</v>
      </c>
      <c r="F202" s="71">
        <v>24</v>
      </c>
    </row>
    <row r="203" spans="1:6" x14ac:dyDescent="0.25">
      <c r="A203" s="102" t="s">
        <v>301</v>
      </c>
      <c r="B203" s="118">
        <v>1000256</v>
      </c>
      <c r="C203" s="113" t="s">
        <v>36</v>
      </c>
      <c r="D203" s="112" t="s">
        <v>14</v>
      </c>
      <c r="E203" s="112" t="s">
        <v>47</v>
      </c>
      <c r="F203" s="71">
        <v>15</v>
      </c>
    </row>
    <row r="204" spans="1:6" x14ac:dyDescent="0.25">
      <c r="A204" s="102" t="s">
        <v>301</v>
      </c>
      <c r="B204" s="118">
        <v>1000258</v>
      </c>
      <c r="C204" s="113" t="s">
        <v>35</v>
      </c>
      <c r="D204" s="112" t="s">
        <v>10</v>
      </c>
      <c r="E204" s="112" t="s">
        <v>47</v>
      </c>
      <c r="F204" s="71">
        <v>3</v>
      </c>
    </row>
    <row r="205" spans="1:6" x14ac:dyDescent="0.25">
      <c r="A205" s="102" t="s">
        <v>301</v>
      </c>
      <c r="B205" s="118">
        <v>1000284</v>
      </c>
      <c r="C205" s="113" t="s">
        <v>38</v>
      </c>
      <c r="D205" s="112" t="s">
        <v>14</v>
      </c>
      <c r="E205" s="112" t="s">
        <v>11</v>
      </c>
      <c r="F205" s="71">
        <v>76</v>
      </c>
    </row>
    <row r="206" spans="1:6" x14ac:dyDescent="0.25">
      <c r="A206" s="102" t="s">
        <v>301</v>
      </c>
      <c r="B206" s="118">
        <v>1001940</v>
      </c>
      <c r="C206" s="113" t="s">
        <v>152</v>
      </c>
      <c r="D206" s="112" t="s">
        <v>14</v>
      </c>
      <c r="E206" s="112" t="s">
        <v>47</v>
      </c>
      <c r="F206" s="71">
        <v>0</v>
      </c>
    </row>
    <row r="207" spans="1:6" x14ac:dyDescent="0.25">
      <c r="A207" s="102" t="s">
        <v>301</v>
      </c>
      <c r="B207" s="118">
        <v>1000311</v>
      </c>
      <c r="C207" s="113" t="s">
        <v>1786</v>
      </c>
      <c r="D207" s="112" t="s">
        <v>10</v>
      </c>
      <c r="E207" s="112" t="s">
        <v>47</v>
      </c>
      <c r="F207" s="71">
        <v>22</v>
      </c>
    </row>
    <row r="208" spans="1:6" x14ac:dyDescent="0.25">
      <c r="A208" s="102" t="s">
        <v>301</v>
      </c>
      <c r="B208" s="118">
        <v>1000339</v>
      </c>
      <c r="C208" s="113" t="s">
        <v>1167</v>
      </c>
      <c r="D208" s="112"/>
      <c r="E208" s="112" t="s">
        <v>57</v>
      </c>
      <c r="F208" s="71">
        <v>0</v>
      </c>
    </row>
    <row r="209" spans="1:6" x14ac:dyDescent="0.25">
      <c r="A209" s="102" t="s">
        <v>301</v>
      </c>
      <c r="B209" s="118">
        <v>1000363</v>
      </c>
      <c r="C209" s="113" t="s">
        <v>160</v>
      </c>
      <c r="D209" s="112" t="s">
        <v>10</v>
      </c>
      <c r="E209" s="112" t="s">
        <v>11</v>
      </c>
      <c r="F209" s="71">
        <v>53</v>
      </c>
    </row>
    <row r="210" spans="1:6" x14ac:dyDescent="0.25">
      <c r="A210" s="102" t="s">
        <v>301</v>
      </c>
      <c r="B210" s="118">
        <v>1001669</v>
      </c>
      <c r="C210" s="113" t="s">
        <v>164</v>
      </c>
      <c r="D210" s="112" t="s">
        <v>18</v>
      </c>
      <c r="E210" s="112" t="s">
        <v>11</v>
      </c>
      <c r="F210" s="71">
        <v>96</v>
      </c>
    </row>
    <row r="211" spans="1:6" x14ac:dyDescent="0.25">
      <c r="A211" s="102" t="s">
        <v>301</v>
      </c>
      <c r="B211" s="118">
        <v>10001066</v>
      </c>
      <c r="C211" s="113" t="s">
        <v>497</v>
      </c>
      <c r="D211" s="112" t="s">
        <v>10</v>
      </c>
      <c r="E211" s="112" t="s">
        <v>57</v>
      </c>
      <c r="F211" s="71">
        <v>0</v>
      </c>
    </row>
    <row r="212" spans="1:6" x14ac:dyDescent="0.25">
      <c r="A212" s="102" t="s">
        <v>301</v>
      </c>
      <c r="B212" s="118">
        <v>30001278</v>
      </c>
      <c r="C212" s="113" t="s">
        <v>1076</v>
      </c>
      <c r="D212" s="112"/>
      <c r="E212" s="112"/>
      <c r="F212" s="71">
        <v>8</v>
      </c>
    </row>
    <row r="213" spans="1:6" x14ac:dyDescent="0.25">
      <c r="A213" s="102" t="s">
        <v>301</v>
      </c>
      <c r="B213" s="118">
        <v>1000241</v>
      </c>
      <c r="C213" s="113" t="s">
        <v>445</v>
      </c>
      <c r="D213" s="112" t="s">
        <v>10</v>
      </c>
      <c r="E213" s="112" t="s">
        <v>47</v>
      </c>
      <c r="F213" s="71">
        <v>27</v>
      </c>
    </row>
    <row r="214" spans="1:6" x14ac:dyDescent="0.25">
      <c r="A214" s="102" t="s">
        <v>301</v>
      </c>
      <c r="B214" s="118">
        <v>1001284</v>
      </c>
      <c r="C214" s="113" t="s">
        <v>449</v>
      </c>
      <c r="D214" s="112" t="s">
        <v>14</v>
      </c>
      <c r="E214" s="112" t="s">
        <v>57</v>
      </c>
      <c r="F214" s="71">
        <v>9</v>
      </c>
    </row>
    <row r="215" spans="1:6" x14ac:dyDescent="0.25">
      <c r="A215" s="102" t="s">
        <v>301</v>
      </c>
      <c r="B215" s="118">
        <v>1000245</v>
      </c>
      <c r="C215" s="113" t="s">
        <v>1086</v>
      </c>
      <c r="D215" s="112"/>
      <c r="E215" s="112"/>
      <c r="F215" s="71">
        <v>4</v>
      </c>
    </row>
    <row r="216" spans="1:6" x14ac:dyDescent="0.25">
      <c r="A216" s="102" t="s">
        <v>301</v>
      </c>
      <c r="B216" s="118">
        <v>1008908</v>
      </c>
      <c r="C216" s="113" t="s">
        <v>1801</v>
      </c>
      <c r="D216" s="112" t="s">
        <v>18</v>
      </c>
      <c r="E216" s="112" t="s">
        <v>57</v>
      </c>
      <c r="F216" s="71">
        <v>48</v>
      </c>
    </row>
    <row r="217" spans="1:6" x14ac:dyDescent="0.25">
      <c r="A217" s="102" t="s">
        <v>301</v>
      </c>
      <c r="B217" s="118">
        <v>1000259</v>
      </c>
      <c r="C217" s="113" t="s">
        <v>2426</v>
      </c>
      <c r="D217" s="112"/>
      <c r="E217" s="112"/>
      <c r="F217" s="71">
        <v>1</v>
      </c>
    </row>
    <row r="218" spans="1:6" x14ac:dyDescent="0.25">
      <c r="A218" s="102" t="s">
        <v>301</v>
      </c>
      <c r="B218" s="118">
        <v>1001264</v>
      </c>
      <c r="C218" s="113" t="s">
        <v>37</v>
      </c>
      <c r="D218" s="112" t="s">
        <v>14</v>
      </c>
      <c r="E218" s="112" t="s">
        <v>11</v>
      </c>
      <c r="F218" s="71">
        <v>61</v>
      </c>
    </row>
    <row r="219" spans="1:6" x14ac:dyDescent="0.25">
      <c r="A219" s="102" t="s">
        <v>301</v>
      </c>
      <c r="B219" s="118">
        <v>1001690</v>
      </c>
      <c r="C219" s="113" t="s">
        <v>1806</v>
      </c>
      <c r="D219" s="112"/>
      <c r="E219" s="112" t="s">
        <v>57</v>
      </c>
      <c r="F219" s="71">
        <v>236</v>
      </c>
    </row>
    <row r="220" spans="1:6" x14ac:dyDescent="0.25">
      <c r="A220" s="102" t="s">
        <v>301</v>
      </c>
      <c r="B220" s="118">
        <v>1000586</v>
      </c>
      <c r="C220" s="113" t="s">
        <v>456</v>
      </c>
      <c r="D220" s="112" t="s">
        <v>14</v>
      </c>
      <c r="E220" s="112" t="s">
        <v>11</v>
      </c>
      <c r="F220" s="71">
        <v>57</v>
      </c>
    </row>
    <row r="221" spans="1:6" x14ac:dyDescent="0.25">
      <c r="A221" s="102" t="s">
        <v>301</v>
      </c>
      <c r="B221" s="118">
        <v>1001042</v>
      </c>
      <c r="C221" s="113" t="s">
        <v>523</v>
      </c>
      <c r="D221" s="112" t="s">
        <v>14</v>
      </c>
      <c r="E221" s="112" t="s">
        <v>11</v>
      </c>
      <c r="F221" s="71">
        <v>58</v>
      </c>
    </row>
    <row r="222" spans="1:6" x14ac:dyDescent="0.25">
      <c r="A222" s="102" t="s">
        <v>301</v>
      </c>
      <c r="B222" s="118">
        <v>1001189</v>
      </c>
      <c r="C222" s="113" t="s">
        <v>459</v>
      </c>
      <c r="D222" s="112" t="s">
        <v>14</v>
      </c>
      <c r="E222" s="112" t="s">
        <v>57</v>
      </c>
      <c r="F222" s="71">
        <v>2</v>
      </c>
    </row>
    <row r="223" spans="1:6" x14ac:dyDescent="0.25">
      <c r="A223" s="102" t="s">
        <v>301</v>
      </c>
      <c r="B223" s="118">
        <v>1001241</v>
      </c>
      <c r="C223" s="113" t="s">
        <v>205</v>
      </c>
      <c r="D223" s="112" t="s">
        <v>14</v>
      </c>
      <c r="E223" s="112" t="s">
        <v>57</v>
      </c>
      <c r="F223" s="71">
        <v>1</v>
      </c>
    </row>
    <row r="224" spans="1:6" x14ac:dyDescent="0.25">
      <c r="A224" s="102" t="s">
        <v>301</v>
      </c>
      <c r="B224" s="118">
        <v>1001735</v>
      </c>
      <c r="C224" s="113" t="s">
        <v>2461</v>
      </c>
      <c r="D224" s="112"/>
      <c r="E224" s="112"/>
      <c r="F224" s="71">
        <v>14</v>
      </c>
    </row>
    <row r="225" spans="1:6" x14ac:dyDescent="0.25">
      <c r="A225" s="102" t="s">
        <v>301</v>
      </c>
      <c r="B225" s="118">
        <v>1002258</v>
      </c>
      <c r="C225" s="113" t="s">
        <v>1811</v>
      </c>
      <c r="D225" s="112" t="s">
        <v>18</v>
      </c>
      <c r="E225" s="112" t="s">
        <v>47</v>
      </c>
      <c r="F225" s="71">
        <v>15</v>
      </c>
    </row>
    <row r="226" spans="1:6" x14ac:dyDescent="0.25">
      <c r="A226" s="102" t="s">
        <v>301</v>
      </c>
      <c r="B226" s="118">
        <v>1000319</v>
      </c>
      <c r="C226" s="113" t="s">
        <v>54</v>
      </c>
      <c r="D226" s="112" t="s">
        <v>14</v>
      </c>
      <c r="E226" s="112" t="s">
        <v>11</v>
      </c>
      <c r="F226" s="71">
        <v>28</v>
      </c>
    </row>
    <row r="227" spans="1:6" x14ac:dyDescent="0.25">
      <c r="A227" s="102" t="s">
        <v>301</v>
      </c>
      <c r="B227" s="118">
        <v>1001660</v>
      </c>
      <c r="C227" s="113" t="s">
        <v>41</v>
      </c>
      <c r="D227" s="112" t="s">
        <v>10</v>
      </c>
      <c r="E227" s="112" t="s">
        <v>11</v>
      </c>
      <c r="F227" s="71">
        <v>17</v>
      </c>
    </row>
    <row r="228" spans="1:6" x14ac:dyDescent="0.25">
      <c r="A228" s="102" t="s">
        <v>301</v>
      </c>
      <c r="B228" s="118">
        <v>1002022</v>
      </c>
      <c r="C228" s="113" t="s">
        <v>466</v>
      </c>
      <c r="D228" s="112" t="s">
        <v>467</v>
      </c>
      <c r="E228" s="112" t="s">
        <v>11</v>
      </c>
      <c r="F228" s="71">
        <v>3</v>
      </c>
    </row>
    <row r="229" spans="1:6" x14ac:dyDescent="0.25">
      <c r="A229" s="102" t="s">
        <v>301</v>
      </c>
      <c r="B229" s="118">
        <v>1001151</v>
      </c>
      <c r="C229" s="113" t="s">
        <v>1164</v>
      </c>
      <c r="D229" s="112"/>
      <c r="E229" s="112"/>
      <c r="F229" s="71">
        <v>0</v>
      </c>
    </row>
    <row r="230" spans="1:6" x14ac:dyDescent="0.25">
      <c r="A230" s="102" t="s">
        <v>301</v>
      </c>
      <c r="B230" s="118">
        <v>1000348</v>
      </c>
      <c r="C230" s="113" t="s">
        <v>43</v>
      </c>
      <c r="D230" s="112" t="s">
        <v>10</v>
      </c>
      <c r="E230" s="112" t="s">
        <v>47</v>
      </c>
      <c r="F230" s="71">
        <v>34</v>
      </c>
    </row>
    <row r="231" spans="1:6" x14ac:dyDescent="0.25">
      <c r="A231" s="102" t="s">
        <v>301</v>
      </c>
      <c r="B231" s="118">
        <v>1000503</v>
      </c>
      <c r="C231" s="113" t="s">
        <v>472</v>
      </c>
      <c r="D231" s="112" t="s">
        <v>10</v>
      </c>
      <c r="E231" s="112" t="s">
        <v>57</v>
      </c>
      <c r="F231" s="71">
        <v>1</v>
      </c>
    </row>
    <row r="232" spans="1:6" x14ac:dyDescent="0.25">
      <c r="A232" s="102" t="s">
        <v>301</v>
      </c>
      <c r="B232" s="118">
        <v>1001614</v>
      </c>
      <c r="C232" s="113" t="s">
        <v>2525</v>
      </c>
      <c r="D232" s="112"/>
      <c r="E232" s="112"/>
      <c r="F232" s="71">
        <v>21</v>
      </c>
    </row>
    <row r="233" spans="1:6" x14ac:dyDescent="0.25">
      <c r="A233" s="102" t="s">
        <v>301</v>
      </c>
      <c r="B233" s="118">
        <v>1001279</v>
      </c>
      <c r="C233" s="113" t="s">
        <v>1820</v>
      </c>
      <c r="D233" s="112" t="s">
        <v>14</v>
      </c>
      <c r="E233" s="112" t="s">
        <v>57</v>
      </c>
      <c r="F233" s="71">
        <v>1</v>
      </c>
    </row>
    <row r="234" spans="1:6" x14ac:dyDescent="0.25">
      <c r="A234" s="102" t="s">
        <v>301</v>
      </c>
      <c r="B234" s="118">
        <v>1000910</v>
      </c>
      <c r="C234" s="113" t="s">
        <v>476</v>
      </c>
      <c r="D234" s="112" t="s">
        <v>10</v>
      </c>
      <c r="E234" s="112" t="s">
        <v>57</v>
      </c>
      <c r="F234" s="71">
        <v>2</v>
      </c>
    </row>
    <row r="235" spans="1:6" x14ac:dyDescent="0.25">
      <c r="A235" s="102" t="s">
        <v>301</v>
      </c>
      <c r="B235" s="118">
        <v>1001600</v>
      </c>
      <c r="C235" s="113" t="s">
        <v>2529</v>
      </c>
      <c r="D235" s="112"/>
      <c r="E235" s="112"/>
      <c r="F235" s="71">
        <v>6</v>
      </c>
    </row>
    <row r="236" spans="1:6" x14ac:dyDescent="0.25">
      <c r="A236" s="102" t="s">
        <v>301</v>
      </c>
      <c r="B236" s="118">
        <v>1000391</v>
      </c>
      <c r="C236" s="113" t="s">
        <v>1782</v>
      </c>
      <c r="D236" s="112" t="s">
        <v>14</v>
      </c>
      <c r="E236" s="112" t="s">
        <v>47</v>
      </c>
      <c r="F236" s="71">
        <v>24</v>
      </c>
    </row>
    <row r="237" spans="1:6" x14ac:dyDescent="0.25">
      <c r="A237" s="102" t="s">
        <v>301</v>
      </c>
      <c r="B237" s="118">
        <v>1006818</v>
      </c>
      <c r="C237" s="113" t="s">
        <v>478</v>
      </c>
      <c r="D237" s="112" t="s">
        <v>18</v>
      </c>
      <c r="E237" s="112" t="s">
        <v>57</v>
      </c>
      <c r="F237" s="71">
        <v>3</v>
      </c>
    </row>
    <row r="238" spans="1:6" x14ac:dyDescent="0.25">
      <c r="A238" s="102" t="s">
        <v>301</v>
      </c>
      <c r="B238" s="118">
        <v>1000545</v>
      </c>
      <c r="C238" s="113" t="s">
        <v>1783</v>
      </c>
      <c r="D238" s="112" t="s">
        <v>14</v>
      </c>
      <c r="E238" s="112" t="s">
        <v>11</v>
      </c>
      <c r="F238" s="71">
        <v>54</v>
      </c>
    </row>
    <row r="239" spans="1:6" x14ac:dyDescent="0.25">
      <c r="A239" s="102" t="s">
        <v>301</v>
      </c>
      <c r="B239" s="118">
        <v>1000412</v>
      </c>
      <c r="C239" s="113" t="s">
        <v>1223</v>
      </c>
      <c r="D239" s="112"/>
      <c r="E239" s="112"/>
      <c r="F239" s="71">
        <v>1</v>
      </c>
    </row>
    <row r="240" spans="1:6" x14ac:dyDescent="0.25">
      <c r="A240" s="102" t="s">
        <v>301</v>
      </c>
      <c r="B240" s="118">
        <v>1001782</v>
      </c>
      <c r="C240" s="113" t="s">
        <v>1237</v>
      </c>
      <c r="D240" s="112"/>
      <c r="E240" s="112"/>
      <c r="F240" s="71">
        <v>20</v>
      </c>
    </row>
    <row r="241" spans="1:6" x14ac:dyDescent="0.25">
      <c r="A241" s="102" t="s">
        <v>301</v>
      </c>
      <c r="B241" s="118">
        <v>1001591</v>
      </c>
      <c r="C241" s="113" t="s">
        <v>1823</v>
      </c>
      <c r="D241" s="112" t="s">
        <v>71</v>
      </c>
      <c r="E241" s="112" t="s">
        <v>11</v>
      </c>
      <c r="F241" s="71">
        <v>106</v>
      </c>
    </row>
    <row r="242" spans="1:6" x14ac:dyDescent="0.25">
      <c r="A242" s="102" t="s">
        <v>301</v>
      </c>
      <c r="B242" s="118">
        <v>1001710</v>
      </c>
      <c r="C242" s="113" t="s">
        <v>3824</v>
      </c>
      <c r="D242" s="112"/>
      <c r="E242" s="112"/>
      <c r="F242" s="71">
        <v>1</v>
      </c>
    </row>
    <row r="243" spans="1:6" x14ac:dyDescent="0.25">
      <c r="A243" s="102" t="s">
        <v>301</v>
      </c>
      <c r="B243" s="118">
        <v>1002144</v>
      </c>
      <c r="C243" s="113" t="s">
        <v>393</v>
      </c>
      <c r="D243" s="112" t="s">
        <v>18</v>
      </c>
      <c r="E243" s="112" t="s">
        <v>57</v>
      </c>
      <c r="F243" s="71">
        <v>1</v>
      </c>
    </row>
    <row r="244" spans="1:6" x14ac:dyDescent="0.25">
      <c r="A244" s="102" t="s">
        <v>301</v>
      </c>
      <c r="B244" s="118">
        <v>1000091</v>
      </c>
      <c r="C244" s="113" t="s">
        <v>1789</v>
      </c>
      <c r="D244" s="112"/>
      <c r="E244" s="112" t="s">
        <v>57</v>
      </c>
      <c r="F244" s="71">
        <v>1</v>
      </c>
    </row>
    <row r="245" spans="1:6" x14ac:dyDescent="0.25">
      <c r="A245" s="102" t="s">
        <v>301</v>
      </c>
      <c r="B245" s="118">
        <v>1000704</v>
      </c>
      <c r="C245" s="113" t="s">
        <v>704</v>
      </c>
      <c r="D245" s="112"/>
      <c r="E245" s="112"/>
      <c r="F245" s="71">
        <v>13</v>
      </c>
    </row>
    <row r="246" spans="1:6" x14ac:dyDescent="0.25">
      <c r="A246" s="102" t="s">
        <v>301</v>
      </c>
      <c r="B246" s="118">
        <v>1006843</v>
      </c>
      <c r="C246" s="113" t="s">
        <v>427</v>
      </c>
      <c r="D246" s="112" t="s">
        <v>10</v>
      </c>
      <c r="E246" s="112" t="s">
        <v>11</v>
      </c>
      <c r="F246" s="71">
        <v>1</v>
      </c>
    </row>
    <row r="247" spans="1:6" x14ac:dyDescent="0.25">
      <c r="A247" s="102" t="s">
        <v>301</v>
      </c>
      <c r="B247" s="118">
        <v>1001283</v>
      </c>
      <c r="C247" s="113" t="s">
        <v>3825</v>
      </c>
      <c r="D247" s="112"/>
      <c r="E247" s="112"/>
      <c r="F247" s="71">
        <v>1</v>
      </c>
    </row>
    <row r="248" spans="1:6" x14ac:dyDescent="0.25">
      <c r="A248" s="102" t="s">
        <v>301</v>
      </c>
      <c r="B248" s="118">
        <v>1001222</v>
      </c>
      <c r="C248" s="113" t="s">
        <v>491</v>
      </c>
      <c r="D248" s="112" t="s">
        <v>10</v>
      </c>
      <c r="E248" s="112" t="s">
        <v>57</v>
      </c>
      <c r="F248" s="71">
        <v>19</v>
      </c>
    </row>
    <row r="249" spans="1:6" x14ac:dyDescent="0.25">
      <c r="A249" s="102" t="s">
        <v>301</v>
      </c>
      <c r="B249" s="118">
        <v>1000578</v>
      </c>
      <c r="C249" s="113" t="s">
        <v>1460</v>
      </c>
      <c r="D249" s="112"/>
      <c r="E249" s="112" t="s">
        <v>57</v>
      </c>
      <c r="F249" s="71">
        <v>3</v>
      </c>
    </row>
    <row r="250" spans="1:6" x14ac:dyDescent="0.25">
      <c r="A250" s="102" t="s">
        <v>301</v>
      </c>
      <c r="B250" s="118">
        <v>1002045</v>
      </c>
      <c r="C250" s="113" t="s">
        <v>2971</v>
      </c>
      <c r="D250" s="112"/>
      <c r="E250" s="112"/>
      <c r="F250" s="71">
        <v>146</v>
      </c>
    </row>
    <row r="251" spans="1:6" x14ac:dyDescent="0.25">
      <c r="A251" s="102" t="s">
        <v>301</v>
      </c>
      <c r="B251" s="118">
        <v>1000468</v>
      </c>
      <c r="C251" s="113" t="s">
        <v>3826</v>
      </c>
      <c r="D251" s="112"/>
      <c r="E251" s="112"/>
      <c r="F251" s="71">
        <v>1</v>
      </c>
    </row>
    <row r="252" spans="1:6" x14ac:dyDescent="0.25">
      <c r="A252" s="102" t="s">
        <v>301</v>
      </c>
      <c r="B252" s="118">
        <v>1000470</v>
      </c>
      <c r="C252" s="113" t="s">
        <v>67</v>
      </c>
      <c r="D252" s="112" t="s">
        <v>10</v>
      </c>
      <c r="E252" s="112" t="s">
        <v>11</v>
      </c>
      <c r="F252" s="71">
        <v>71</v>
      </c>
    </row>
    <row r="253" spans="1:6" x14ac:dyDescent="0.25">
      <c r="A253" s="102" t="s">
        <v>301</v>
      </c>
      <c r="B253" s="118">
        <v>1000477</v>
      </c>
      <c r="C253" s="113" t="s">
        <v>2989</v>
      </c>
      <c r="D253" s="112" t="s">
        <v>14</v>
      </c>
      <c r="E253" s="112" t="s">
        <v>11</v>
      </c>
      <c r="F253" s="71">
        <v>5</v>
      </c>
    </row>
    <row r="254" spans="1:6" x14ac:dyDescent="0.25">
      <c r="A254" s="102" t="s">
        <v>301</v>
      </c>
      <c r="B254" s="118">
        <v>1000478</v>
      </c>
      <c r="C254" s="113" t="s">
        <v>68</v>
      </c>
      <c r="D254" s="112" t="s">
        <v>10</v>
      </c>
      <c r="E254" s="112" t="s">
        <v>47</v>
      </c>
      <c r="F254" s="71">
        <v>76</v>
      </c>
    </row>
    <row r="255" spans="1:6" x14ac:dyDescent="0.25">
      <c r="A255" s="102" t="s">
        <v>301</v>
      </c>
      <c r="B255" s="118">
        <v>9000029</v>
      </c>
      <c r="C255" s="113" t="s">
        <v>164</v>
      </c>
      <c r="D255" s="112"/>
      <c r="E255" s="112"/>
      <c r="F255" s="71">
        <v>10</v>
      </c>
    </row>
    <row r="256" spans="1:6" x14ac:dyDescent="0.25">
      <c r="A256" s="102" t="s">
        <v>301</v>
      </c>
      <c r="B256" s="118">
        <v>1000534</v>
      </c>
      <c r="C256" s="113" t="s">
        <v>484</v>
      </c>
      <c r="D256" s="112" t="s">
        <v>14</v>
      </c>
      <c r="E256" s="112" t="s">
        <v>47</v>
      </c>
      <c r="F256" s="71">
        <v>53</v>
      </c>
    </row>
    <row r="257" spans="1:6" x14ac:dyDescent="0.25">
      <c r="A257" s="102" t="s">
        <v>301</v>
      </c>
      <c r="B257" s="118">
        <v>1000425</v>
      </c>
      <c r="C257" s="113" t="s">
        <v>1454</v>
      </c>
      <c r="D257" s="112" t="s">
        <v>14</v>
      </c>
      <c r="E257" s="112" t="s">
        <v>11</v>
      </c>
      <c r="F257" s="71">
        <v>2</v>
      </c>
    </row>
    <row r="258" spans="1:6" x14ac:dyDescent="0.25">
      <c r="A258" s="102" t="s">
        <v>301</v>
      </c>
      <c r="B258" s="118">
        <v>1001200</v>
      </c>
      <c r="C258" s="113" t="s">
        <v>489</v>
      </c>
      <c r="D258" s="112" t="s">
        <v>14</v>
      </c>
      <c r="E258" s="112" t="s">
        <v>47</v>
      </c>
      <c r="F258" s="71">
        <v>17</v>
      </c>
    </row>
    <row r="259" spans="1:6" x14ac:dyDescent="0.25">
      <c r="A259" s="102" t="s">
        <v>301</v>
      </c>
      <c r="B259" s="118">
        <v>1001724</v>
      </c>
      <c r="C259" s="113" t="s">
        <v>3827</v>
      </c>
      <c r="D259" s="112"/>
      <c r="E259" s="112"/>
      <c r="F259" s="71">
        <v>3</v>
      </c>
    </row>
    <row r="260" spans="1:6" x14ac:dyDescent="0.25">
      <c r="A260" s="102" t="s">
        <v>301</v>
      </c>
      <c r="B260" s="118">
        <v>1002046</v>
      </c>
      <c r="C260" s="113" t="s">
        <v>2658</v>
      </c>
      <c r="D260" s="112" t="s">
        <v>3449</v>
      </c>
      <c r="E260" s="112" t="s">
        <v>57</v>
      </c>
      <c r="F260" s="71">
        <v>34</v>
      </c>
    </row>
    <row r="261" spans="1:6" x14ac:dyDescent="0.25">
      <c r="A261" s="102" t="s">
        <v>301</v>
      </c>
      <c r="B261" s="118">
        <v>1001268</v>
      </c>
      <c r="C261" s="113" t="s">
        <v>537</v>
      </c>
      <c r="D261" s="112"/>
      <c r="E261" s="112"/>
      <c r="F261" s="71">
        <v>0</v>
      </c>
    </row>
    <row r="262" spans="1:6" x14ac:dyDescent="0.25">
      <c r="A262" s="102" t="s">
        <v>301</v>
      </c>
      <c r="B262" s="118">
        <v>1000847</v>
      </c>
      <c r="C262" s="113" t="s">
        <v>3828</v>
      </c>
      <c r="D262" s="112"/>
      <c r="E262" s="112"/>
      <c r="F262" s="71">
        <v>0</v>
      </c>
    </row>
    <row r="263" spans="1:6" x14ac:dyDescent="0.25">
      <c r="A263" s="102" t="s">
        <v>301</v>
      </c>
      <c r="B263" s="118">
        <v>1000051</v>
      </c>
      <c r="C263" s="113" t="s">
        <v>1906</v>
      </c>
      <c r="D263" s="112"/>
      <c r="E263" s="112"/>
      <c r="F263" s="71">
        <v>0</v>
      </c>
    </row>
    <row r="264" spans="1:6" x14ac:dyDescent="0.25">
      <c r="A264" s="102" t="s">
        <v>301</v>
      </c>
      <c r="B264" s="118">
        <v>1000062</v>
      </c>
      <c r="C264" s="113" t="s">
        <v>1923</v>
      </c>
      <c r="D264" s="112"/>
      <c r="E264" s="112"/>
      <c r="F264" s="71">
        <v>0</v>
      </c>
    </row>
    <row r="265" spans="1:6" x14ac:dyDescent="0.25">
      <c r="A265" s="102" t="s">
        <v>301</v>
      </c>
      <c r="B265" s="118">
        <v>1001307</v>
      </c>
      <c r="C265" s="113" t="s">
        <v>389</v>
      </c>
      <c r="D265" s="112" t="s">
        <v>14</v>
      </c>
      <c r="E265" s="112" t="s">
        <v>11</v>
      </c>
      <c r="F265" s="71">
        <v>0</v>
      </c>
    </row>
    <row r="266" spans="1:6" x14ac:dyDescent="0.25">
      <c r="A266" s="102" t="s">
        <v>301</v>
      </c>
      <c r="B266" s="118">
        <v>1001462</v>
      </c>
      <c r="C266" s="113" t="s">
        <v>3829</v>
      </c>
      <c r="D266" s="112"/>
      <c r="E266" s="112"/>
      <c r="F266" s="71">
        <v>0</v>
      </c>
    </row>
    <row r="267" spans="1:6" x14ac:dyDescent="0.25">
      <c r="A267" s="102" t="s">
        <v>301</v>
      </c>
      <c r="B267" s="118">
        <v>1001463</v>
      </c>
      <c r="C267" s="113" t="s">
        <v>3830</v>
      </c>
      <c r="D267" s="112"/>
      <c r="E267" s="112"/>
      <c r="F267" s="71">
        <v>0</v>
      </c>
    </row>
    <row r="268" spans="1:6" x14ac:dyDescent="0.25">
      <c r="A268" s="102" t="s">
        <v>301</v>
      </c>
      <c r="B268" s="118">
        <v>1000107</v>
      </c>
      <c r="C268" s="113" t="s">
        <v>2006</v>
      </c>
      <c r="D268" s="112" t="s">
        <v>10</v>
      </c>
      <c r="E268" s="112" t="s">
        <v>47</v>
      </c>
      <c r="F268" s="71">
        <v>0</v>
      </c>
    </row>
    <row r="269" spans="1:6" x14ac:dyDescent="0.25">
      <c r="A269" s="102" t="s">
        <v>301</v>
      </c>
      <c r="B269" s="118">
        <v>9000041</v>
      </c>
      <c r="C269" s="113" t="s">
        <v>3831</v>
      </c>
      <c r="D269" s="112"/>
      <c r="E269" s="112"/>
      <c r="F269" s="71">
        <v>0</v>
      </c>
    </row>
    <row r="270" spans="1:6" x14ac:dyDescent="0.25">
      <c r="A270" s="102" t="s">
        <v>301</v>
      </c>
      <c r="B270" s="118">
        <v>1006844</v>
      </c>
      <c r="C270" s="113" t="s">
        <v>428</v>
      </c>
      <c r="D270" s="112" t="s">
        <v>10</v>
      </c>
      <c r="E270" s="112" t="s">
        <v>11</v>
      </c>
      <c r="F270" s="71">
        <v>0</v>
      </c>
    </row>
    <row r="271" spans="1:6" x14ac:dyDescent="0.25">
      <c r="A271" s="102" t="s">
        <v>301</v>
      </c>
      <c r="B271" s="118">
        <v>1006845</v>
      </c>
      <c r="C271" s="113" t="s">
        <v>429</v>
      </c>
      <c r="D271" s="112" t="s">
        <v>10</v>
      </c>
      <c r="E271" s="112" t="s">
        <v>11</v>
      </c>
      <c r="F271" s="71">
        <v>0</v>
      </c>
    </row>
    <row r="272" spans="1:6" x14ac:dyDescent="0.25">
      <c r="A272" s="102" t="s">
        <v>301</v>
      </c>
      <c r="B272" s="118">
        <v>1006185</v>
      </c>
      <c r="C272" s="113" t="s">
        <v>3832</v>
      </c>
      <c r="D272" s="112"/>
      <c r="E272" s="112"/>
      <c r="F272" s="71">
        <v>0</v>
      </c>
    </row>
    <row r="273" spans="1:6" x14ac:dyDescent="0.25">
      <c r="A273" s="102" t="s">
        <v>301</v>
      </c>
      <c r="B273" s="118">
        <v>1006848</v>
      </c>
      <c r="C273" s="113" t="s">
        <v>435</v>
      </c>
      <c r="D273" s="112" t="s">
        <v>10</v>
      </c>
      <c r="E273" s="112" t="s">
        <v>11</v>
      </c>
      <c r="F273" s="71">
        <v>0</v>
      </c>
    </row>
    <row r="274" spans="1:6" x14ac:dyDescent="0.25">
      <c r="A274" s="102" t="s">
        <v>301</v>
      </c>
      <c r="B274" s="118">
        <v>1001479</v>
      </c>
      <c r="C274" s="113" t="s">
        <v>3833</v>
      </c>
      <c r="D274" s="112"/>
      <c r="E274" s="112"/>
      <c r="F274" s="71">
        <v>0</v>
      </c>
    </row>
    <row r="275" spans="1:6" x14ac:dyDescent="0.25">
      <c r="A275" s="102" t="s">
        <v>301</v>
      </c>
      <c r="B275" s="118">
        <v>1001749</v>
      </c>
      <c r="C275" s="113" t="s">
        <v>3834</v>
      </c>
      <c r="D275" s="112"/>
      <c r="E275" s="112"/>
      <c r="F275" s="71">
        <v>0</v>
      </c>
    </row>
    <row r="276" spans="1:6" x14ac:dyDescent="0.25">
      <c r="A276" s="102" t="s">
        <v>301</v>
      </c>
      <c r="B276" s="118">
        <v>1006122</v>
      </c>
      <c r="C276" s="113" t="s">
        <v>3835</v>
      </c>
      <c r="D276" s="112"/>
      <c r="E276" s="112"/>
      <c r="F276" s="71">
        <v>0</v>
      </c>
    </row>
    <row r="277" spans="1:6" x14ac:dyDescent="0.25">
      <c r="A277" s="102" t="s">
        <v>301</v>
      </c>
      <c r="B277" s="118">
        <v>1000388</v>
      </c>
      <c r="C277" s="113" t="s">
        <v>162</v>
      </c>
      <c r="D277" s="112" t="s">
        <v>14</v>
      </c>
      <c r="E277" s="112" t="s">
        <v>11</v>
      </c>
      <c r="F277" s="71">
        <v>0</v>
      </c>
    </row>
    <row r="278" spans="1:6" x14ac:dyDescent="0.25">
      <c r="A278" s="102" t="s">
        <v>301</v>
      </c>
      <c r="B278" s="118">
        <v>1000392</v>
      </c>
      <c r="C278" s="113" t="s">
        <v>1821</v>
      </c>
      <c r="D278" s="112" t="s">
        <v>14</v>
      </c>
      <c r="E278" s="112" t="s">
        <v>47</v>
      </c>
      <c r="F278" s="71">
        <v>0</v>
      </c>
    </row>
    <row r="279" spans="1:6" x14ac:dyDescent="0.25">
      <c r="A279" s="102" t="s">
        <v>301</v>
      </c>
      <c r="B279" s="118">
        <v>1001197</v>
      </c>
      <c r="C279" s="113" t="s">
        <v>485</v>
      </c>
      <c r="D279" s="112" t="s">
        <v>14</v>
      </c>
      <c r="E279" s="112" t="s">
        <v>47</v>
      </c>
      <c r="F279" s="71">
        <v>0</v>
      </c>
    </row>
    <row r="280" spans="1:6" x14ac:dyDescent="0.25">
      <c r="A280" s="102" t="s">
        <v>301</v>
      </c>
      <c r="B280" s="118">
        <v>1000455</v>
      </c>
      <c r="C280" s="113" t="s">
        <v>493</v>
      </c>
      <c r="D280" s="112" t="s">
        <v>14</v>
      </c>
      <c r="E280" s="112" t="s">
        <v>57</v>
      </c>
      <c r="F280" s="71">
        <v>4</v>
      </c>
    </row>
    <row r="281" spans="1:6" x14ac:dyDescent="0.25">
      <c r="A281" s="102" t="s">
        <v>301</v>
      </c>
      <c r="B281" s="118">
        <v>1001476</v>
      </c>
      <c r="C281" s="113" t="s">
        <v>165</v>
      </c>
      <c r="D281" s="112" t="s">
        <v>18</v>
      </c>
      <c r="E281" s="112" t="s">
        <v>11</v>
      </c>
      <c r="F281" s="71">
        <v>1</v>
      </c>
    </row>
    <row r="282" spans="1:6" x14ac:dyDescent="0.25">
      <c r="A282" s="102" t="s">
        <v>301</v>
      </c>
      <c r="B282" s="118">
        <v>1001041</v>
      </c>
      <c r="C282" s="113" t="s">
        <v>1771</v>
      </c>
      <c r="D282" s="112"/>
      <c r="E282" s="112" t="s">
        <v>57</v>
      </c>
      <c r="F282" s="71">
        <v>54</v>
      </c>
    </row>
    <row r="283" spans="1:6" x14ac:dyDescent="0.25">
      <c r="A283" s="102" t="s">
        <v>301</v>
      </c>
      <c r="B283" s="118">
        <v>1000754</v>
      </c>
      <c r="C283" s="113" t="s">
        <v>496</v>
      </c>
      <c r="D283" s="112" t="s">
        <v>10</v>
      </c>
      <c r="E283" s="112" t="s">
        <v>57</v>
      </c>
      <c r="F283" s="71">
        <v>0</v>
      </c>
    </row>
    <row r="284" spans="1:6" x14ac:dyDescent="0.25">
      <c r="A284" s="102" t="s">
        <v>301</v>
      </c>
      <c r="B284" s="118">
        <v>1000447</v>
      </c>
      <c r="C284" s="113" t="s">
        <v>1764</v>
      </c>
      <c r="D284" s="112"/>
      <c r="E284" s="112"/>
      <c r="F284" s="71">
        <v>1</v>
      </c>
    </row>
    <row r="285" spans="1:6" x14ac:dyDescent="0.25">
      <c r="A285" s="102" t="s">
        <v>301</v>
      </c>
      <c r="B285" s="118">
        <v>1001266</v>
      </c>
      <c r="C285" s="113" t="s">
        <v>495</v>
      </c>
      <c r="D285" s="112" t="s">
        <v>14</v>
      </c>
      <c r="E285" s="112" t="s">
        <v>47</v>
      </c>
      <c r="F285" s="71">
        <v>1</v>
      </c>
    </row>
    <row r="286" spans="1:6" x14ac:dyDescent="0.25">
      <c r="A286" s="102" t="s">
        <v>301</v>
      </c>
      <c r="B286" s="118">
        <v>1000457</v>
      </c>
      <c r="C286" s="113" t="s">
        <v>1850</v>
      </c>
      <c r="D286" s="112" t="s">
        <v>14</v>
      </c>
      <c r="E286" s="112" t="s">
        <v>57</v>
      </c>
      <c r="F286" s="71">
        <v>2</v>
      </c>
    </row>
    <row r="287" spans="1:6" x14ac:dyDescent="0.25">
      <c r="A287" s="106" t="s">
        <v>301</v>
      </c>
      <c r="B287" s="119">
        <v>1000227</v>
      </c>
      <c r="C287" s="114" t="s">
        <v>2988</v>
      </c>
      <c r="D287" s="115" t="s">
        <v>10</v>
      </c>
      <c r="E287" s="115" t="s">
        <v>57</v>
      </c>
      <c r="F287" s="110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4" topLeftCell="A5" activePane="bottomLeft" state="frozen"/>
      <selection pane="bottomLeft" activeCell="A4" sqref="A4:F111"/>
    </sheetView>
  </sheetViews>
  <sheetFormatPr defaultColWidth="14.42578125" defaultRowHeight="15" customHeight="1" x14ac:dyDescent="0.25"/>
  <cols>
    <col min="1" max="1" width="18.140625" customWidth="1"/>
    <col min="2" max="2" width="13.28515625" customWidth="1"/>
    <col min="3" max="3" width="61" customWidth="1"/>
    <col min="4" max="4" width="11.85546875" customWidth="1"/>
    <col min="5" max="5" width="15.85546875" customWidth="1"/>
    <col min="6" max="6" width="16.7109375" customWidth="1"/>
    <col min="7" max="26" width="8.7109375" customWidth="1"/>
  </cols>
  <sheetData>
    <row r="1" spans="1:6" ht="18.75" x14ac:dyDescent="0.3">
      <c r="A1" s="1" t="s">
        <v>126</v>
      </c>
    </row>
    <row r="2" spans="1:6" x14ac:dyDescent="0.25">
      <c r="A2" s="2" t="s">
        <v>127</v>
      </c>
    </row>
    <row r="4" spans="1:6" x14ac:dyDescent="0.25">
      <c r="A4" s="42" t="s">
        <v>2</v>
      </c>
      <c r="B4" s="42" t="s">
        <v>3</v>
      </c>
      <c r="C4" s="42" t="s">
        <v>4</v>
      </c>
      <c r="D4" s="42" t="s">
        <v>5</v>
      </c>
      <c r="E4" s="42" t="s">
        <v>128</v>
      </c>
      <c r="F4" s="42" t="s">
        <v>7</v>
      </c>
    </row>
    <row r="5" spans="1:6" x14ac:dyDescent="0.25">
      <c r="A5" s="4" t="s">
        <v>8</v>
      </c>
      <c r="B5" s="5">
        <f t="array" ref="B5">IFERROR(INDEX('de para abc'!$A:$A,MATCH($C5,'de para abc'!$B:$B,0)),"N/D")</f>
        <v>1001663</v>
      </c>
      <c r="C5" s="6" t="s">
        <v>129</v>
      </c>
      <c r="D5" s="7" t="s">
        <v>18</v>
      </c>
      <c r="E5" s="7" t="str">
        <f t="array" ref="E5">IFERROR(INDEX('de para abc'!$C:$C,MATCH($C5,'de para abc'!$B:$B,0)),"N/D")</f>
        <v>B</v>
      </c>
      <c r="F5" s="8">
        <v>11</v>
      </c>
    </row>
    <row r="6" spans="1:6" x14ac:dyDescent="0.25">
      <c r="A6" s="4" t="s">
        <v>8</v>
      </c>
      <c r="B6" s="5">
        <f t="array" ref="B6">IFERROR(INDEX('de para abc'!$A:$A,MATCH($C6,'de para abc'!$B:$B,0)),"N/D")</f>
        <v>1000032</v>
      </c>
      <c r="C6" s="6" t="s">
        <v>9</v>
      </c>
      <c r="D6" s="7" t="s">
        <v>10</v>
      </c>
      <c r="E6" s="7" t="str">
        <f t="array" ref="E6">IFERROR(INDEX('de para abc'!$C:$C,MATCH($C6,'de para abc'!$B:$B,0)),"N/D")</f>
        <v>A</v>
      </c>
      <c r="F6" s="8">
        <v>9</v>
      </c>
    </row>
    <row r="7" spans="1:6" x14ac:dyDescent="0.25">
      <c r="A7" s="4" t="s">
        <v>8</v>
      </c>
      <c r="B7" s="5">
        <f t="array" ref="B7">IFERROR(INDEX('de para abc'!$A:$A,MATCH($C7,'de para abc'!$B:$B,0)),"N/D")</f>
        <v>1000033</v>
      </c>
      <c r="C7" s="6" t="s">
        <v>12</v>
      </c>
      <c r="D7" s="7" t="s">
        <v>10</v>
      </c>
      <c r="E7" s="7" t="str">
        <f t="array" ref="E7">IFERROR(INDEX('de para abc'!$C:$C,MATCH($C7,'de para abc'!$B:$B,0)),"N/D")</f>
        <v>A</v>
      </c>
      <c r="F7" s="8">
        <v>2</v>
      </c>
    </row>
    <row r="8" spans="1:6" x14ac:dyDescent="0.25">
      <c r="A8" s="4" t="s">
        <v>8</v>
      </c>
      <c r="B8" s="5">
        <f t="array" ref="B8">IFERROR(INDEX('de para abc'!$A:$A,MATCH($C8,'de para abc'!$B:$B,0)),"N/D")</f>
        <v>1001306</v>
      </c>
      <c r="C8" s="6" t="s">
        <v>13</v>
      </c>
      <c r="D8" s="7" t="s">
        <v>14</v>
      </c>
      <c r="E8" s="7" t="str">
        <f t="array" ref="E8">IFERROR(INDEX('de para abc'!$C:$C,MATCH($C8,'de para abc'!$B:$B,0)),"N/D")</f>
        <v>A</v>
      </c>
      <c r="F8" s="8">
        <v>4</v>
      </c>
    </row>
    <row r="9" spans="1:6" x14ac:dyDescent="0.25">
      <c r="A9" s="4" t="s">
        <v>8</v>
      </c>
      <c r="B9" s="5">
        <f t="array" ref="B9">IFERROR(INDEX('de para abc'!$A:$A,MATCH($C9,'de para abc'!$B:$B,0)),"N/D")</f>
        <v>1000037</v>
      </c>
      <c r="C9" s="6" t="s">
        <v>46</v>
      </c>
      <c r="D9" s="7" t="s">
        <v>10</v>
      </c>
      <c r="E9" s="7" t="str">
        <f t="array" ref="E9">IFERROR(INDEX('de para abc'!$C:$C,MATCH($C9,'de para abc'!$B:$B,0)),"N/D")</f>
        <v>A</v>
      </c>
      <c r="F9" s="8">
        <v>4</v>
      </c>
    </row>
    <row r="10" spans="1:6" x14ac:dyDescent="0.25">
      <c r="A10" s="4" t="s">
        <v>8</v>
      </c>
      <c r="B10" s="5">
        <f t="array" ref="B10">IFERROR(INDEX('de para abc'!$A:$A,MATCH($C10,'de para abc'!$B:$B,0)),"N/D")</f>
        <v>1000039</v>
      </c>
      <c r="C10" s="6" t="s">
        <v>16</v>
      </c>
      <c r="D10" s="7" t="s">
        <v>10</v>
      </c>
      <c r="E10" s="7" t="str">
        <f t="array" ref="E10">IFERROR(INDEX('de para abc'!$C:$C,MATCH($C10,'de para abc'!$B:$B,0)),"N/D")</f>
        <v>A</v>
      </c>
      <c r="F10" s="8">
        <v>11</v>
      </c>
    </row>
    <row r="11" spans="1:6" x14ac:dyDescent="0.25">
      <c r="A11" s="4" t="s">
        <v>8</v>
      </c>
      <c r="B11" s="5">
        <f t="array" ref="B11">IFERROR(INDEX('de para abc'!$A:$A,MATCH($C11,'de para abc'!$B:$B,0)),"N/D")</f>
        <v>1001455</v>
      </c>
      <c r="C11" s="6" t="s">
        <v>17</v>
      </c>
      <c r="D11" s="7" t="s">
        <v>18</v>
      </c>
      <c r="E11" s="7" t="str">
        <f t="array" ref="E11">IFERROR(INDEX('de para abc'!$C:$C,MATCH($C11,'de para abc'!$B:$B,0)),"N/D")</f>
        <v>A</v>
      </c>
      <c r="F11" s="8">
        <v>6</v>
      </c>
    </row>
    <row r="12" spans="1:6" x14ac:dyDescent="0.25">
      <c r="A12" s="4" t="s">
        <v>8</v>
      </c>
      <c r="B12" s="5">
        <f t="array" ref="B12">IFERROR(INDEX('de para abc'!$A:$A,MATCH($C12,'de para abc'!$B:$B,0)),"N/D")</f>
        <v>1000048</v>
      </c>
      <c r="C12" s="6" t="s">
        <v>19</v>
      </c>
      <c r="D12" s="7" t="s">
        <v>10</v>
      </c>
      <c r="E12" s="7" t="str">
        <f t="array" ref="E12">IFERROR(INDEX('de para abc'!$C:$C,MATCH($C12,'de para abc'!$B:$B,0)),"N/D")</f>
        <v>A</v>
      </c>
      <c r="F12" s="8">
        <v>5</v>
      </c>
    </row>
    <row r="13" spans="1:6" x14ac:dyDescent="0.25">
      <c r="A13" s="4" t="s">
        <v>8</v>
      </c>
      <c r="B13" s="5">
        <f t="array" ref="B13">IFERROR(INDEX('de para abc'!$A:$A,MATCH($C13,'de para abc'!$B:$B,0)),"N/D")</f>
        <v>1000049</v>
      </c>
      <c r="C13" s="6" t="s">
        <v>48</v>
      </c>
      <c r="D13" s="7" t="s">
        <v>10</v>
      </c>
      <c r="E13" s="7" t="str">
        <f t="array" ref="E13">IFERROR(INDEX('de para abc'!$C:$C,MATCH($C13,'de para abc'!$B:$B,0)),"N/D")</f>
        <v>A</v>
      </c>
      <c r="F13" s="8">
        <v>6</v>
      </c>
    </row>
    <row r="14" spans="1:6" x14ac:dyDescent="0.25">
      <c r="A14" s="4" t="s">
        <v>8</v>
      </c>
      <c r="B14" s="5">
        <f t="array" ref="B14">IFERROR(INDEX('de para abc'!$A:$A,MATCH($C14,'de para abc'!$B:$B,0)),"N/D")</f>
        <v>1000060</v>
      </c>
      <c r="C14" s="6" t="s">
        <v>130</v>
      </c>
      <c r="D14" s="7" t="s">
        <v>10</v>
      </c>
      <c r="E14" s="7" t="str">
        <f t="array" ref="E14">IFERROR(INDEX('de para abc'!$C:$C,MATCH($C14,'de para abc'!$B:$B,0)),"N/D")</f>
        <v>C</v>
      </c>
      <c r="F14" s="8">
        <v>12</v>
      </c>
    </row>
    <row r="15" spans="1:6" x14ac:dyDescent="0.25">
      <c r="A15" s="4" t="s">
        <v>8</v>
      </c>
      <c r="B15" s="5">
        <f t="array" ref="B15">IFERROR(INDEX('de para abc'!$A:$A,MATCH($C15,'de para abc'!$B:$B,0)),"N/D")</f>
        <v>1000065</v>
      </c>
      <c r="C15" s="6" t="s">
        <v>131</v>
      </c>
      <c r="D15" s="7" t="s">
        <v>10</v>
      </c>
      <c r="E15" s="7" t="str">
        <f t="array" ref="E15">IFERROR(INDEX('de para abc'!$C:$C,MATCH($C15,'de para abc'!$B:$B,0)),"N/D")</f>
        <v>A</v>
      </c>
      <c r="F15" s="8">
        <v>10</v>
      </c>
    </row>
    <row r="16" spans="1:6" x14ac:dyDescent="0.25">
      <c r="A16" s="4" t="s">
        <v>8</v>
      </c>
      <c r="B16" s="5">
        <f t="array" ref="B16">IFERROR(INDEX('de para abc'!$A:$A,MATCH($C16,'de para abc'!$B:$B,0)),"N/D")</f>
        <v>1000082</v>
      </c>
      <c r="C16" s="6" t="s">
        <v>132</v>
      </c>
      <c r="D16" s="7" t="s">
        <v>14</v>
      </c>
      <c r="E16" s="7" t="s">
        <v>57</v>
      </c>
      <c r="F16" s="8">
        <v>1</v>
      </c>
    </row>
    <row r="17" spans="1:6" x14ac:dyDescent="0.25">
      <c r="A17" s="4" t="s">
        <v>8</v>
      </c>
      <c r="B17" s="5">
        <f t="array" ref="B17">IFERROR(INDEX('de para abc'!$A:$A,MATCH($C17,'de para abc'!$B:$B,0)),"N/D")</f>
        <v>1001712</v>
      </c>
      <c r="C17" s="6" t="s">
        <v>133</v>
      </c>
      <c r="D17" s="7" t="s">
        <v>18</v>
      </c>
      <c r="E17" s="7" t="str">
        <f t="array" ref="E17">IFERROR(INDEX('de para abc'!$C:$C,MATCH($C17,'de para abc'!$B:$B,0)),"N/D")</f>
        <v>B</v>
      </c>
      <c r="F17" s="8">
        <v>2</v>
      </c>
    </row>
    <row r="18" spans="1:6" x14ac:dyDescent="0.25">
      <c r="A18" s="4" t="s">
        <v>8</v>
      </c>
      <c r="B18" s="5">
        <f t="array" ref="B18">IFERROR(INDEX('de para abc'!$A:$A,MATCH($C18,'de para abc'!$B:$B,0)),"N/D")</f>
        <v>1001702</v>
      </c>
      <c r="C18" s="6" t="s">
        <v>20</v>
      </c>
      <c r="D18" s="7" t="s">
        <v>18</v>
      </c>
      <c r="E18" s="7" t="str">
        <f t="array" ref="E18">IFERROR(INDEX('de para abc'!$C:$C,MATCH($C18,'de para abc'!$B:$B,0)),"N/D")</f>
        <v>B</v>
      </c>
      <c r="F18" s="8">
        <v>7</v>
      </c>
    </row>
    <row r="19" spans="1:6" x14ac:dyDescent="0.25">
      <c r="A19" s="4" t="s">
        <v>8</v>
      </c>
      <c r="B19" s="5">
        <f t="array" ref="B19">IFERROR(INDEX('de para abc'!$A:$A,MATCH($C19,'de para abc'!$B:$B,0)),"N/D")</f>
        <v>1001701</v>
      </c>
      <c r="C19" s="6" t="s">
        <v>21</v>
      </c>
      <c r="D19" s="7" t="s">
        <v>18</v>
      </c>
      <c r="E19" s="7" t="str">
        <f t="array" ref="E19">IFERROR(INDEX('de para abc'!$C:$C,MATCH($C19,'de para abc'!$B:$B,0)),"N/D")</f>
        <v>B</v>
      </c>
      <c r="F19" s="8">
        <v>9</v>
      </c>
    </row>
    <row r="20" spans="1:6" x14ac:dyDescent="0.25">
      <c r="A20" s="4" t="s">
        <v>8</v>
      </c>
      <c r="B20" s="5">
        <f t="array" ref="B20">IFERROR(INDEX('de para abc'!$A:$A,MATCH($C20,'de para abc'!$B:$B,0)),"N/D")</f>
        <v>1001305</v>
      </c>
      <c r="C20" s="6" t="s">
        <v>134</v>
      </c>
      <c r="D20" s="7" t="s">
        <v>14</v>
      </c>
      <c r="E20" s="7" t="s">
        <v>57</v>
      </c>
      <c r="F20" s="8">
        <v>1</v>
      </c>
    </row>
    <row r="21" spans="1:6" ht="15.75" customHeight="1" x14ac:dyDescent="0.25">
      <c r="A21" s="4" t="s">
        <v>8</v>
      </c>
      <c r="B21" s="5">
        <f t="array" ref="B21">IFERROR(INDEX('de para abc'!$A:$A,MATCH($C21,'de para abc'!$B:$B,0)),"N/D")</f>
        <v>1001680</v>
      </c>
      <c r="C21" s="6" t="s">
        <v>135</v>
      </c>
      <c r="D21" s="7" t="s">
        <v>10</v>
      </c>
      <c r="E21" s="7" t="str">
        <f t="array" ref="E21">IFERROR(INDEX('de para abc'!$C:$C,MATCH($C21,'de para abc'!$B:$B,0)),"N/D")</f>
        <v>A</v>
      </c>
      <c r="F21" s="8">
        <v>13</v>
      </c>
    </row>
    <row r="22" spans="1:6" ht="15.75" customHeight="1" x14ac:dyDescent="0.25">
      <c r="A22" s="4" t="s">
        <v>8</v>
      </c>
      <c r="B22" s="5">
        <f t="array" ref="B22">IFERROR(INDEX('de para abc'!$A:$A,MATCH($C22,'de para abc'!$B:$B,0)),"N/D")</f>
        <v>1001941</v>
      </c>
      <c r="C22" s="6" t="s">
        <v>58</v>
      </c>
      <c r="D22" s="7" t="s">
        <v>59</v>
      </c>
      <c r="E22" s="7" t="str">
        <f t="array" ref="E22">IFERROR(INDEX('de para abc'!$C:$C,MATCH($C22,'de para abc'!$B:$B,0)),"N/D")</f>
        <v>A</v>
      </c>
      <c r="F22" s="8">
        <v>2</v>
      </c>
    </row>
    <row r="23" spans="1:6" ht="15.75" customHeight="1" x14ac:dyDescent="0.25">
      <c r="A23" s="4" t="s">
        <v>8</v>
      </c>
      <c r="B23" s="5">
        <f t="array" ref="B23">IFERROR(INDEX('de para abc'!$A:$A,MATCH($C23,'de para abc'!$B:$B,0)),"N/D")</f>
        <v>1001704</v>
      </c>
      <c r="C23" s="6" t="s">
        <v>136</v>
      </c>
      <c r="D23" s="7" t="s">
        <v>18</v>
      </c>
      <c r="E23" s="7" t="str">
        <f t="array" ref="E23">IFERROR(INDEX('de para abc'!$C:$C,MATCH($C23,'de para abc'!$B:$B,0)),"N/D")</f>
        <v>C</v>
      </c>
      <c r="F23" s="8">
        <v>2</v>
      </c>
    </row>
    <row r="24" spans="1:6" ht="15.75" customHeight="1" x14ac:dyDescent="0.25">
      <c r="A24" s="4" t="s">
        <v>8</v>
      </c>
      <c r="B24" s="5">
        <f t="array" ref="B24">IFERROR(INDEX('de para abc'!$A:$A,MATCH($C24,'de para abc'!$B:$B,0)),"N/D")</f>
        <v>1001703</v>
      </c>
      <c r="C24" s="6" t="s">
        <v>137</v>
      </c>
      <c r="D24" s="7" t="s">
        <v>18</v>
      </c>
      <c r="E24" s="7" t="str">
        <f t="array" ref="E24">IFERROR(INDEX('de para abc'!$C:$C,MATCH($C24,'de para abc'!$B:$B,0)),"N/D")</f>
        <v>C</v>
      </c>
      <c r="F24" s="8">
        <v>4</v>
      </c>
    </row>
    <row r="25" spans="1:6" ht="15.75" customHeight="1" x14ac:dyDescent="0.25">
      <c r="A25" s="4" t="s">
        <v>8</v>
      </c>
      <c r="B25" s="5">
        <f t="array" ref="B25">IFERROR(INDEX('de para abc'!$A:$A,MATCH($C25,'de para abc'!$B:$B,0)),"N/D")</f>
        <v>1006819</v>
      </c>
      <c r="C25" s="6" t="s">
        <v>138</v>
      </c>
      <c r="D25" s="7" t="s">
        <v>18</v>
      </c>
      <c r="E25" s="7" t="str">
        <f t="array" ref="E25">IFERROR(INDEX('de para abc'!$C:$C,MATCH($C25,'de para abc'!$B:$B,0)),"N/D")</f>
        <v>C</v>
      </c>
      <c r="F25" s="8">
        <v>2</v>
      </c>
    </row>
    <row r="26" spans="1:6" ht="15.75" customHeight="1" x14ac:dyDescent="0.25">
      <c r="A26" s="4" t="s">
        <v>8</v>
      </c>
      <c r="B26" s="5">
        <f t="array" ref="B26">IFERROR(INDEX('de para abc'!$A:$A,MATCH($C26,'de para abc'!$B:$B,0)),"N/D")</f>
        <v>1008890</v>
      </c>
      <c r="C26" s="6" t="s">
        <v>23</v>
      </c>
      <c r="D26" s="7" t="s">
        <v>18</v>
      </c>
      <c r="E26" s="7" t="str">
        <f t="array" ref="E26">IFERROR(INDEX('de para abc'!$C:$C,MATCH($C26,'de para abc'!$B:$B,0)),"N/D")</f>
        <v>C</v>
      </c>
      <c r="F26" s="8">
        <v>1</v>
      </c>
    </row>
    <row r="27" spans="1:6" ht="15.75" customHeight="1" x14ac:dyDescent="0.25">
      <c r="A27" s="4" t="s">
        <v>8</v>
      </c>
      <c r="B27" s="5">
        <f t="array" ref="B27">IFERROR(INDEX('de para abc'!$A:$A,MATCH($C27,'de para abc'!$B:$B,0)),"N/D")</f>
        <v>1001667</v>
      </c>
      <c r="C27" s="6" t="s">
        <v>139</v>
      </c>
      <c r="D27" s="7" t="s">
        <v>18</v>
      </c>
      <c r="E27" s="7" t="str">
        <f t="array" ref="E27">IFERROR(INDEX('de para abc'!$C:$C,MATCH($C27,'de para abc'!$B:$B,0)),"N/D")</f>
        <v>A</v>
      </c>
      <c r="F27" s="8">
        <v>13</v>
      </c>
    </row>
    <row r="28" spans="1:6" ht="15.75" customHeight="1" x14ac:dyDescent="0.25">
      <c r="A28" s="4" t="s">
        <v>8</v>
      </c>
      <c r="B28" s="5">
        <f t="array" ref="B28">IFERROR(INDEX('de para abc'!$A:$A,MATCH($C28,'de para abc'!$B:$B,0)),"N/D")</f>
        <v>1001122</v>
      </c>
      <c r="C28" s="6" t="s">
        <v>140</v>
      </c>
      <c r="D28" s="7" t="s">
        <v>10</v>
      </c>
      <c r="E28" s="7" t="str">
        <f t="array" ref="E28">IFERROR(INDEX('de para abc'!$C:$C,MATCH($C28,'de para abc'!$B:$B,0)),"N/D")</f>
        <v>A</v>
      </c>
      <c r="F28" s="8">
        <v>2</v>
      </c>
    </row>
    <row r="29" spans="1:6" ht="15.75" customHeight="1" x14ac:dyDescent="0.25">
      <c r="A29" s="4" t="s">
        <v>8</v>
      </c>
      <c r="B29" s="5">
        <f t="array" ref="B29">IFERROR(INDEX('de para abc'!$A:$A,MATCH($C29,'de para abc'!$B:$B,0)),"N/D")</f>
        <v>1000162</v>
      </c>
      <c r="C29" s="6" t="s">
        <v>141</v>
      </c>
      <c r="D29" s="7" t="s">
        <v>10</v>
      </c>
      <c r="E29" s="7" t="str">
        <f t="array" ref="E29">IFERROR(INDEX('de para abc'!$C:$C,MATCH($C29,'de para abc'!$B:$B,0)),"N/D")</f>
        <v>C</v>
      </c>
      <c r="F29" s="8">
        <v>1</v>
      </c>
    </row>
    <row r="30" spans="1:6" ht="15.75" customHeight="1" x14ac:dyDescent="0.25">
      <c r="A30" s="4" t="s">
        <v>8</v>
      </c>
      <c r="B30" s="5">
        <f t="array" ref="B30">IFERROR(INDEX('de para abc'!$A:$A,MATCH($C30,'de para abc'!$B:$B,0)),"N/D")</f>
        <v>1001146</v>
      </c>
      <c r="C30" s="6" t="s">
        <v>27</v>
      </c>
      <c r="D30" s="7" t="s">
        <v>10</v>
      </c>
      <c r="E30" s="7" t="str">
        <f t="array" ref="E30">IFERROR(INDEX('de para abc'!$C:$C,MATCH($C30,'de para abc'!$B:$B,0)),"N/D")</f>
        <v>B</v>
      </c>
      <c r="F30" s="8">
        <v>3</v>
      </c>
    </row>
    <row r="31" spans="1:6" ht="15.75" customHeight="1" x14ac:dyDescent="0.25">
      <c r="A31" s="4" t="s">
        <v>8</v>
      </c>
      <c r="B31" s="5">
        <f t="array" ref="B31">IFERROR(INDEX('de para abc'!$A:$A,MATCH($C31,'de para abc'!$B:$B,0)),"N/D")</f>
        <v>1000183</v>
      </c>
      <c r="C31" s="6" t="s">
        <v>51</v>
      </c>
      <c r="D31" s="7" t="s">
        <v>14</v>
      </c>
      <c r="E31" s="7" t="str">
        <f t="array" ref="E31">IFERROR(INDEX('de para abc'!$C:$C,MATCH($C31,'de para abc'!$B:$B,0)),"N/D")</f>
        <v>A</v>
      </c>
      <c r="F31" s="8">
        <v>3</v>
      </c>
    </row>
    <row r="32" spans="1:6" ht="15.75" customHeight="1" x14ac:dyDescent="0.25">
      <c r="A32" s="4" t="s">
        <v>8</v>
      </c>
      <c r="B32" s="5">
        <f t="array" ref="B32">IFERROR(INDEX('de para abc'!$A:$A,MATCH($C32,'de para abc'!$B:$B,0)),"N/D")</f>
        <v>1000184</v>
      </c>
      <c r="C32" s="6" t="s">
        <v>28</v>
      </c>
      <c r="D32" s="7" t="s">
        <v>14</v>
      </c>
      <c r="E32" s="7" t="str">
        <f t="array" ref="E32">IFERROR(INDEX('de para abc'!$C:$C,MATCH($C32,'de para abc'!$B:$B,0)),"N/D")</f>
        <v>A</v>
      </c>
      <c r="F32" s="8">
        <v>30</v>
      </c>
    </row>
    <row r="33" spans="1:6" ht="15.75" customHeight="1" x14ac:dyDescent="0.25">
      <c r="A33" s="4" t="s">
        <v>8</v>
      </c>
      <c r="B33" s="5">
        <f t="array" ref="B33">IFERROR(INDEX('de para abc'!$A:$A,MATCH($C33,'de para abc'!$B:$B,0)),"N/D")</f>
        <v>1000185</v>
      </c>
      <c r="C33" s="6" t="s">
        <v>52</v>
      </c>
      <c r="D33" s="7" t="s">
        <v>14</v>
      </c>
      <c r="E33" s="7" t="str">
        <f t="array" ref="E33">IFERROR(INDEX('de para abc'!$C:$C,MATCH($C33,'de para abc'!$B:$B,0)),"N/D")</f>
        <v>A</v>
      </c>
      <c r="F33" s="8">
        <v>6</v>
      </c>
    </row>
    <row r="34" spans="1:6" ht="15.75" customHeight="1" x14ac:dyDescent="0.25">
      <c r="A34" s="4" t="s">
        <v>8</v>
      </c>
      <c r="B34" s="5">
        <f t="array" ref="B34">IFERROR(INDEX('de para abc'!$A:$A,MATCH($C34,'de para abc'!$B:$B,0)),"N/D")</f>
        <v>1001294</v>
      </c>
      <c r="C34" s="6" t="s">
        <v>142</v>
      </c>
      <c r="D34" s="7" t="s">
        <v>14</v>
      </c>
      <c r="E34" s="7" t="str">
        <f t="array" ref="E34">IFERROR(INDEX('de para abc'!$C:$C,MATCH($C34,'de para abc'!$B:$B,0)),"N/D")</f>
        <v>C</v>
      </c>
      <c r="F34" s="8">
        <v>1</v>
      </c>
    </row>
    <row r="35" spans="1:6" ht="15.75" customHeight="1" x14ac:dyDescent="0.25">
      <c r="A35" s="4" t="s">
        <v>8</v>
      </c>
      <c r="B35" s="5">
        <f t="array" ref="B35">IFERROR(INDEX('de para abc'!$A:$A,MATCH($C35,'de para abc'!$B:$B,0)),"N/D")</f>
        <v>1006116</v>
      </c>
      <c r="C35" s="6" t="s">
        <v>30</v>
      </c>
      <c r="D35" s="7" t="s">
        <v>10</v>
      </c>
      <c r="E35" s="7" t="str">
        <f t="array" ref="E35">IFERROR(INDEX('de para abc'!$C:$C,MATCH($C35,'de para abc'!$B:$B,0)),"N/D")</f>
        <v>B</v>
      </c>
      <c r="F35" s="8">
        <v>3</v>
      </c>
    </row>
    <row r="36" spans="1:6" ht="15.75" customHeight="1" x14ac:dyDescent="0.25">
      <c r="A36" s="4" t="s">
        <v>8</v>
      </c>
      <c r="B36" s="5">
        <f t="array" ref="B36">IFERROR(INDEX('de para abc'!$A:$A,MATCH($C36,'de para abc'!$B:$B,0)),"N/D")</f>
        <v>1001707</v>
      </c>
      <c r="C36" s="6" t="s">
        <v>143</v>
      </c>
      <c r="D36" s="7" t="s">
        <v>18</v>
      </c>
      <c r="E36" s="7" t="str">
        <f t="array" ref="E36">IFERROR(INDEX('de para abc'!$C:$C,MATCH($C36,'de para abc'!$B:$B,0)),"N/D")</f>
        <v>B</v>
      </c>
      <c r="F36" s="8">
        <v>5</v>
      </c>
    </row>
    <row r="37" spans="1:6" ht="15.75" customHeight="1" x14ac:dyDescent="0.25">
      <c r="A37" s="4" t="s">
        <v>8</v>
      </c>
      <c r="B37" s="5">
        <f t="array" ref="B37">IFERROR(INDEX('de para abc'!$A:$A,MATCH($C37,'de para abc'!$B:$B,0)),"N/D")</f>
        <v>1000195</v>
      </c>
      <c r="C37" s="6" t="s">
        <v>32</v>
      </c>
      <c r="D37" s="7" t="s">
        <v>10</v>
      </c>
      <c r="E37" s="7" t="str">
        <f t="array" ref="E37">IFERROR(INDEX('de para abc'!$C:$C,MATCH($C37,'de para abc'!$B:$B,0)),"N/D")</f>
        <v>A</v>
      </c>
      <c r="F37" s="8">
        <v>2</v>
      </c>
    </row>
    <row r="38" spans="1:6" ht="15.75" customHeight="1" x14ac:dyDescent="0.25">
      <c r="A38" s="4" t="s">
        <v>8</v>
      </c>
      <c r="B38" s="5">
        <f t="array" ref="B38">IFERROR(INDEX('de para abc'!$A:$A,MATCH($C38,'de para abc'!$B:$B,0)),"N/D")</f>
        <v>1000196</v>
      </c>
      <c r="C38" s="6" t="s">
        <v>64</v>
      </c>
      <c r="D38" s="7" t="s">
        <v>14</v>
      </c>
      <c r="E38" s="7" t="str">
        <f t="array" ref="E38">IFERROR(INDEX('de para abc'!$C:$C,MATCH($C38,'de para abc'!$B:$B,0)),"N/D")</f>
        <v>A</v>
      </c>
      <c r="F38" s="8">
        <v>4</v>
      </c>
    </row>
    <row r="39" spans="1:6" ht="15.75" customHeight="1" x14ac:dyDescent="0.25">
      <c r="A39" s="4" t="s">
        <v>8</v>
      </c>
      <c r="B39" s="5">
        <f t="array" ref="B39">IFERROR(INDEX('de para abc'!$A:$A,MATCH($C39,'de para abc'!$B:$B,0)),"N/D")</f>
        <v>1000197</v>
      </c>
      <c r="C39" s="6" t="s">
        <v>53</v>
      </c>
      <c r="D39" s="7" t="s">
        <v>14</v>
      </c>
      <c r="E39" s="7" t="str">
        <f t="array" ref="E39">IFERROR(INDEX('de para abc'!$C:$C,MATCH($C39,'de para abc'!$B:$B,0)),"N/D")</f>
        <v>A</v>
      </c>
      <c r="F39" s="8">
        <v>25</v>
      </c>
    </row>
    <row r="40" spans="1:6" ht="15.75" customHeight="1" x14ac:dyDescent="0.25">
      <c r="A40" s="4" t="s">
        <v>8</v>
      </c>
      <c r="B40" s="5">
        <f t="array" ref="B40">IFERROR(INDEX('de para abc'!$A:$A,MATCH($C40,'de para abc'!$B:$B,0)),"N/D")</f>
        <v>1000198</v>
      </c>
      <c r="C40" s="6" t="s">
        <v>65</v>
      </c>
      <c r="D40" s="7" t="s">
        <v>14</v>
      </c>
      <c r="E40" s="7" t="str">
        <f t="array" ref="E40">IFERROR(INDEX('de para abc'!$C:$C,MATCH($C40,'de para abc'!$B:$B,0)),"N/D")</f>
        <v>A</v>
      </c>
      <c r="F40" s="8">
        <v>7</v>
      </c>
    </row>
    <row r="41" spans="1:6" ht="15.75" customHeight="1" x14ac:dyDescent="0.25">
      <c r="A41" s="4" t="s">
        <v>8</v>
      </c>
      <c r="B41" s="5">
        <f t="array" ref="B41">IFERROR(INDEX('de para abc'!$A:$A,MATCH($C41,'de para abc'!$B:$B,0)),"N/D")</f>
        <v>1001741</v>
      </c>
      <c r="C41" s="6" t="s">
        <v>33</v>
      </c>
      <c r="D41" s="7" t="s">
        <v>14</v>
      </c>
      <c r="E41" s="7" t="str">
        <f t="array" ref="E41">IFERROR(INDEX('de para abc'!$C:$C,MATCH($C41,'de para abc'!$B:$B,0)),"N/D")</f>
        <v>A</v>
      </c>
      <c r="F41" s="8">
        <v>7</v>
      </c>
    </row>
    <row r="42" spans="1:6" ht="15.75" customHeight="1" x14ac:dyDescent="0.25">
      <c r="A42" s="4" t="s">
        <v>8</v>
      </c>
      <c r="B42" s="5">
        <f t="array" ref="B42">IFERROR(INDEX('de para abc'!$A:$A,MATCH($C42,'de para abc'!$B:$B,0)),"N/D")</f>
        <v>1000205</v>
      </c>
      <c r="C42" s="6" t="s">
        <v>144</v>
      </c>
      <c r="D42" s="7" t="s">
        <v>10</v>
      </c>
      <c r="E42" s="7" t="str">
        <f t="array" ref="E42">IFERROR(INDEX('de para abc'!$C:$C,MATCH($C42,'de para abc'!$B:$B,0)),"N/D")</f>
        <v>C</v>
      </c>
      <c r="F42" s="8">
        <v>1</v>
      </c>
    </row>
    <row r="43" spans="1:6" ht="15.75" customHeight="1" x14ac:dyDescent="0.25">
      <c r="A43" s="4" t="s">
        <v>8</v>
      </c>
      <c r="B43" s="5">
        <f t="array" ref="B43">IFERROR(INDEX('de para abc'!$A:$A,MATCH($C43,'de para abc'!$B:$B,0)),"N/D")</f>
        <v>1001045</v>
      </c>
      <c r="C43" s="6" t="s">
        <v>145</v>
      </c>
      <c r="D43" s="7" t="s">
        <v>10</v>
      </c>
      <c r="E43" s="7" t="str">
        <f t="array" ref="E43">IFERROR(INDEX('de para abc'!$C:$C,MATCH($C43,'de para abc'!$B:$B,0)),"N/D")</f>
        <v>A</v>
      </c>
      <c r="F43" s="8">
        <v>0</v>
      </c>
    </row>
    <row r="44" spans="1:6" ht="15.75" customHeight="1" x14ac:dyDescent="0.25">
      <c r="A44" s="4" t="s">
        <v>8</v>
      </c>
      <c r="B44" s="5">
        <f t="array" ref="B44">IFERROR(INDEX('de para abc'!$A:$A,MATCH($C44,'de para abc'!$B:$B,0)),"N/D")</f>
        <v>1000224</v>
      </c>
      <c r="C44" s="6" t="s">
        <v>146</v>
      </c>
      <c r="D44" s="7" t="s">
        <v>14</v>
      </c>
      <c r="E44" s="7" t="str">
        <f t="array" ref="E44">IFERROR(INDEX('de para abc'!$C:$C,MATCH($C44,'de para abc'!$B:$B,0)),"N/D")</f>
        <v>A</v>
      </c>
      <c r="F44" s="8">
        <v>4</v>
      </c>
    </row>
    <row r="45" spans="1:6" ht="15.75" customHeight="1" x14ac:dyDescent="0.25">
      <c r="A45" s="4" t="s">
        <v>8</v>
      </c>
      <c r="B45" s="5">
        <f t="array" ref="B45">IFERROR(INDEX('de para abc'!$A:$A,MATCH($C45,'de para abc'!$B:$B,0)),"N/D")</f>
        <v>1001718</v>
      </c>
      <c r="C45" s="6" t="s">
        <v>147</v>
      </c>
      <c r="D45" s="7" t="s">
        <v>10</v>
      </c>
      <c r="E45" s="7" t="str">
        <f t="array" ref="E45">IFERROR(INDEX('de para abc'!$C:$C,MATCH($C45,'de para abc'!$B:$B,0)),"N/D")</f>
        <v>A</v>
      </c>
      <c r="F45" s="8">
        <v>5</v>
      </c>
    </row>
    <row r="46" spans="1:6" ht="15.75" customHeight="1" x14ac:dyDescent="0.25">
      <c r="A46" s="4" t="s">
        <v>8</v>
      </c>
      <c r="B46" s="5">
        <f t="array" ref="B46">IFERROR(INDEX('de para abc'!$A:$A,MATCH($C46,'de para abc'!$B:$B,0)),"N/D")</f>
        <v>1000481</v>
      </c>
      <c r="C46" s="6" t="s">
        <v>148</v>
      </c>
      <c r="D46" s="7" t="s">
        <v>14</v>
      </c>
      <c r="E46" s="7" t="str">
        <f t="array" ref="E46">IFERROR(INDEX('de para abc'!$C:$C,MATCH($C46,'de para abc'!$B:$B,0)),"N/D")</f>
        <v>B</v>
      </c>
      <c r="F46" s="8">
        <v>3</v>
      </c>
    </row>
    <row r="47" spans="1:6" ht="15.75" customHeight="1" x14ac:dyDescent="0.25">
      <c r="A47" s="4" t="s">
        <v>8</v>
      </c>
      <c r="B47" s="5">
        <f t="array" ref="B47">IFERROR(INDEX('de para abc'!$A:$A,MATCH($C47,'de para abc'!$B:$B,0)),"N/D")</f>
        <v>1001299</v>
      </c>
      <c r="C47" s="6" t="s">
        <v>149</v>
      </c>
      <c r="D47" s="7" t="s">
        <v>14</v>
      </c>
      <c r="E47" s="7" t="str">
        <f t="array" ref="E47">IFERROR(INDEX('de para abc'!$C:$C,MATCH($C47,'de para abc'!$B:$B,0)),"N/D")</f>
        <v>A</v>
      </c>
      <c r="F47" s="8">
        <v>3</v>
      </c>
    </row>
    <row r="48" spans="1:6" ht="15.75" customHeight="1" x14ac:dyDescent="0.25">
      <c r="A48" s="4" t="s">
        <v>8</v>
      </c>
      <c r="B48" s="5">
        <f t="array" ref="B48">IFERROR(INDEX('de para abc'!$A:$A,MATCH($C48,'de para abc'!$B:$B,0)),"N/D")</f>
        <v>1001488</v>
      </c>
      <c r="C48" s="6" t="s">
        <v>34</v>
      </c>
      <c r="D48" s="7" t="s">
        <v>18</v>
      </c>
      <c r="E48" s="7" t="str">
        <f t="array" ref="E48">IFERROR(INDEX('de para abc'!$C:$C,MATCH($C48,'de para abc'!$B:$B,0)),"N/D")</f>
        <v>A</v>
      </c>
      <c r="F48" s="8">
        <v>1</v>
      </c>
    </row>
    <row r="49" spans="1:6" ht="15.75" customHeight="1" x14ac:dyDescent="0.25">
      <c r="A49" s="4" t="s">
        <v>8</v>
      </c>
      <c r="B49" s="5">
        <f t="array" ref="B49">IFERROR(INDEX('de para abc'!$A:$A,MATCH($C49,'de para abc'!$B:$B,0)),"N/D")</f>
        <v>1000243</v>
      </c>
      <c r="C49" s="6" t="s">
        <v>150</v>
      </c>
      <c r="D49" s="7" t="s">
        <v>14</v>
      </c>
      <c r="E49" s="7" t="str">
        <f t="array" ref="E49">IFERROR(INDEX('de para abc'!$C:$C,MATCH($C49,'de para abc'!$B:$B,0)),"N/D")</f>
        <v>A</v>
      </c>
      <c r="F49" s="8">
        <v>1</v>
      </c>
    </row>
    <row r="50" spans="1:6" ht="15.75" customHeight="1" x14ac:dyDescent="0.25">
      <c r="A50" s="4" t="s">
        <v>8</v>
      </c>
      <c r="B50" s="5">
        <f t="array" ref="B50">IFERROR(INDEX('de para abc'!$A:$A,MATCH($C50,'de para abc'!$B:$B,0)),"N/D")</f>
        <v>1000254</v>
      </c>
      <c r="C50" s="6" t="s">
        <v>151</v>
      </c>
      <c r="D50" s="7" t="s">
        <v>10</v>
      </c>
      <c r="E50" s="7" t="str">
        <f t="array" ref="E50">IFERROR(INDEX('de para abc'!$C:$C,MATCH($C50,'de para abc'!$B:$B,0)),"N/D")</f>
        <v>A</v>
      </c>
      <c r="F50" s="8">
        <v>10</v>
      </c>
    </row>
    <row r="51" spans="1:6" ht="15.75" customHeight="1" x14ac:dyDescent="0.25">
      <c r="A51" s="4" t="s">
        <v>8</v>
      </c>
      <c r="B51" s="5">
        <f t="array" ref="B51">IFERROR(INDEX('de para abc'!$A:$A,MATCH($C51,'de para abc'!$B:$B,0)),"N/D")</f>
        <v>1000256</v>
      </c>
      <c r="C51" s="6" t="s">
        <v>36</v>
      </c>
      <c r="D51" s="7" t="s">
        <v>14</v>
      </c>
      <c r="E51" s="7" t="str">
        <f t="array" ref="E51">IFERROR(INDEX('de para abc'!$C:$C,MATCH($C51,'de para abc'!$B:$B,0)),"N/D")</f>
        <v>B</v>
      </c>
      <c r="F51" s="8">
        <v>1</v>
      </c>
    </row>
    <row r="52" spans="1:6" ht="15.75" customHeight="1" x14ac:dyDescent="0.25">
      <c r="A52" s="4" t="s">
        <v>8</v>
      </c>
      <c r="B52" s="5">
        <f t="array" ref="B52">IFERROR(INDEX('de para abc'!$A:$A,MATCH($C52,'de para abc'!$B:$B,0)),"N/D")</f>
        <v>1000258</v>
      </c>
      <c r="C52" s="6" t="s">
        <v>35</v>
      </c>
      <c r="D52" s="7" t="s">
        <v>10</v>
      </c>
      <c r="E52" s="7" t="str">
        <f t="array" ref="E52">IFERROR(INDEX('de para abc'!$C:$C,MATCH($C52,'de para abc'!$B:$B,0)),"N/D")</f>
        <v>A</v>
      </c>
      <c r="F52" s="8">
        <v>2</v>
      </c>
    </row>
    <row r="53" spans="1:6" ht="15.75" customHeight="1" x14ac:dyDescent="0.25">
      <c r="A53" s="4" t="s">
        <v>8</v>
      </c>
      <c r="B53" s="5">
        <f t="array" ref="B53">IFERROR(INDEX('de para abc'!$A:$A,MATCH($C53,'de para abc'!$B:$B,0)),"N/D")</f>
        <v>1001264</v>
      </c>
      <c r="C53" s="6" t="s">
        <v>37</v>
      </c>
      <c r="D53" s="7" t="s">
        <v>14</v>
      </c>
      <c r="E53" s="7" t="str">
        <f t="array" ref="E53">IFERROR(INDEX('de para abc'!$C:$C,MATCH($C53,'de para abc'!$B:$B,0)),"N/D")</f>
        <v>A</v>
      </c>
      <c r="F53" s="8">
        <v>13</v>
      </c>
    </row>
    <row r="54" spans="1:6" ht="15.75" customHeight="1" x14ac:dyDescent="0.25">
      <c r="A54" s="4" t="s">
        <v>8</v>
      </c>
      <c r="B54" s="5">
        <f t="array" ref="B54">IFERROR(INDEX('de para abc'!$A:$A,MATCH($C54,'de para abc'!$B:$B,0)),"N/D")</f>
        <v>1000262</v>
      </c>
      <c r="C54" s="6" t="s">
        <v>66</v>
      </c>
      <c r="D54" s="7" t="s">
        <v>14</v>
      </c>
      <c r="E54" s="7" t="str">
        <f t="array" ref="E54">IFERROR(INDEX('de para abc'!$C:$C,MATCH($C54,'de para abc'!$B:$B,0)),"N/D")</f>
        <v>C</v>
      </c>
      <c r="F54" s="8">
        <v>3</v>
      </c>
    </row>
    <row r="55" spans="1:6" ht="15.75" customHeight="1" x14ac:dyDescent="0.25">
      <c r="A55" s="4" t="s">
        <v>8</v>
      </c>
      <c r="B55" s="5">
        <f t="array" ref="B55">IFERROR(INDEX('de para abc'!$A:$A,MATCH($C55,'de para abc'!$B:$B,0)),"N/D")</f>
        <v>1000284</v>
      </c>
      <c r="C55" s="6" t="s">
        <v>38</v>
      </c>
      <c r="D55" s="7" t="s">
        <v>14</v>
      </c>
      <c r="E55" s="7" t="str">
        <f t="array" ref="E55">IFERROR(INDEX('de para abc'!$C:$C,MATCH($C55,'de para abc'!$B:$B,0)),"N/D")</f>
        <v>B</v>
      </c>
      <c r="F55" s="8">
        <v>2</v>
      </c>
    </row>
    <row r="56" spans="1:6" ht="15.75" customHeight="1" x14ac:dyDescent="0.25">
      <c r="A56" s="4" t="s">
        <v>8</v>
      </c>
      <c r="B56" s="5">
        <f t="array" ref="B56">IFERROR(INDEX('de para abc'!$A:$A,MATCH($C56,'de para abc'!$B:$B,0)),"N/D")</f>
        <v>1001940</v>
      </c>
      <c r="C56" s="6" t="s">
        <v>152</v>
      </c>
      <c r="D56" s="7" t="s">
        <v>14</v>
      </c>
      <c r="E56" s="7" t="str">
        <f t="array" ref="E56">IFERROR(INDEX('de para abc'!$C:$C,MATCH($C56,'de para abc'!$B:$B,0)),"N/D")</f>
        <v>C</v>
      </c>
      <c r="F56" s="8">
        <v>1</v>
      </c>
    </row>
    <row r="57" spans="1:6" ht="15.75" customHeight="1" x14ac:dyDescent="0.25">
      <c r="A57" s="4" t="s">
        <v>8</v>
      </c>
      <c r="B57" s="5">
        <f t="array" ref="B57">IFERROR(INDEX('de para abc'!$A:$A,MATCH($C57,'de para abc'!$B:$B,0)),"N/D")</f>
        <v>1001668</v>
      </c>
      <c r="C57" s="6" t="s">
        <v>153</v>
      </c>
      <c r="D57" s="7" t="s">
        <v>18</v>
      </c>
      <c r="E57" s="7" t="str">
        <f t="array" ref="E57">IFERROR(INDEX('de para abc'!$C:$C,MATCH($C57,'de para abc'!$B:$B,0)),"N/D")</f>
        <v>B</v>
      </c>
      <c r="F57" s="8">
        <v>13</v>
      </c>
    </row>
    <row r="58" spans="1:6" ht="15.75" customHeight="1" x14ac:dyDescent="0.25">
      <c r="A58" s="4" t="s">
        <v>8</v>
      </c>
      <c r="B58" s="5">
        <f t="array" ref="B58">IFERROR(INDEX('de para abc'!$A:$A,MATCH($C58,'de para abc'!$B:$B,0)),"N/D")</f>
        <v>1001705</v>
      </c>
      <c r="C58" s="6" t="s">
        <v>40</v>
      </c>
      <c r="D58" s="7" t="s">
        <v>18</v>
      </c>
      <c r="E58" s="7" t="str">
        <f t="array" ref="E58">IFERROR(INDEX('de para abc'!$C:$C,MATCH($C58,'de para abc'!$B:$B,0)),"N/D")</f>
        <v>B</v>
      </c>
      <c r="F58" s="8">
        <v>1</v>
      </c>
    </row>
    <row r="59" spans="1:6" ht="15.75" customHeight="1" x14ac:dyDescent="0.25">
      <c r="A59" s="4" t="s">
        <v>8</v>
      </c>
      <c r="B59" s="5">
        <f t="array" ref="B59">IFERROR(INDEX('de para abc'!$A:$A,MATCH($C59,'de para abc'!$B:$B,0)),"N/D")</f>
        <v>1000636</v>
      </c>
      <c r="C59" s="6" t="s">
        <v>154</v>
      </c>
      <c r="D59" s="7" t="s">
        <v>14</v>
      </c>
      <c r="E59" s="7" t="str">
        <f t="array" ref="E59">IFERROR(INDEX('de para abc'!$C:$C,MATCH($C59,'de para abc'!$B:$B,0)),"N/D")</f>
        <v>C</v>
      </c>
      <c r="F59" s="8">
        <v>1</v>
      </c>
    </row>
    <row r="60" spans="1:6" ht="15.75" customHeight="1" x14ac:dyDescent="0.25">
      <c r="A60" s="4" t="s">
        <v>8</v>
      </c>
      <c r="B60" s="5">
        <f t="array" ref="B60">IFERROR(INDEX('de para abc'!$A:$A,MATCH($C60,'de para abc'!$B:$B,0)),"N/D")</f>
        <v>1000536</v>
      </c>
      <c r="C60" s="6" t="s">
        <v>155</v>
      </c>
      <c r="D60" s="7" t="s">
        <v>14</v>
      </c>
      <c r="E60" s="7" t="str">
        <f t="array" ref="E60">IFERROR(INDEX('de para abc'!$C:$C,MATCH($C60,'de para abc'!$B:$B,0)),"N/D")</f>
        <v>C</v>
      </c>
      <c r="F60" s="8">
        <v>1</v>
      </c>
    </row>
    <row r="61" spans="1:6" ht="15.75" customHeight="1" x14ac:dyDescent="0.25">
      <c r="A61" s="4" t="s">
        <v>8</v>
      </c>
      <c r="B61" s="5">
        <f t="array" ref="B61">IFERROR(INDEX('de para abc'!$A:$A,MATCH($C61,'de para abc'!$B:$B,0)),"N/D")</f>
        <v>1001552</v>
      </c>
      <c r="C61" s="6" t="s">
        <v>156</v>
      </c>
      <c r="D61" s="7" t="s">
        <v>157</v>
      </c>
      <c r="E61" s="7" t="str">
        <f t="array" ref="E61">IFERROR(INDEX('de para abc'!$C:$C,MATCH($C61,'de para abc'!$B:$B,0)),"N/D")</f>
        <v>C</v>
      </c>
      <c r="F61" s="8">
        <v>1</v>
      </c>
    </row>
    <row r="62" spans="1:6" ht="15.75" customHeight="1" x14ac:dyDescent="0.25">
      <c r="A62" s="4" t="s">
        <v>8</v>
      </c>
      <c r="B62" s="5">
        <f t="array" ref="B62">IFERROR(INDEX('de para abc'!$A:$A,MATCH($C62,'de para abc'!$B:$B,0)),"N/D")</f>
        <v>1001660</v>
      </c>
      <c r="C62" s="6" t="s">
        <v>41</v>
      </c>
      <c r="D62" s="7" t="s">
        <v>10</v>
      </c>
      <c r="E62" s="7" t="str">
        <f t="array" ref="E62">IFERROR(INDEX('de para abc'!$C:$C,MATCH($C62,'de para abc'!$B:$B,0)),"N/D")</f>
        <v>B</v>
      </c>
      <c r="F62" s="8">
        <v>2</v>
      </c>
    </row>
    <row r="63" spans="1:6" ht="15.75" customHeight="1" x14ac:dyDescent="0.25">
      <c r="A63" s="4" t="s">
        <v>8</v>
      </c>
      <c r="B63" s="5">
        <f t="array" ref="B63">IFERROR(INDEX('de para abc'!$A:$A,MATCH($C63,'de para abc'!$B:$B,0)),"N/D")</f>
        <v>1002058</v>
      </c>
      <c r="C63" s="6" t="s">
        <v>158</v>
      </c>
      <c r="D63" s="7" t="s">
        <v>18</v>
      </c>
      <c r="E63" s="7" t="str">
        <f t="array" ref="E63">IFERROR(INDEX('de para abc'!$C:$C,MATCH($C63,'de para abc'!$B:$B,0)),"N/D")</f>
        <v>B</v>
      </c>
      <c r="F63" s="8">
        <v>150</v>
      </c>
    </row>
    <row r="64" spans="1:6" ht="15.75" customHeight="1" x14ac:dyDescent="0.25">
      <c r="A64" s="4" t="s">
        <v>8</v>
      </c>
      <c r="B64" s="5">
        <f t="array" ref="B64">IFERROR(INDEX('de para abc'!$A:$A,MATCH($C64,'de para abc'!$B:$B,0)),"N/D")</f>
        <v>1000340</v>
      </c>
      <c r="C64" s="6" t="s">
        <v>159</v>
      </c>
      <c r="D64" s="7" t="s">
        <v>10</v>
      </c>
      <c r="E64" s="7" t="str">
        <f t="array" ref="E64">IFERROR(INDEX('de para abc'!$C:$C,MATCH($C64,'de para abc'!$B:$B,0)),"N/D")</f>
        <v>A</v>
      </c>
      <c r="F64" s="8">
        <v>14</v>
      </c>
    </row>
    <row r="65" spans="1:6" ht="15.75" customHeight="1" x14ac:dyDescent="0.25">
      <c r="A65" s="4" t="s">
        <v>8</v>
      </c>
      <c r="B65" s="5">
        <f t="array" ref="B65">IFERROR(INDEX('de para abc'!$A:$A,MATCH($C65,'de para abc'!$B:$B,0)),"N/D")</f>
        <v>1000348</v>
      </c>
      <c r="C65" s="6" t="s">
        <v>43</v>
      </c>
      <c r="D65" s="7" t="s">
        <v>10</v>
      </c>
      <c r="E65" s="7" t="str">
        <f t="array" ref="E65">IFERROR(INDEX('de para abc'!$C:$C,MATCH($C65,'de para abc'!$B:$B,0)),"N/D")</f>
        <v>A</v>
      </c>
      <c r="F65" s="8">
        <v>6</v>
      </c>
    </row>
    <row r="66" spans="1:6" ht="15.75" customHeight="1" x14ac:dyDescent="0.25">
      <c r="A66" s="4" t="s">
        <v>8</v>
      </c>
      <c r="B66" s="5">
        <f t="array" ref="B66">IFERROR(INDEX('de para abc'!$A:$A,MATCH($C66,'de para abc'!$B:$B,0)),"N/D")</f>
        <v>1000363</v>
      </c>
      <c r="C66" s="6" t="s">
        <v>160</v>
      </c>
      <c r="D66" s="7" t="s">
        <v>10</v>
      </c>
      <c r="E66" s="7" t="str">
        <f t="array" ref="E66">IFERROR(INDEX('de para abc'!$C:$C,MATCH($C66,'de para abc'!$B:$B,0)),"N/D")</f>
        <v>A</v>
      </c>
      <c r="F66" s="8">
        <v>3</v>
      </c>
    </row>
    <row r="67" spans="1:6" ht="15.75" customHeight="1" x14ac:dyDescent="0.25">
      <c r="A67" s="4" t="s">
        <v>8</v>
      </c>
      <c r="B67" s="5">
        <f t="array" ref="B67">IFERROR(INDEX('de para abc'!$A:$A,MATCH($C67,'de para abc'!$B:$B,0)),"N/D")</f>
        <v>1001736</v>
      </c>
      <c r="C67" s="6" t="s">
        <v>161</v>
      </c>
      <c r="D67" s="7" t="s">
        <v>18</v>
      </c>
      <c r="E67" s="7" t="str">
        <f t="array" ref="E67">IFERROR(INDEX('de para abc'!$C:$C,MATCH($C67,'de para abc'!$B:$B,0)),"N/D")</f>
        <v>A</v>
      </c>
      <c r="F67" s="8">
        <v>3</v>
      </c>
    </row>
    <row r="68" spans="1:6" ht="15.75" customHeight="1" x14ac:dyDescent="0.25">
      <c r="A68" s="4" t="s">
        <v>8</v>
      </c>
      <c r="B68" s="5">
        <f t="array" ref="B68">IFERROR(INDEX('de para abc'!$A:$A,MATCH($C68,'de para abc'!$B:$B,0)),"N/D")</f>
        <v>1000388</v>
      </c>
      <c r="C68" s="6" t="s">
        <v>162</v>
      </c>
      <c r="D68" s="7" t="s">
        <v>14</v>
      </c>
      <c r="E68" s="7" t="str">
        <f t="array" ref="E68">IFERROR(INDEX('de para abc'!$C:$C,MATCH($C68,'de para abc'!$B:$B,0)),"N/D")</f>
        <v>C</v>
      </c>
      <c r="F68" s="8">
        <v>1</v>
      </c>
    </row>
    <row r="69" spans="1:6" ht="15.75" customHeight="1" x14ac:dyDescent="0.25">
      <c r="A69" s="4" t="s">
        <v>8</v>
      </c>
      <c r="B69" s="5">
        <f t="array" ref="B69">IFERROR(INDEX('de para abc'!$A:$A,MATCH($C69,'de para abc'!$B:$B,0)),"N/D")</f>
        <v>1000417</v>
      </c>
      <c r="C69" s="6" t="s">
        <v>163</v>
      </c>
      <c r="D69" s="7" t="s">
        <v>14</v>
      </c>
      <c r="E69" s="7" t="str">
        <f t="array" ref="E69">IFERROR(INDEX('de para abc'!$C:$C,MATCH($C69,'de para abc'!$B:$B,0)),"N/D")</f>
        <v>A</v>
      </c>
      <c r="F69" s="8">
        <v>1</v>
      </c>
    </row>
    <row r="70" spans="1:6" ht="15.75" customHeight="1" x14ac:dyDescent="0.25">
      <c r="A70" s="4" t="s">
        <v>8</v>
      </c>
      <c r="B70" s="5">
        <f t="array" ref="B70">IFERROR(INDEX('de para abc'!$A:$A,MATCH($C70,'de para abc'!$B:$B,0)),"N/D")</f>
        <v>1001669</v>
      </c>
      <c r="C70" s="6" t="s">
        <v>164</v>
      </c>
      <c r="D70" s="7" t="s">
        <v>18</v>
      </c>
      <c r="E70" s="7" t="str">
        <f t="array" ref="E70">IFERROR(INDEX('de para abc'!$C:$C,MATCH($C70,'de para abc'!$B:$B,0)),"N/D")</f>
        <v>A</v>
      </c>
      <c r="F70" s="8">
        <v>10</v>
      </c>
    </row>
    <row r="71" spans="1:6" ht="15.75" customHeight="1" x14ac:dyDescent="0.25">
      <c r="A71" s="4" t="s">
        <v>8</v>
      </c>
      <c r="B71" s="5">
        <f t="array" ref="B71">IFERROR(INDEX('de para abc'!$A:$A,MATCH($C71,'de para abc'!$B:$B,0)),"N/D")</f>
        <v>1001476</v>
      </c>
      <c r="C71" s="6" t="s">
        <v>165</v>
      </c>
      <c r="D71" s="7" t="s">
        <v>18</v>
      </c>
      <c r="E71" s="7" t="str">
        <f t="array" ref="E71">IFERROR(INDEX('de para abc'!$C:$C,MATCH($C71,'de para abc'!$B:$B,0)),"N/D")</f>
        <v>A</v>
      </c>
      <c r="F71" s="8">
        <v>6</v>
      </c>
    </row>
    <row r="72" spans="1:6" ht="15.75" customHeight="1" x14ac:dyDescent="0.25">
      <c r="A72" s="4" t="s">
        <v>8</v>
      </c>
      <c r="B72" s="5">
        <f t="array" ref="B72">IFERROR(INDEX('de para abc'!$A:$A,MATCH($C72,'de para abc'!$B:$B,0)),"N/D")</f>
        <v>1001461</v>
      </c>
      <c r="C72" s="6" t="s">
        <v>166</v>
      </c>
      <c r="D72" s="7" t="s">
        <v>18</v>
      </c>
      <c r="E72" s="7" t="str">
        <f t="array" ref="E72">IFERROR(INDEX('de para abc'!$C:$C,MATCH($C72,'de para abc'!$B:$B,0)),"N/D")</f>
        <v>C</v>
      </c>
      <c r="F72" s="8">
        <v>13</v>
      </c>
    </row>
    <row r="73" spans="1:6" ht="15.75" customHeight="1" x14ac:dyDescent="0.25">
      <c r="A73" s="4" t="s">
        <v>69</v>
      </c>
      <c r="B73" s="5">
        <f t="array" ref="B73">IFERROR(INDEX('de para abc'!$A:$A,MATCH($C73,'de para abc'!$B:$B,0)),"N/D")</f>
        <v>1001850</v>
      </c>
      <c r="C73" s="6" t="s">
        <v>167</v>
      </c>
      <c r="D73" s="7" t="s">
        <v>10</v>
      </c>
      <c r="E73" s="7" t="s">
        <v>57</v>
      </c>
      <c r="F73" s="8">
        <v>4</v>
      </c>
    </row>
    <row r="74" spans="1:6" ht="15.75" customHeight="1" x14ac:dyDescent="0.25">
      <c r="A74" s="4" t="s">
        <v>69</v>
      </c>
      <c r="B74" s="5">
        <f t="array" ref="B74">IFERROR(INDEX('de para abc'!$A:$A,MATCH($C74,'de para abc'!$B:$B,0)),"N/D")</f>
        <v>1006180</v>
      </c>
      <c r="C74" s="6" t="s">
        <v>168</v>
      </c>
      <c r="D74" s="7" t="s">
        <v>18</v>
      </c>
      <c r="E74" s="7" t="s">
        <v>57</v>
      </c>
      <c r="F74" s="8">
        <v>1</v>
      </c>
    </row>
    <row r="75" spans="1:6" ht="15.75" customHeight="1" x14ac:dyDescent="0.25">
      <c r="A75" s="4" t="s">
        <v>69</v>
      </c>
      <c r="B75" s="5">
        <f t="array" ref="B75">IFERROR(INDEX('de para abc'!$A:$A,MATCH($C75,'de para abc'!$B:$B,0)),"N/D")</f>
        <v>1000052</v>
      </c>
      <c r="C75" s="6" t="s">
        <v>169</v>
      </c>
      <c r="D75" s="7" t="s">
        <v>14</v>
      </c>
      <c r="E75" s="7" t="str">
        <f t="array" ref="E75">IFERROR(INDEX('de para abc'!$C:$C,MATCH($C75,'de para abc'!$B:$B,0)),"N/D")</f>
        <v>A</v>
      </c>
      <c r="F75" s="8">
        <v>1</v>
      </c>
    </row>
    <row r="76" spans="1:6" ht="15.75" customHeight="1" x14ac:dyDescent="0.25">
      <c r="A76" s="4" t="s">
        <v>69</v>
      </c>
      <c r="B76" s="5">
        <v>1001864</v>
      </c>
      <c r="C76" s="6" t="s">
        <v>170</v>
      </c>
      <c r="D76" s="7" t="s">
        <v>14</v>
      </c>
      <c r="E76" s="7" t="s">
        <v>57</v>
      </c>
      <c r="F76" s="8">
        <v>4</v>
      </c>
    </row>
    <row r="77" spans="1:6" ht="15.75" customHeight="1" x14ac:dyDescent="0.25">
      <c r="A77" s="4" t="s">
        <v>69</v>
      </c>
      <c r="B77" s="5">
        <f t="array" ref="B77">IFERROR(INDEX('de para abc'!$A:$A,MATCH($C77,'de para abc'!$B:$B,0)),"N/D")</f>
        <v>1001249</v>
      </c>
      <c r="C77" s="6" t="s">
        <v>72</v>
      </c>
      <c r="D77" s="7" t="s">
        <v>71</v>
      </c>
      <c r="E77" s="7" t="s">
        <v>57</v>
      </c>
      <c r="F77" s="8">
        <v>1</v>
      </c>
    </row>
    <row r="78" spans="1:6" ht="15.75" customHeight="1" x14ac:dyDescent="0.25">
      <c r="A78" s="4" t="s">
        <v>69</v>
      </c>
      <c r="B78" s="5">
        <f t="array" ref="B78">IFERROR(INDEX('de para abc'!$A:$A,MATCH($C78,'de para abc'!$B:$B,0)),"N/D")</f>
        <v>1000068</v>
      </c>
      <c r="C78" s="6" t="s">
        <v>73</v>
      </c>
      <c r="D78" s="7" t="s">
        <v>71</v>
      </c>
      <c r="E78" s="7" t="s">
        <v>57</v>
      </c>
      <c r="F78" s="8">
        <v>1</v>
      </c>
    </row>
    <row r="79" spans="1:6" ht="15.75" customHeight="1" x14ac:dyDescent="0.25">
      <c r="A79" s="4" t="s">
        <v>69</v>
      </c>
      <c r="B79" s="5">
        <f t="array" ref="B79">IFERROR(INDEX('de para abc'!$A:$A,MATCH($C79,'de para abc'!$B:$B,0)),"N/D")</f>
        <v>1000072</v>
      </c>
      <c r="C79" s="6" t="s">
        <v>171</v>
      </c>
      <c r="D79" s="7" t="s">
        <v>71</v>
      </c>
      <c r="E79" s="7" t="str">
        <f t="array" ref="E79">IFERROR(INDEX('de para abc'!$C:$C,MATCH($C79,'de para abc'!$B:$B,0)),"N/D")</f>
        <v>C</v>
      </c>
      <c r="F79" s="8">
        <v>1</v>
      </c>
    </row>
    <row r="80" spans="1:6" ht="15.75" customHeight="1" x14ac:dyDescent="0.25">
      <c r="A80" s="4" t="s">
        <v>69</v>
      </c>
      <c r="B80" s="5">
        <f t="array" ref="B80">IFERROR(INDEX('de para abc'!$A:$A,MATCH($C80,'de para abc'!$B:$B,0)),"N/D")</f>
        <v>1000073</v>
      </c>
      <c r="C80" s="6" t="s">
        <v>172</v>
      </c>
      <c r="D80" s="7" t="s">
        <v>71</v>
      </c>
      <c r="E80" s="7" t="s">
        <v>57</v>
      </c>
      <c r="F80" s="8">
        <v>1</v>
      </c>
    </row>
    <row r="81" spans="1:6" ht="15.75" customHeight="1" x14ac:dyDescent="0.25">
      <c r="A81" s="4" t="s">
        <v>69</v>
      </c>
      <c r="B81" s="5">
        <f t="array" ref="B81">IFERROR(INDEX('de para abc'!$A:$A,MATCH($C81,'de para abc'!$B:$B,0)),"N/D")</f>
        <v>1000074</v>
      </c>
      <c r="C81" s="6" t="s">
        <v>173</v>
      </c>
      <c r="D81" s="7" t="s">
        <v>71</v>
      </c>
      <c r="E81" s="7" t="s">
        <v>57</v>
      </c>
      <c r="F81" s="8">
        <v>1</v>
      </c>
    </row>
    <row r="82" spans="1:6" ht="15.75" customHeight="1" x14ac:dyDescent="0.25">
      <c r="A82" s="4" t="s">
        <v>69</v>
      </c>
      <c r="B82" s="5">
        <f t="array" ref="B82">IFERROR(INDEX('de para abc'!$A:$A,MATCH($C82,'de para abc'!$B:$B,0)),"N/D")</f>
        <v>1000075</v>
      </c>
      <c r="C82" s="6" t="s">
        <v>174</v>
      </c>
      <c r="D82" s="7" t="s">
        <v>71</v>
      </c>
      <c r="E82" s="7" t="s">
        <v>57</v>
      </c>
      <c r="F82" s="8">
        <v>2</v>
      </c>
    </row>
    <row r="83" spans="1:6" ht="15.75" customHeight="1" x14ac:dyDescent="0.25">
      <c r="A83" s="4" t="s">
        <v>69</v>
      </c>
      <c r="B83" s="5">
        <f t="array" ref="B83">IFERROR(INDEX('de para abc'!$A:$A,MATCH($C83,'de para abc'!$B:$B,0)),"N/D")</f>
        <v>1000076</v>
      </c>
      <c r="C83" s="6" t="s">
        <v>77</v>
      </c>
      <c r="D83" s="7" t="s">
        <v>71</v>
      </c>
      <c r="E83" s="7" t="s">
        <v>57</v>
      </c>
      <c r="F83" s="8">
        <v>2</v>
      </c>
    </row>
    <row r="84" spans="1:6" ht="15.75" customHeight="1" x14ac:dyDescent="0.25">
      <c r="A84" s="4" t="s">
        <v>69</v>
      </c>
      <c r="B84" s="5" t="str">
        <f t="array" ref="B84">IFERROR(INDEX('de para abc'!$A:$A,MATCH($C84,'de para abc'!$B:$B,0)),"N/D")</f>
        <v>N/D</v>
      </c>
      <c r="C84" s="6" t="s">
        <v>175</v>
      </c>
      <c r="D84" s="7" t="s">
        <v>14</v>
      </c>
      <c r="E84" s="7" t="s">
        <v>57</v>
      </c>
      <c r="F84" s="8">
        <v>2</v>
      </c>
    </row>
    <row r="85" spans="1:6" ht="15.75" customHeight="1" x14ac:dyDescent="0.25">
      <c r="A85" s="4" t="s">
        <v>69</v>
      </c>
      <c r="B85" s="5" t="str">
        <f t="array" ref="B85">IFERROR(INDEX('de para abc'!$A:$A,MATCH($C85,'de para abc'!$B:$B,0)),"N/D")</f>
        <v>N/D</v>
      </c>
      <c r="C85" s="6" t="s">
        <v>176</v>
      </c>
      <c r="D85" s="7" t="s">
        <v>14</v>
      </c>
      <c r="E85" s="7" t="s">
        <v>57</v>
      </c>
      <c r="F85" s="8">
        <v>2</v>
      </c>
    </row>
    <row r="86" spans="1:6" ht="15.75" customHeight="1" x14ac:dyDescent="0.25">
      <c r="A86" s="4" t="s">
        <v>69</v>
      </c>
      <c r="B86" s="5">
        <f t="array" ref="B86">IFERROR(INDEX('de para abc'!$A:$A,MATCH($C86,'de para abc'!$B:$B,0)),"N/D")</f>
        <v>1002148</v>
      </c>
      <c r="C86" s="6" t="s">
        <v>80</v>
      </c>
      <c r="D86" s="7" t="s">
        <v>10</v>
      </c>
      <c r="E86" s="7" t="s">
        <v>57</v>
      </c>
      <c r="F86" s="8">
        <v>1</v>
      </c>
    </row>
    <row r="87" spans="1:6" ht="15.75" customHeight="1" x14ac:dyDescent="0.25">
      <c r="A87" s="4" t="s">
        <v>69</v>
      </c>
      <c r="B87" s="5">
        <f t="array" ref="B87">IFERROR(INDEX('de para abc'!$A:$A,MATCH($C87,'de para abc'!$B:$B,0)),"N/D")</f>
        <v>1001694</v>
      </c>
      <c r="C87" s="6" t="s">
        <v>177</v>
      </c>
      <c r="D87" s="7" t="s">
        <v>14</v>
      </c>
      <c r="E87" s="7" t="str">
        <f t="array" ref="E87">IFERROR(INDEX('de para abc'!$C:$C,MATCH($C87,'de para abc'!$B:$B,0)),"N/D")</f>
        <v>C</v>
      </c>
      <c r="F87" s="8">
        <v>1</v>
      </c>
    </row>
    <row r="88" spans="1:6" ht="15.75" customHeight="1" x14ac:dyDescent="0.25">
      <c r="A88" s="4" t="s">
        <v>69</v>
      </c>
      <c r="B88" s="5">
        <f t="array" ref="B88">IFERROR(INDEX('de para abc'!$A:$A,MATCH($C88,'de para abc'!$B:$B,0)),"N/D")</f>
        <v>1001302</v>
      </c>
      <c r="C88" s="6" t="s">
        <v>96</v>
      </c>
      <c r="D88" s="7" t="s">
        <v>10</v>
      </c>
      <c r="E88" s="7" t="s">
        <v>57</v>
      </c>
      <c r="F88" s="8">
        <v>2</v>
      </c>
    </row>
    <row r="89" spans="1:6" ht="15.75" customHeight="1" x14ac:dyDescent="0.25">
      <c r="A89" s="4" t="s">
        <v>69</v>
      </c>
      <c r="B89" s="5">
        <f t="array" ref="B89">IFERROR(INDEX('de para abc'!$A:$A,MATCH($C89,'de para abc'!$B:$B,0)),"N/D")</f>
        <v>1001190</v>
      </c>
      <c r="C89" s="6" t="s">
        <v>97</v>
      </c>
      <c r="D89" s="7" t="s">
        <v>10</v>
      </c>
      <c r="E89" s="7" t="s">
        <v>57</v>
      </c>
      <c r="F89" s="8">
        <v>4</v>
      </c>
    </row>
    <row r="90" spans="1:6" ht="15.75" customHeight="1" x14ac:dyDescent="0.25">
      <c r="A90" s="4" t="s">
        <v>69</v>
      </c>
      <c r="B90" s="5">
        <f t="array" ref="B90">IFERROR(INDEX('de para abc'!$A:$A,MATCH($C90,'de para abc'!$B:$B,0)),"N/D")</f>
        <v>1000146</v>
      </c>
      <c r="C90" s="6" t="s">
        <v>99</v>
      </c>
      <c r="D90" s="7" t="s">
        <v>10</v>
      </c>
      <c r="E90" s="7" t="s">
        <v>57</v>
      </c>
      <c r="F90" s="8">
        <v>4</v>
      </c>
    </row>
    <row r="91" spans="1:6" ht="15.75" customHeight="1" x14ac:dyDescent="0.25">
      <c r="A91" s="4" t="s">
        <v>69</v>
      </c>
      <c r="B91" s="5">
        <v>1000204</v>
      </c>
      <c r="C91" s="6" t="s">
        <v>178</v>
      </c>
      <c r="D91" s="7" t="s">
        <v>10</v>
      </c>
      <c r="E91" s="7" t="s">
        <v>57</v>
      </c>
      <c r="F91" s="8">
        <v>4</v>
      </c>
    </row>
    <row r="92" spans="1:6" ht="15.75" customHeight="1" x14ac:dyDescent="0.25">
      <c r="A92" s="4" t="s">
        <v>69</v>
      </c>
      <c r="B92" s="5">
        <f t="array" ref="B92">IFERROR(INDEX('de para abc'!$A:$A,MATCH($C92,'de para abc'!$B:$B,0)),"N/D")</f>
        <v>1000206</v>
      </c>
      <c r="C92" s="6" t="s">
        <v>102</v>
      </c>
      <c r="D92" s="7" t="s">
        <v>10</v>
      </c>
      <c r="E92" s="7" t="s">
        <v>57</v>
      </c>
      <c r="F92" s="8">
        <v>3</v>
      </c>
    </row>
    <row r="93" spans="1:6" ht="15.75" customHeight="1" x14ac:dyDescent="0.25">
      <c r="A93" s="4" t="s">
        <v>69</v>
      </c>
      <c r="B93" s="5">
        <v>1000209</v>
      </c>
      <c r="C93" s="6" t="s">
        <v>179</v>
      </c>
      <c r="D93" s="7" t="s">
        <v>14</v>
      </c>
      <c r="E93" s="7" t="s">
        <v>57</v>
      </c>
      <c r="F93" s="8">
        <v>16</v>
      </c>
    </row>
    <row r="94" spans="1:6" ht="15.75" customHeight="1" x14ac:dyDescent="0.25">
      <c r="A94" s="4" t="s">
        <v>69</v>
      </c>
      <c r="B94" s="5">
        <f t="array" ref="B94">IFERROR(INDEX('de para abc'!$A:$A,MATCH($C94,'de para abc'!$B:$B,0)),"N/D")</f>
        <v>1001854</v>
      </c>
      <c r="C94" s="6" t="s">
        <v>105</v>
      </c>
      <c r="D94" s="7" t="s">
        <v>10</v>
      </c>
      <c r="E94" s="7" t="s">
        <v>57</v>
      </c>
      <c r="F94" s="8">
        <v>4</v>
      </c>
    </row>
    <row r="95" spans="1:6" ht="15.75" customHeight="1" x14ac:dyDescent="0.25">
      <c r="A95" s="4" t="s">
        <v>69</v>
      </c>
      <c r="B95" s="5">
        <f t="array" ref="B95">IFERROR(INDEX('de para abc'!$A:$A,MATCH($C95,'de para abc'!$B:$B,0)),"N/D")</f>
        <v>1001851</v>
      </c>
      <c r="C95" s="6" t="s">
        <v>180</v>
      </c>
      <c r="D95" s="7" t="s">
        <v>10</v>
      </c>
      <c r="E95" s="7" t="s">
        <v>57</v>
      </c>
      <c r="F95" s="8">
        <v>6</v>
      </c>
    </row>
    <row r="96" spans="1:6" ht="15.75" customHeight="1" x14ac:dyDescent="0.25">
      <c r="A96" s="4" t="s">
        <v>69</v>
      </c>
      <c r="B96" s="5">
        <v>1001855</v>
      </c>
      <c r="C96" s="6" t="s">
        <v>181</v>
      </c>
      <c r="D96" s="7" t="s">
        <v>10</v>
      </c>
      <c r="E96" s="7" t="s">
        <v>57</v>
      </c>
      <c r="F96" s="8">
        <v>6</v>
      </c>
    </row>
    <row r="97" spans="1:6" ht="15.75" customHeight="1" x14ac:dyDescent="0.25">
      <c r="A97" s="4" t="s">
        <v>69</v>
      </c>
      <c r="B97" s="5">
        <f t="array" ref="B97">IFERROR(INDEX('de para abc'!$A:$A,MATCH($C97,'de para abc'!$B:$B,0)),"N/D")</f>
        <v>1000277</v>
      </c>
      <c r="C97" s="6" t="s">
        <v>182</v>
      </c>
      <c r="D97" s="7" t="s">
        <v>183</v>
      </c>
      <c r="E97" s="7" t="str">
        <f t="array" ref="E97">IFERROR(INDEX('de para abc'!$C:$C,MATCH($C97,'de para abc'!$B:$B,0)),"N/D")</f>
        <v>C</v>
      </c>
      <c r="F97" s="8">
        <v>3</v>
      </c>
    </row>
    <row r="98" spans="1:6" ht="15.75" customHeight="1" x14ac:dyDescent="0.25">
      <c r="A98" s="4" t="s">
        <v>69</v>
      </c>
      <c r="B98" s="5">
        <f t="array" ref="B98">IFERROR(INDEX('de para abc'!$A:$A,MATCH($C98,'de para abc'!$B:$B,0)),"N/D")</f>
        <v>1006179</v>
      </c>
      <c r="C98" s="6" t="s">
        <v>106</v>
      </c>
      <c r="D98" s="7" t="s">
        <v>18</v>
      </c>
      <c r="E98" s="7" t="s">
        <v>57</v>
      </c>
      <c r="F98" s="8">
        <v>1</v>
      </c>
    </row>
    <row r="99" spans="1:6" ht="15.75" customHeight="1" x14ac:dyDescent="0.25">
      <c r="A99" s="4" t="s">
        <v>69</v>
      </c>
      <c r="B99" s="5">
        <f t="array" ref="B99">IFERROR(INDEX('de para abc'!$A:$A,MATCH($C99,'de para abc'!$B:$B,0)),"N/D")</f>
        <v>1001923</v>
      </c>
      <c r="C99" s="6" t="s">
        <v>107</v>
      </c>
      <c r="D99" s="7" t="s">
        <v>18</v>
      </c>
      <c r="E99" s="7" t="s">
        <v>57</v>
      </c>
      <c r="F99" s="8">
        <v>1</v>
      </c>
    </row>
    <row r="100" spans="1:6" ht="15.75" customHeight="1" x14ac:dyDescent="0.25">
      <c r="A100" s="4" t="s">
        <v>69</v>
      </c>
      <c r="B100" s="5">
        <f t="array" ref="B100">IFERROR(INDEX('de para abc'!$A:$A,MATCH($C100,'de para abc'!$B:$B,0)),"N/D")</f>
        <v>1000305</v>
      </c>
      <c r="C100" s="6" t="s">
        <v>111</v>
      </c>
      <c r="D100" s="7" t="s">
        <v>10</v>
      </c>
      <c r="E100" s="7" t="s">
        <v>57</v>
      </c>
      <c r="F100" s="8">
        <v>3</v>
      </c>
    </row>
    <row r="101" spans="1:6" ht="15.75" customHeight="1" x14ac:dyDescent="0.25">
      <c r="A101" s="4" t="s">
        <v>69</v>
      </c>
      <c r="B101" s="5">
        <f t="array" ref="B101">IFERROR(INDEX('de para abc'!$A:$A,MATCH($C101,'de para abc'!$B:$B,0)),"N/D")</f>
        <v>1000665</v>
      </c>
      <c r="C101" s="6" t="s">
        <v>113</v>
      </c>
      <c r="D101" s="7" t="s">
        <v>71</v>
      </c>
      <c r="E101" s="7" t="s">
        <v>57</v>
      </c>
      <c r="F101" s="8">
        <v>1</v>
      </c>
    </row>
    <row r="102" spans="1:6" ht="15.75" customHeight="1" x14ac:dyDescent="0.25">
      <c r="A102" s="4" t="s">
        <v>69</v>
      </c>
      <c r="B102" s="5">
        <f t="array" ref="B102">IFERROR(INDEX('de para abc'!$A:$A,MATCH($C102,'de para abc'!$B:$B,0)),"N/D")</f>
        <v>1000332</v>
      </c>
      <c r="C102" s="6" t="s">
        <v>184</v>
      </c>
      <c r="D102" s="7" t="s">
        <v>71</v>
      </c>
      <c r="E102" s="7" t="s">
        <v>57</v>
      </c>
      <c r="F102" s="8">
        <v>6</v>
      </c>
    </row>
    <row r="103" spans="1:6" ht="15.75" customHeight="1" x14ac:dyDescent="0.25">
      <c r="A103" s="4" t="s">
        <v>69</v>
      </c>
      <c r="B103" s="5">
        <f t="array" ref="B103">IFERROR(INDEX('de para abc'!$A:$A,MATCH($C103,'de para abc'!$B:$B,0)),"N/D")</f>
        <v>1001852</v>
      </c>
      <c r="C103" s="6" t="s">
        <v>185</v>
      </c>
      <c r="D103" s="7" t="s">
        <v>10</v>
      </c>
      <c r="E103" s="7" t="s">
        <v>57</v>
      </c>
      <c r="F103" s="8">
        <v>11</v>
      </c>
    </row>
    <row r="104" spans="1:6" ht="15.75" customHeight="1" x14ac:dyDescent="0.25">
      <c r="A104" s="4" t="s">
        <v>69</v>
      </c>
      <c r="B104" s="5">
        <v>1001562</v>
      </c>
      <c r="C104" s="6" t="s">
        <v>44</v>
      </c>
      <c r="D104" s="7" t="s">
        <v>18</v>
      </c>
      <c r="E104" s="7" t="s">
        <v>57</v>
      </c>
      <c r="F104" s="8">
        <v>4</v>
      </c>
    </row>
    <row r="105" spans="1:6" ht="15.75" customHeight="1" x14ac:dyDescent="0.25">
      <c r="A105" s="4" t="s">
        <v>69</v>
      </c>
      <c r="B105" s="5">
        <f t="array" ref="B105">IFERROR(INDEX('de para abc'!$A:$A,MATCH($C105,'de para abc'!$B:$B,0)),"N/D")</f>
        <v>1000366</v>
      </c>
      <c r="C105" s="6" t="s">
        <v>117</v>
      </c>
      <c r="D105" s="7" t="s">
        <v>14</v>
      </c>
      <c r="E105" s="7" t="s">
        <v>57</v>
      </c>
      <c r="F105" s="8">
        <v>1</v>
      </c>
    </row>
    <row r="106" spans="1:6" ht="15.75" customHeight="1" x14ac:dyDescent="0.25">
      <c r="A106" s="4" t="s">
        <v>69</v>
      </c>
      <c r="B106" s="5">
        <f t="array" ref="B106">IFERROR(INDEX('de para abc'!$A:$A,MATCH($C106,'de para abc'!$B:$B,0)),"N/D")</f>
        <v>1000368</v>
      </c>
      <c r="C106" s="6" t="s">
        <v>186</v>
      </c>
      <c r="D106" s="7" t="s">
        <v>10</v>
      </c>
      <c r="E106" s="7" t="s">
        <v>57</v>
      </c>
      <c r="F106" s="8">
        <v>0</v>
      </c>
    </row>
    <row r="107" spans="1:6" ht="15.75" customHeight="1" x14ac:dyDescent="0.25">
      <c r="A107" s="4" t="s">
        <v>69</v>
      </c>
      <c r="B107" s="5">
        <v>1000648</v>
      </c>
      <c r="C107" s="6" t="s">
        <v>187</v>
      </c>
      <c r="D107" s="7" t="s">
        <v>14</v>
      </c>
      <c r="E107" s="7" t="s">
        <v>57</v>
      </c>
      <c r="F107" s="8">
        <v>4</v>
      </c>
    </row>
    <row r="108" spans="1:6" ht="15.75" customHeight="1" x14ac:dyDescent="0.25">
      <c r="A108" s="4" t="s">
        <v>69</v>
      </c>
      <c r="B108" s="5">
        <v>1000995</v>
      </c>
      <c r="C108" s="6" t="s">
        <v>188</v>
      </c>
      <c r="D108" s="7" t="s">
        <v>14</v>
      </c>
      <c r="E108" s="7" t="s">
        <v>57</v>
      </c>
      <c r="F108" s="8">
        <v>3</v>
      </c>
    </row>
    <row r="109" spans="1:6" ht="15.75" customHeight="1" x14ac:dyDescent="0.25">
      <c r="A109" s="4" t="s">
        <v>69</v>
      </c>
      <c r="B109" s="5">
        <v>1001853</v>
      </c>
      <c r="C109" s="6" t="s">
        <v>189</v>
      </c>
      <c r="D109" s="7" t="s">
        <v>10</v>
      </c>
      <c r="E109" s="7" t="s">
        <v>57</v>
      </c>
      <c r="F109" s="8">
        <v>3</v>
      </c>
    </row>
    <row r="110" spans="1:6" ht="15.75" customHeight="1" x14ac:dyDescent="0.25">
      <c r="A110" s="4" t="s">
        <v>69</v>
      </c>
      <c r="B110" s="5">
        <f t="array" ref="B110">IFERROR(INDEX('de para abc'!$A:$A,MATCH($C110,'de para abc'!$B:$B,0)),"N/D")</f>
        <v>1000367</v>
      </c>
      <c r="C110" s="6" t="s">
        <v>124</v>
      </c>
      <c r="D110" s="7" t="s">
        <v>14</v>
      </c>
      <c r="E110" s="7" t="s">
        <v>57</v>
      </c>
      <c r="F110" s="8">
        <v>2</v>
      </c>
    </row>
    <row r="111" spans="1:6" ht="15.75" customHeight="1" x14ac:dyDescent="0.25">
      <c r="A111" s="11" t="s">
        <v>125</v>
      </c>
      <c r="B111" s="11"/>
      <c r="C111" s="11"/>
      <c r="D111" s="11"/>
      <c r="E111" s="11"/>
      <c r="F111" s="12">
        <f>SUM(F5:F110)</f>
        <v>629</v>
      </c>
    </row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4" topLeftCell="A5" activePane="bottomLeft" state="frozen"/>
      <selection pane="bottomLeft" activeCell="A4" sqref="A4:F205"/>
    </sheetView>
  </sheetViews>
  <sheetFormatPr defaultColWidth="14.42578125" defaultRowHeight="15" customHeight="1" x14ac:dyDescent="0.25"/>
  <cols>
    <col min="1" max="1" width="18.140625" customWidth="1"/>
    <col min="2" max="2" width="13.28515625" customWidth="1"/>
    <col min="3" max="3" width="61" customWidth="1"/>
    <col min="4" max="4" width="11.85546875" customWidth="1"/>
    <col min="5" max="5" width="15.85546875" customWidth="1"/>
    <col min="6" max="6" width="16.7109375" customWidth="1"/>
    <col min="7" max="7" width="3.85546875" customWidth="1"/>
    <col min="8" max="8" width="18.140625" customWidth="1"/>
    <col min="9" max="26" width="8.7109375" customWidth="1"/>
  </cols>
  <sheetData>
    <row r="1" spans="1:10" ht="18.75" x14ac:dyDescent="0.3">
      <c r="A1" s="1" t="s">
        <v>190</v>
      </c>
    </row>
    <row r="2" spans="1:10" x14ac:dyDescent="0.25">
      <c r="A2" s="2" t="s">
        <v>191</v>
      </c>
    </row>
    <row r="4" spans="1:10" x14ac:dyDescent="0.25">
      <c r="A4" s="42" t="s">
        <v>2</v>
      </c>
      <c r="B4" s="42" t="s">
        <v>3</v>
      </c>
      <c r="C4" s="42" t="s">
        <v>4</v>
      </c>
      <c r="D4" s="42" t="s">
        <v>5</v>
      </c>
      <c r="E4" s="42" t="s">
        <v>128</v>
      </c>
      <c r="F4" s="42" t="s">
        <v>7</v>
      </c>
      <c r="H4" s="13" t="s">
        <v>2</v>
      </c>
      <c r="I4" s="13" t="s">
        <v>192</v>
      </c>
      <c r="J4" s="13" t="s">
        <v>7</v>
      </c>
    </row>
    <row r="5" spans="1:10" x14ac:dyDescent="0.25">
      <c r="A5" s="4" t="s">
        <v>8</v>
      </c>
      <c r="B5" s="5">
        <v>1001719</v>
      </c>
      <c r="C5" s="6" t="s">
        <v>193</v>
      </c>
      <c r="D5" s="7" t="s">
        <v>10</v>
      </c>
      <c r="E5" s="7" t="str">
        <f t="array" ref="E5"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f>
        <v>B</v>
      </c>
      <c r="F5" s="8">
        <v>0</v>
      </c>
      <c r="H5" s="14" t="s">
        <v>8</v>
      </c>
      <c r="I5" s="14">
        <f>COUNTIF($A$5:$A$204,H5)</f>
        <v>51</v>
      </c>
      <c r="J5" s="10">
        <f>SUMIF($A$5:$A$204,H5,$F$5:$F$204)</f>
        <v>667</v>
      </c>
    </row>
    <row r="6" spans="1:10" x14ac:dyDescent="0.25">
      <c r="A6" s="4" t="s">
        <v>8</v>
      </c>
      <c r="B6" s="5">
        <v>1000032</v>
      </c>
      <c r="C6" s="6" t="s">
        <v>9</v>
      </c>
      <c r="D6" s="7" t="s">
        <v>10</v>
      </c>
      <c r="E6" s="7" t="str">
        <f t="array" ref="E6">IFERROR(IF(INDEX('de para abc'!$C:$C,MATCH($B6,'de para abc'!$A:$A,0))=0,"C",INDEX('de para abc'!$C:$C,MATCH($B6,'de para abc'!$A:$A,0))),IFERROR(IF(INDEX('de para abc'!$C:$C,MATCH($C6,'de para abc'!$B:$B,0))=0,"C",INDEX('de para abc'!$C:$C,MATCH($C6,'de para abc'!$B:$B,0))),"C"))</f>
        <v>A</v>
      </c>
      <c r="F6" s="8">
        <v>3</v>
      </c>
      <c r="H6" s="14" t="s">
        <v>69</v>
      </c>
      <c r="I6" s="14">
        <f>COUNTIF($A$5:$A$204,H6)</f>
        <v>149</v>
      </c>
      <c r="J6" s="10">
        <f>SUMIF($A$5:$A$204,H6,$F$5:$F$204)</f>
        <v>83</v>
      </c>
    </row>
    <row r="7" spans="1:10" x14ac:dyDescent="0.25">
      <c r="A7" s="4" t="s">
        <v>8</v>
      </c>
      <c r="B7" s="5">
        <v>1001306</v>
      </c>
      <c r="C7" s="6" t="s">
        <v>13</v>
      </c>
      <c r="D7" s="7" t="s">
        <v>14</v>
      </c>
      <c r="E7" s="7" t="str">
        <f t="array" ref="E7">IFERROR(IF(INDEX('de para abc'!$C:$C,MATCH($B7,'de para abc'!$A:$A,0))=0,"C",INDEX('de para abc'!$C:$C,MATCH($B7,'de para abc'!$A:$A,0))),IFERROR(IF(INDEX('de para abc'!$C:$C,MATCH($C7,'de para abc'!$B:$B,0))=0,"C",INDEX('de para abc'!$C:$C,MATCH($C7,'de para abc'!$B:$B,0))),"C"))</f>
        <v>A</v>
      </c>
      <c r="F7" s="8">
        <v>3</v>
      </c>
      <c r="H7" s="14" t="s">
        <v>194</v>
      </c>
      <c r="I7" s="14">
        <f>SUM(I5:I6)</f>
        <v>200</v>
      </c>
      <c r="J7" s="10">
        <f>SUM(J5:J6)</f>
        <v>750</v>
      </c>
    </row>
    <row r="8" spans="1:10" x14ac:dyDescent="0.25">
      <c r="A8" s="4" t="s">
        <v>8</v>
      </c>
      <c r="B8" s="5">
        <v>1000036</v>
      </c>
      <c r="C8" s="6" t="s">
        <v>15</v>
      </c>
      <c r="D8" s="7" t="s">
        <v>10</v>
      </c>
      <c r="E8" s="7" t="str">
        <f t="array" ref="E8">IFERROR(IF(INDEX('de para abc'!$C:$C,MATCH($B8,'de para abc'!$A:$A,0))=0,"C",INDEX('de para abc'!$C:$C,MATCH($B8,'de para abc'!$A:$A,0))),IFERROR(IF(INDEX('de para abc'!$C:$C,MATCH($C8,'de para abc'!$B:$B,0))=0,"C",INDEX('de para abc'!$C:$C,MATCH($C8,'de para abc'!$B:$B,0))),"C"))</f>
        <v>B</v>
      </c>
      <c r="F8" s="8">
        <v>2</v>
      </c>
    </row>
    <row r="9" spans="1:10" x14ac:dyDescent="0.25">
      <c r="A9" s="4" t="s">
        <v>8</v>
      </c>
      <c r="B9" s="5">
        <v>1000037</v>
      </c>
      <c r="C9" s="6" t="s">
        <v>46</v>
      </c>
      <c r="D9" s="7" t="s">
        <v>10</v>
      </c>
      <c r="E9" s="7" t="str">
        <f t="array" ref="E9">IFERROR(IF(INDEX('de para abc'!$C:$C,MATCH($B9,'de para abc'!$A:$A,0))=0,"C",INDEX('de para abc'!$C:$C,MATCH($B9,'de para abc'!$A:$A,0))),IFERROR(IF(INDEX('de para abc'!$C:$C,MATCH($C9,'de para abc'!$B:$B,0))=0,"C",INDEX('de para abc'!$C:$C,MATCH($C9,'de para abc'!$B:$B,0))),"C"))</f>
        <v>A</v>
      </c>
      <c r="F9" s="8">
        <v>1</v>
      </c>
    </row>
    <row r="10" spans="1:10" x14ac:dyDescent="0.25">
      <c r="A10" s="4" t="s">
        <v>8</v>
      </c>
      <c r="B10" s="5">
        <v>9000028</v>
      </c>
      <c r="C10" s="6" t="s">
        <v>195</v>
      </c>
      <c r="D10" s="7" t="s">
        <v>10</v>
      </c>
      <c r="E10" s="7" t="str">
        <f t="array" ref="E10">IFERROR(IF(INDEX('de para abc'!$C:$C,MATCH($B10,'de para abc'!$A:$A,0))=0,"C",INDEX('de para abc'!$C:$C,MATCH($B10,'de para abc'!$A:$A,0))),IFERROR(IF(INDEX('de para abc'!$C:$C,MATCH($C10,'de para abc'!$B:$B,0))=0,"C",INDEX('de para abc'!$C:$C,MATCH($C10,'de para abc'!$B:$B,0))),"C"))</f>
        <v>C</v>
      </c>
      <c r="F10" s="8">
        <v>1</v>
      </c>
    </row>
    <row r="11" spans="1:10" x14ac:dyDescent="0.25">
      <c r="A11" s="4" t="s">
        <v>8</v>
      </c>
      <c r="B11" s="5">
        <v>1000039</v>
      </c>
      <c r="C11" s="6" t="s">
        <v>16</v>
      </c>
      <c r="D11" s="7" t="s">
        <v>10</v>
      </c>
      <c r="E11" s="7" t="str">
        <f t="array" ref="E11">IFERROR(IF(INDEX('de para abc'!$C:$C,MATCH($B11,'de para abc'!$A:$A,0))=0,"C",INDEX('de para abc'!$C:$C,MATCH($B11,'de para abc'!$A:$A,0))),IFERROR(IF(INDEX('de para abc'!$C:$C,MATCH($C11,'de para abc'!$B:$B,0))=0,"C",INDEX('de para abc'!$C:$C,MATCH($C11,'de para abc'!$B:$B,0))),"C"))</f>
        <v>A</v>
      </c>
      <c r="F11" s="8">
        <v>3</v>
      </c>
    </row>
    <row r="12" spans="1:10" x14ac:dyDescent="0.25">
      <c r="A12" s="4" t="s">
        <v>8</v>
      </c>
      <c r="B12" s="5">
        <v>1001455</v>
      </c>
      <c r="C12" s="6" t="s">
        <v>17</v>
      </c>
      <c r="D12" s="7" t="s">
        <v>18</v>
      </c>
      <c r="E12" s="7" t="str">
        <f t="array" ref="E12">IFERROR(IF(INDEX('de para abc'!$C:$C,MATCH($B12,'de para abc'!$A:$A,0))=0,"C",INDEX('de para abc'!$C:$C,MATCH($B12,'de para abc'!$A:$A,0))),IFERROR(IF(INDEX('de para abc'!$C:$C,MATCH($C12,'de para abc'!$B:$B,0))=0,"C",INDEX('de para abc'!$C:$C,MATCH($C12,'de para abc'!$B:$B,0))),"C"))</f>
        <v>A</v>
      </c>
      <c r="F12" s="8">
        <v>5</v>
      </c>
    </row>
    <row r="13" spans="1:10" x14ac:dyDescent="0.25">
      <c r="A13" s="4" t="s">
        <v>8</v>
      </c>
      <c r="B13" s="5">
        <v>1000048</v>
      </c>
      <c r="C13" s="6" t="s">
        <v>19</v>
      </c>
      <c r="D13" s="7" t="s">
        <v>10</v>
      </c>
      <c r="E13" s="7" t="str">
        <f t="array" ref="E13">IFERROR(IF(INDEX('de para abc'!$C:$C,MATCH($B13,'de para abc'!$A:$A,0))=0,"C",INDEX('de para abc'!$C:$C,MATCH($B13,'de para abc'!$A:$A,0))),IFERROR(IF(INDEX('de para abc'!$C:$C,MATCH($C13,'de para abc'!$B:$B,0))=0,"C",INDEX('de para abc'!$C:$C,MATCH($C13,'de para abc'!$B:$B,0))),"C"))</f>
        <v>A</v>
      </c>
      <c r="F13" s="8">
        <v>7</v>
      </c>
    </row>
    <row r="14" spans="1:10" x14ac:dyDescent="0.25">
      <c r="A14" s="4" t="s">
        <v>8</v>
      </c>
      <c r="B14" s="5">
        <v>1000049</v>
      </c>
      <c r="C14" s="6" t="s">
        <v>48</v>
      </c>
      <c r="D14" s="7" t="s">
        <v>10</v>
      </c>
      <c r="E14" s="7" t="str">
        <f t="array" ref="E14">IFERROR(IF(INDEX('de para abc'!$C:$C,MATCH($B14,'de para abc'!$A:$A,0))=0,"C",INDEX('de para abc'!$C:$C,MATCH($B14,'de para abc'!$A:$A,0))),IFERROR(IF(INDEX('de para abc'!$C:$C,MATCH($C14,'de para abc'!$B:$B,0))=0,"C",INDEX('de para abc'!$C:$C,MATCH($C14,'de para abc'!$B:$B,0))),"C"))</f>
        <v>A</v>
      </c>
      <c r="F14" s="8">
        <v>0</v>
      </c>
    </row>
    <row r="15" spans="1:10" x14ac:dyDescent="0.25">
      <c r="A15" s="4" t="s">
        <v>8</v>
      </c>
      <c r="B15" s="5">
        <v>1001712</v>
      </c>
      <c r="C15" s="6" t="s">
        <v>49</v>
      </c>
      <c r="D15" s="7" t="s">
        <v>18</v>
      </c>
      <c r="E15" s="7" t="str">
        <f t="array" ref="E15">IFERROR(IF(INDEX('de para abc'!$C:$C,MATCH($B15,'de para abc'!$A:$A,0))=0,"C",INDEX('de para abc'!$C:$C,MATCH($B15,'de para abc'!$A:$A,0))),IFERROR(IF(INDEX('de para abc'!$C:$C,MATCH($C15,'de para abc'!$B:$B,0))=0,"C",INDEX('de para abc'!$C:$C,MATCH($C15,'de para abc'!$B:$B,0))),"C"))</f>
        <v>B</v>
      </c>
      <c r="F15" s="8">
        <v>2</v>
      </c>
    </row>
    <row r="16" spans="1:10" x14ac:dyDescent="0.25">
      <c r="A16" s="4" t="s">
        <v>8</v>
      </c>
      <c r="B16" s="5">
        <v>1001702</v>
      </c>
      <c r="C16" s="6" t="s">
        <v>20</v>
      </c>
      <c r="D16" s="7" t="s">
        <v>18</v>
      </c>
      <c r="E16" s="7" t="str">
        <f t="array" ref="E16">IFERROR(IF(INDEX('de para abc'!$C:$C,MATCH($B16,'de para abc'!$A:$A,0))=0,"C",INDEX('de para abc'!$C:$C,MATCH($B16,'de para abc'!$A:$A,0))),IFERROR(IF(INDEX('de para abc'!$C:$C,MATCH($C16,'de para abc'!$B:$B,0))=0,"C",INDEX('de para abc'!$C:$C,MATCH($C16,'de para abc'!$B:$B,0))),"C"))</f>
        <v>B</v>
      </c>
      <c r="F16" s="8">
        <v>2</v>
      </c>
    </row>
    <row r="17" spans="1:6" x14ac:dyDescent="0.25">
      <c r="A17" s="4" t="s">
        <v>8</v>
      </c>
      <c r="B17" s="5">
        <v>1001701</v>
      </c>
      <c r="C17" s="6" t="s">
        <v>21</v>
      </c>
      <c r="D17" s="7" t="s">
        <v>18</v>
      </c>
      <c r="E17" s="7" t="str">
        <f t="array" ref="E17">IFERROR(IF(INDEX('de para abc'!$C:$C,MATCH($B17,'de para abc'!$A:$A,0))=0,"C",INDEX('de para abc'!$C:$C,MATCH($B17,'de para abc'!$A:$A,0))),IFERROR(IF(INDEX('de para abc'!$C:$C,MATCH($C17,'de para abc'!$B:$B,0))=0,"C",INDEX('de para abc'!$C:$C,MATCH($C17,'de para abc'!$B:$B,0))),"C"))</f>
        <v>B</v>
      </c>
      <c r="F17" s="8">
        <v>2</v>
      </c>
    </row>
    <row r="18" spans="1:6" x14ac:dyDescent="0.25">
      <c r="A18" s="4" t="s">
        <v>8</v>
      </c>
      <c r="B18" s="5" t="str">
        <f t="array" ref="B18">IFERROR(INDEX('de para codigo'!$A:$A,MATCH($C18,'de para codigo'!$B:$B,0)),"N/D")</f>
        <v>N/D</v>
      </c>
      <c r="C18" s="6" t="s">
        <v>196</v>
      </c>
      <c r="D18" s="7" t="s">
        <v>18</v>
      </c>
      <c r="E18" s="7" t="str">
        <f t="array" ref="E18">IFERROR(IF(INDEX('de para abc'!$C:$C,MATCH($B18,'de para abc'!$A:$A,0))=0,"C",INDEX('de para abc'!$C:$C,MATCH($B18,'de para abc'!$A:$A,0))),IFERROR(IF(INDEX('de para abc'!$C:$C,MATCH($C18,'de para abc'!$B:$B,0))=0,"C",INDEX('de para abc'!$C:$C,MATCH($C18,'de para abc'!$B:$B,0))),"C"))</f>
        <v>C</v>
      </c>
      <c r="F18" s="8">
        <v>1</v>
      </c>
    </row>
    <row r="19" spans="1:6" x14ac:dyDescent="0.25">
      <c r="A19" s="4" t="s">
        <v>8</v>
      </c>
      <c r="B19" s="5">
        <v>1001986</v>
      </c>
      <c r="C19" s="6" t="s">
        <v>197</v>
      </c>
      <c r="D19" s="7" t="s">
        <v>18</v>
      </c>
      <c r="E19" s="7" t="str">
        <f t="array" ref="E19">IFERROR(IF(INDEX('de para abc'!$C:$C,MATCH($B19,'de para abc'!$A:$A,0))=0,"C",INDEX('de para abc'!$C:$C,MATCH($B19,'de para abc'!$A:$A,0))),IFERROR(IF(INDEX('de para abc'!$C:$C,MATCH($C19,'de para abc'!$B:$B,0))=0,"C",INDEX('de para abc'!$C:$C,MATCH($C19,'de para abc'!$B:$B,0))),"C"))</f>
        <v>C</v>
      </c>
      <c r="F19" s="8">
        <v>2</v>
      </c>
    </row>
    <row r="20" spans="1:6" x14ac:dyDescent="0.25">
      <c r="A20" s="4" t="s">
        <v>8</v>
      </c>
      <c r="B20" s="5">
        <v>1001680</v>
      </c>
      <c r="C20" s="6" t="s">
        <v>198</v>
      </c>
      <c r="D20" s="7" t="s">
        <v>10</v>
      </c>
      <c r="E20" s="7" t="str">
        <f t="array" ref="E20">IFERROR(IF(INDEX('de para abc'!$C:$C,MATCH($B20,'de para abc'!$A:$A,0))=0,"C",INDEX('de para abc'!$C:$C,MATCH($B20,'de para abc'!$A:$A,0))),IFERROR(IF(INDEX('de para abc'!$C:$C,MATCH($C20,'de para abc'!$B:$B,0))=0,"C",INDEX('de para abc'!$C:$C,MATCH($C20,'de para abc'!$B:$B,0))),"C"))</f>
        <v>A</v>
      </c>
      <c r="F20" s="8">
        <v>0</v>
      </c>
    </row>
    <row r="21" spans="1:6" ht="15.75" customHeight="1" x14ac:dyDescent="0.25">
      <c r="A21" s="4" t="s">
        <v>8</v>
      </c>
      <c r="B21" s="5">
        <v>1008890</v>
      </c>
      <c r="C21" s="6" t="s">
        <v>23</v>
      </c>
      <c r="D21" s="7" t="s">
        <v>18</v>
      </c>
      <c r="E21" s="7" t="str">
        <f t="array" ref="E21">IFERROR(IF(INDEX('de para abc'!$C:$C,MATCH($B21,'de para abc'!$A:$A,0))=0,"C",INDEX('de para abc'!$C:$C,MATCH($B21,'de para abc'!$A:$A,0))),IFERROR(IF(INDEX('de para abc'!$C:$C,MATCH($C21,'de para abc'!$B:$B,0))=0,"C",INDEX('de para abc'!$C:$C,MATCH($C21,'de para abc'!$B:$B,0))),"C"))</f>
        <v>C</v>
      </c>
      <c r="F21" s="8">
        <v>7</v>
      </c>
    </row>
    <row r="22" spans="1:6" ht="15.75" customHeight="1" x14ac:dyDescent="0.25">
      <c r="A22" s="4" t="s">
        <v>8</v>
      </c>
      <c r="B22" s="5">
        <v>1001667</v>
      </c>
      <c r="C22" s="6" t="s">
        <v>199</v>
      </c>
      <c r="D22" s="7" t="s">
        <v>18</v>
      </c>
      <c r="E22" s="7" t="str">
        <f t="array" ref="E22">IFERROR(IF(INDEX('de para abc'!$C:$C,MATCH($B22,'de para abc'!$A:$A,0))=0,"C",INDEX('de para abc'!$C:$C,MATCH($B22,'de para abc'!$A:$A,0))),IFERROR(IF(INDEX('de para abc'!$C:$C,MATCH($C22,'de para abc'!$B:$B,0))=0,"C",INDEX('de para abc'!$C:$C,MATCH($C22,'de para abc'!$B:$B,0))),"C"))</f>
        <v>A</v>
      </c>
      <c r="F22" s="8">
        <v>20</v>
      </c>
    </row>
    <row r="23" spans="1:6" ht="15.75" customHeight="1" x14ac:dyDescent="0.25">
      <c r="A23" s="4" t="s">
        <v>8</v>
      </c>
      <c r="B23" s="5">
        <v>1001122</v>
      </c>
      <c r="C23" s="6" t="s">
        <v>200</v>
      </c>
      <c r="D23" s="7" t="s">
        <v>10</v>
      </c>
      <c r="E23" s="7" t="str">
        <f t="array" ref="E23">IFERROR(IF(INDEX('de para abc'!$C:$C,MATCH($B23,'de para abc'!$A:$A,0))=0,"C",INDEX('de para abc'!$C:$C,MATCH($B23,'de para abc'!$A:$A,0))),IFERROR(IF(INDEX('de para abc'!$C:$C,MATCH($C23,'de para abc'!$B:$B,0))=0,"C",INDEX('de para abc'!$C:$C,MATCH($C23,'de para abc'!$B:$B,0))),"C"))</f>
        <v>A</v>
      </c>
      <c r="F23" s="8">
        <v>2</v>
      </c>
    </row>
    <row r="24" spans="1:6" ht="15.75" customHeight="1" x14ac:dyDescent="0.25">
      <c r="A24" s="4" t="s">
        <v>8</v>
      </c>
      <c r="B24" s="5">
        <v>1001146</v>
      </c>
      <c r="C24" s="6" t="s">
        <v>27</v>
      </c>
      <c r="D24" s="7" t="s">
        <v>10</v>
      </c>
      <c r="E24" s="7" t="str">
        <f t="array" ref="E24">IFERROR(IF(INDEX('de para abc'!$C:$C,MATCH($B24,'de para abc'!$A:$A,0))=0,"C",INDEX('de para abc'!$C:$C,MATCH($B24,'de para abc'!$A:$A,0))),IFERROR(IF(INDEX('de para abc'!$C:$C,MATCH($C24,'de para abc'!$B:$B,0))=0,"C",INDEX('de para abc'!$C:$C,MATCH($C24,'de para abc'!$B:$B,0))),"C"))</f>
        <v>B</v>
      </c>
      <c r="F24" s="8">
        <v>9</v>
      </c>
    </row>
    <row r="25" spans="1:6" ht="15.75" customHeight="1" x14ac:dyDescent="0.25">
      <c r="A25" s="4" t="s">
        <v>8</v>
      </c>
      <c r="B25" s="5">
        <v>1000184</v>
      </c>
      <c r="C25" s="6" t="s">
        <v>28</v>
      </c>
      <c r="D25" s="7" t="s">
        <v>14</v>
      </c>
      <c r="E25" s="7" t="str">
        <f t="array" ref="E25">IFERROR(IF(INDEX('de para abc'!$C:$C,MATCH($B25,'de para abc'!$A:$A,0))=0,"C",INDEX('de para abc'!$C:$C,MATCH($B25,'de para abc'!$A:$A,0))),IFERROR(IF(INDEX('de para abc'!$C:$C,MATCH($C25,'de para abc'!$B:$B,0))=0,"C",INDEX('de para abc'!$C:$C,MATCH($C25,'de para abc'!$B:$B,0))),"C"))</f>
        <v>A</v>
      </c>
      <c r="F25" s="8">
        <v>8</v>
      </c>
    </row>
    <row r="26" spans="1:6" ht="15.75" customHeight="1" x14ac:dyDescent="0.25">
      <c r="A26" s="4" t="s">
        <v>8</v>
      </c>
      <c r="B26" s="5">
        <v>1000185</v>
      </c>
      <c r="C26" s="6" t="s">
        <v>52</v>
      </c>
      <c r="D26" s="7" t="s">
        <v>14</v>
      </c>
      <c r="E26" s="7" t="str">
        <f t="array" ref="E26">IFERROR(IF(INDEX('de para abc'!$C:$C,MATCH($B26,'de para abc'!$A:$A,0))=0,"C",INDEX('de para abc'!$C:$C,MATCH($B26,'de para abc'!$A:$A,0))),IFERROR(IF(INDEX('de para abc'!$C:$C,MATCH($C26,'de para abc'!$B:$B,0))=0,"C",INDEX('de para abc'!$C:$C,MATCH($C26,'de para abc'!$B:$B,0))),"C"))</f>
        <v>A</v>
      </c>
      <c r="F26" s="8">
        <v>3</v>
      </c>
    </row>
    <row r="27" spans="1:6" ht="15.75" customHeight="1" x14ac:dyDescent="0.25">
      <c r="A27" s="4" t="s">
        <v>8</v>
      </c>
      <c r="B27" s="5">
        <v>1000183</v>
      </c>
      <c r="C27" s="6" t="s">
        <v>51</v>
      </c>
      <c r="D27" s="7" t="s">
        <v>14</v>
      </c>
      <c r="E27" s="7" t="str">
        <f t="array" ref="E27">IFERROR(IF(INDEX('de para abc'!$C:$C,MATCH($B27,'de para abc'!$A:$A,0))=0,"C",INDEX('de para abc'!$C:$C,MATCH($B27,'de para abc'!$A:$A,0))),IFERROR(IF(INDEX('de para abc'!$C:$C,MATCH($C27,'de para abc'!$B:$B,0))=0,"C",INDEX('de para abc'!$C:$C,MATCH($C27,'de para abc'!$B:$B,0))),"C"))</f>
        <v>A</v>
      </c>
      <c r="F27" s="8">
        <v>3</v>
      </c>
    </row>
    <row r="28" spans="1:6" ht="15.75" customHeight="1" x14ac:dyDescent="0.25">
      <c r="A28" s="4" t="s">
        <v>8</v>
      </c>
      <c r="B28" s="5">
        <v>1006116</v>
      </c>
      <c r="C28" s="6" t="s">
        <v>30</v>
      </c>
      <c r="D28" s="7" t="s">
        <v>10</v>
      </c>
      <c r="E28" s="7" t="str">
        <f t="array" ref="E28">IFERROR(IF(INDEX('de para abc'!$C:$C,MATCH($B28,'de para abc'!$A:$A,0))=0,"C",INDEX('de para abc'!$C:$C,MATCH($B28,'de para abc'!$A:$A,0))),IFERROR(IF(INDEX('de para abc'!$C:$C,MATCH($C28,'de para abc'!$B:$B,0))=0,"C",INDEX('de para abc'!$C:$C,MATCH($C28,'de para abc'!$B:$B,0))),"C"))</f>
        <v>B</v>
      </c>
      <c r="F28" s="8">
        <v>1</v>
      </c>
    </row>
    <row r="29" spans="1:6" ht="15.75" customHeight="1" x14ac:dyDescent="0.25">
      <c r="A29" s="4" t="s">
        <v>8</v>
      </c>
      <c r="B29" s="5" t="str">
        <f t="array" ref="B29">IFERROR(INDEX('de para codigo'!$A:$A,MATCH($C29,'de para codigo'!$B:$B,0)),"N/D")</f>
        <v>N/D</v>
      </c>
      <c r="C29" s="6" t="s">
        <v>201</v>
      </c>
      <c r="D29" s="7" t="s">
        <v>10</v>
      </c>
      <c r="E29" s="7" t="str">
        <f t="array" ref="E29">IFERROR(IF(INDEX('de para abc'!$C:$C,MATCH($B29,'de para abc'!$A:$A,0))=0,"C",INDEX('de para abc'!$C:$C,MATCH($B29,'de para abc'!$A:$A,0))),IFERROR(IF(INDEX('de para abc'!$C:$C,MATCH($C29,'de para abc'!$B:$B,0))=0,"C",INDEX('de para abc'!$C:$C,MATCH($C29,'de para abc'!$B:$B,0))),"C"))</f>
        <v>C</v>
      </c>
      <c r="F29" s="8">
        <v>6</v>
      </c>
    </row>
    <row r="30" spans="1:6" ht="15.75" customHeight="1" x14ac:dyDescent="0.25">
      <c r="A30" s="4" t="s">
        <v>8</v>
      </c>
      <c r="B30" s="5">
        <v>1001707</v>
      </c>
      <c r="C30" s="6" t="s">
        <v>202</v>
      </c>
      <c r="D30" s="7" t="s">
        <v>18</v>
      </c>
      <c r="E30" s="7" t="str">
        <f t="array" ref="E30">IFERROR(IF(INDEX('de para abc'!$C:$C,MATCH($B30,'de para abc'!$A:$A,0))=0,"C",INDEX('de para abc'!$C:$C,MATCH($B30,'de para abc'!$A:$A,0))),IFERROR(IF(INDEX('de para abc'!$C:$C,MATCH($C30,'de para abc'!$B:$B,0))=0,"C",INDEX('de para abc'!$C:$C,MATCH($C30,'de para abc'!$B:$B,0))),"C"))</f>
        <v>B</v>
      </c>
      <c r="F30" s="8">
        <v>3</v>
      </c>
    </row>
    <row r="31" spans="1:6" ht="15.75" customHeight="1" x14ac:dyDescent="0.25">
      <c r="A31" s="4" t="s">
        <v>8</v>
      </c>
      <c r="B31" s="5">
        <v>1000195</v>
      </c>
      <c r="C31" s="6" t="s">
        <v>32</v>
      </c>
      <c r="D31" s="7" t="s">
        <v>10</v>
      </c>
      <c r="E31" s="7" t="str">
        <f t="array" ref="E31">IFERROR(IF(INDEX('de para abc'!$C:$C,MATCH($B31,'de para abc'!$A:$A,0))=0,"C",INDEX('de para abc'!$C:$C,MATCH($B31,'de para abc'!$A:$A,0))),IFERROR(IF(INDEX('de para abc'!$C:$C,MATCH($C31,'de para abc'!$B:$B,0))=0,"C",INDEX('de para abc'!$C:$C,MATCH($C31,'de para abc'!$B:$B,0))),"C"))</f>
        <v>A</v>
      </c>
      <c r="F31" s="8">
        <v>0</v>
      </c>
    </row>
    <row r="32" spans="1:6" ht="15.75" customHeight="1" x14ac:dyDescent="0.25">
      <c r="A32" s="4" t="s">
        <v>8</v>
      </c>
      <c r="B32" s="5">
        <v>1000196</v>
      </c>
      <c r="C32" s="6" t="s">
        <v>64</v>
      </c>
      <c r="D32" s="7" t="s">
        <v>14</v>
      </c>
      <c r="E32" s="7" t="str">
        <f t="array" ref="E32">IFERROR(IF(INDEX('de para abc'!$C:$C,MATCH($B32,'de para abc'!$A:$A,0))=0,"C",INDEX('de para abc'!$C:$C,MATCH($B32,'de para abc'!$A:$A,0))),IFERROR(IF(INDEX('de para abc'!$C:$C,MATCH($C32,'de para abc'!$B:$B,0))=0,"C",INDEX('de para abc'!$C:$C,MATCH($C32,'de para abc'!$B:$B,0))),"C"))</f>
        <v>A</v>
      </c>
      <c r="F32" s="8">
        <v>1</v>
      </c>
    </row>
    <row r="33" spans="1:6" ht="15.75" customHeight="1" x14ac:dyDescent="0.25">
      <c r="A33" s="4" t="s">
        <v>8</v>
      </c>
      <c r="B33" s="5">
        <v>1000197</v>
      </c>
      <c r="C33" s="6" t="s">
        <v>53</v>
      </c>
      <c r="D33" s="7" t="s">
        <v>14</v>
      </c>
      <c r="E33" s="7" t="str">
        <f t="array" ref="E33">IFERROR(IF(INDEX('de para abc'!$C:$C,MATCH($B33,'de para abc'!$A:$A,0))=0,"C",INDEX('de para abc'!$C:$C,MATCH($B33,'de para abc'!$A:$A,0))),IFERROR(IF(INDEX('de para abc'!$C:$C,MATCH($C33,'de para abc'!$B:$B,0))=0,"C",INDEX('de para abc'!$C:$C,MATCH($C33,'de para abc'!$B:$B,0))),"C"))</f>
        <v>A</v>
      </c>
      <c r="F33" s="8">
        <v>7</v>
      </c>
    </row>
    <row r="34" spans="1:6" ht="15.75" customHeight="1" x14ac:dyDescent="0.25">
      <c r="A34" s="4" t="s">
        <v>8</v>
      </c>
      <c r="B34" s="5">
        <v>1000198</v>
      </c>
      <c r="C34" s="6" t="s">
        <v>65</v>
      </c>
      <c r="D34" s="7" t="s">
        <v>14</v>
      </c>
      <c r="E34" s="7" t="str">
        <f t="array" ref="E34">IFERROR(IF(INDEX('de para abc'!$C:$C,MATCH($B34,'de para abc'!$A:$A,0))=0,"C",INDEX('de para abc'!$C:$C,MATCH($B34,'de para abc'!$A:$A,0))),IFERROR(IF(INDEX('de para abc'!$C:$C,MATCH($C34,'de para abc'!$B:$B,0))=0,"C",INDEX('de para abc'!$C:$C,MATCH($C34,'de para abc'!$B:$B,0))),"C"))</f>
        <v>A</v>
      </c>
      <c r="F34" s="8">
        <v>3</v>
      </c>
    </row>
    <row r="35" spans="1:6" ht="15.75" customHeight="1" x14ac:dyDescent="0.25">
      <c r="A35" s="4" t="s">
        <v>8</v>
      </c>
      <c r="B35" s="5">
        <v>1001741</v>
      </c>
      <c r="C35" s="6" t="s">
        <v>33</v>
      </c>
      <c r="D35" s="7" t="s">
        <v>14</v>
      </c>
      <c r="E35" s="7" t="str">
        <f t="array" ref="E35">IFERROR(IF(INDEX('de para abc'!$C:$C,MATCH($B35,'de para abc'!$A:$A,0))=0,"C",INDEX('de para abc'!$C:$C,MATCH($B35,'de para abc'!$A:$A,0))),IFERROR(IF(INDEX('de para abc'!$C:$C,MATCH($C35,'de para abc'!$B:$B,0))=0,"C",INDEX('de para abc'!$C:$C,MATCH($C35,'de para abc'!$B:$B,0))),"C"))</f>
        <v>A</v>
      </c>
      <c r="F35" s="8">
        <v>5</v>
      </c>
    </row>
    <row r="36" spans="1:6" ht="15.75" customHeight="1" x14ac:dyDescent="0.25">
      <c r="A36" s="4" t="s">
        <v>8</v>
      </c>
      <c r="B36" s="5">
        <v>1001045</v>
      </c>
      <c r="C36" s="6" t="s">
        <v>145</v>
      </c>
      <c r="D36" s="7" t="s">
        <v>10</v>
      </c>
      <c r="E36" s="7" t="str">
        <f t="array" ref="E36">IFERROR(IF(INDEX('de para abc'!$C:$C,MATCH($B36,'de para abc'!$A:$A,0))=0,"C",INDEX('de para abc'!$C:$C,MATCH($B36,'de para abc'!$A:$A,0))),IFERROR(IF(INDEX('de para abc'!$C:$C,MATCH($C36,'de para abc'!$B:$B,0))=0,"C",INDEX('de para abc'!$C:$C,MATCH($C36,'de para abc'!$B:$B,0))),"C"))</f>
        <v>A</v>
      </c>
      <c r="F36" s="8">
        <v>2</v>
      </c>
    </row>
    <row r="37" spans="1:6" ht="15.75" customHeight="1" x14ac:dyDescent="0.25">
      <c r="A37" s="4" t="s">
        <v>8</v>
      </c>
      <c r="B37" s="5">
        <v>1001488</v>
      </c>
      <c r="C37" s="6" t="s">
        <v>34</v>
      </c>
      <c r="D37" s="7" t="s">
        <v>18</v>
      </c>
      <c r="E37" s="7" t="str">
        <f t="array" ref="E37">IFERROR(IF(INDEX('de para abc'!$C:$C,MATCH($B37,'de para abc'!$A:$A,0))=0,"C",INDEX('de para abc'!$C:$C,MATCH($B37,'de para abc'!$A:$A,0))),IFERROR(IF(INDEX('de para abc'!$C:$C,MATCH($C37,'de para abc'!$B:$B,0))=0,"C",INDEX('de para abc'!$C:$C,MATCH($C37,'de para abc'!$B:$B,0))),"C"))</f>
        <v>A</v>
      </c>
      <c r="F37" s="8">
        <v>2</v>
      </c>
    </row>
    <row r="38" spans="1:6" ht="15.75" customHeight="1" x14ac:dyDescent="0.25">
      <c r="A38" s="4" t="s">
        <v>8</v>
      </c>
      <c r="B38" s="5">
        <v>1000243</v>
      </c>
      <c r="C38" s="6" t="s">
        <v>150</v>
      </c>
      <c r="D38" s="7" t="s">
        <v>14</v>
      </c>
      <c r="E38" s="7" t="str">
        <f t="array" ref="E38">IFERROR(IF(INDEX('de para abc'!$C:$C,MATCH($B38,'de para abc'!$A:$A,0))=0,"C",INDEX('de para abc'!$C:$C,MATCH($B38,'de para abc'!$A:$A,0))),IFERROR(IF(INDEX('de para abc'!$C:$C,MATCH($C38,'de para abc'!$B:$B,0))=0,"C",INDEX('de para abc'!$C:$C,MATCH($C38,'de para abc'!$B:$B,0))),"C"))</f>
        <v>A</v>
      </c>
      <c r="F38" s="8">
        <v>1</v>
      </c>
    </row>
    <row r="39" spans="1:6" ht="15.75" customHeight="1" x14ac:dyDescent="0.25">
      <c r="A39" s="4" t="s">
        <v>8</v>
      </c>
      <c r="B39" s="5">
        <v>1000481</v>
      </c>
      <c r="C39" s="6" t="s">
        <v>148</v>
      </c>
      <c r="D39" s="7" t="s">
        <v>14</v>
      </c>
      <c r="E39" s="7" t="str">
        <f t="array" ref="E39">IFERROR(IF(INDEX('de para abc'!$C:$C,MATCH($B39,'de para abc'!$A:$A,0))=0,"C",INDEX('de para abc'!$C:$C,MATCH($B39,'de para abc'!$A:$A,0))),IFERROR(IF(INDEX('de para abc'!$C:$C,MATCH($C39,'de para abc'!$B:$B,0))=0,"C",INDEX('de para abc'!$C:$C,MATCH($C39,'de para abc'!$B:$B,0))),"C"))</f>
        <v>B</v>
      </c>
      <c r="F39" s="8">
        <v>3</v>
      </c>
    </row>
    <row r="40" spans="1:6" ht="15.75" customHeight="1" x14ac:dyDescent="0.25">
      <c r="A40" s="4" t="s">
        <v>8</v>
      </c>
      <c r="B40" s="5">
        <v>1001264</v>
      </c>
      <c r="C40" s="6" t="s">
        <v>37</v>
      </c>
      <c r="D40" s="7" t="s">
        <v>18</v>
      </c>
      <c r="E40" s="7" t="str">
        <f t="array" ref="E40">IFERROR(IF(INDEX('de para abc'!$C:$C,MATCH($B40,'de para abc'!$A:$A,0))=0,"C",INDEX('de para abc'!$C:$C,MATCH($B40,'de para abc'!$A:$A,0))),IFERROR(IF(INDEX('de para abc'!$C:$C,MATCH($C40,'de para abc'!$B:$B,0))=0,"C",INDEX('de para abc'!$C:$C,MATCH($C40,'de para abc'!$B:$B,0))),"C"))</f>
        <v>A</v>
      </c>
      <c r="F40" s="8">
        <v>2</v>
      </c>
    </row>
    <row r="41" spans="1:6" ht="15.75" customHeight="1" x14ac:dyDescent="0.25">
      <c r="A41" s="4" t="s">
        <v>8</v>
      </c>
      <c r="B41" s="5">
        <v>1000262</v>
      </c>
      <c r="C41" s="6" t="s">
        <v>203</v>
      </c>
      <c r="D41" s="7" t="s">
        <v>18</v>
      </c>
      <c r="E41" s="7" t="str">
        <f t="array" ref="E41">IFERROR(IF(INDEX('de para abc'!$C:$C,MATCH($B41,'de para abc'!$A:$A,0))=0,"C",INDEX('de para abc'!$C:$C,MATCH($B41,'de para abc'!$A:$A,0))),IFERROR(IF(INDEX('de para abc'!$C:$C,MATCH($C41,'de para abc'!$B:$B,0))=0,"C",INDEX('de para abc'!$C:$C,MATCH($C41,'de para abc'!$B:$B,0))),"C"))</f>
        <v>C</v>
      </c>
      <c r="F41" s="8">
        <v>12</v>
      </c>
    </row>
    <row r="42" spans="1:6" ht="15.75" customHeight="1" x14ac:dyDescent="0.25">
      <c r="A42" s="4" t="s">
        <v>8</v>
      </c>
      <c r="B42" s="5">
        <v>1001940</v>
      </c>
      <c r="C42" s="6" t="s">
        <v>204</v>
      </c>
      <c r="D42" s="7" t="s">
        <v>18</v>
      </c>
      <c r="E42" s="7" t="str">
        <f t="array" ref="E42">IFERROR(IF(INDEX('de para abc'!$C:$C,MATCH($B42,'de para abc'!$A:$A,0))=0,"C",INDEX('de para abc'!$C:$C,MATCH($B42,'de para abc'!$A:$A,0))),IFERROR(IF(INDEX('de para abc'!$C:$C,MATCH($C42,'de para abc'!$B:$B,0))=0,"C",INDEX('de para abc'!$C:$C,MATCH($C42,'de para abc'!$B:$B,0))),"C"))</f>
        <v>C</v>
      </c>
      <c r="F42" s="8">
        <v>0</v>
      </c>
    </row>
    <row r="43" spans="1:6" ht="15.75" customHeight="1" x14ac:dyDescent="0.25">
      <c r="A43" s="4" t="s">
        <v>8</v>
      </c>
      <c r="B43" s="5">
        <v>1001241</v>
      </c>
      <c r="C43" s="6" t="s">
        <v>205</v>
      </c>
      <c r="D43" s="7" t="s">
        <v>18</v>
      </c>
      <c r="E43" s="7" t="str">
        <f t="array" ref="E43">IFERROR(IF(INDEX('de para abc'!$C:$C,MATCH($B43,'de para abc'!$A:$A,0))=0,"C",INDEX('de para abc'!$C:$C,MATCH($B43,'de para abc'!$A:$A,0))),IFERROR(IF(INDEX('de para abc'!$C:$C,MATCH($C43,'de para abc'!$B:$B,0))=0,"C",INDEX('de para abc'!$C:$C,MATCH($C43,'de para abc'!$B:$B,0))),"C"))</f>
        <v>B</v>
      </c>
      <c r="F43" s="8">
        <v>3</v>
      </c>
    </row>
    <row r="44" spans="1:6" ht="15.75" customHeight="1" x14ac:dyDescent="0.25">
      <c r="A44" s="4" t="s">
        <v>8</v>
      </c>
      <c r="B44" s="5">
        <v>1001705</v>
      </c>
      <c r="C44" s="6" t="s">
        <v>40</v>
      </c>
      <c r="D44" s="7" t="s">
        <v>18</v>
      </c>
      <c r="E44" s="7" t="str">
        <f t="array" ref="E44">IFERROR(IF(INDEX('de para abc'!$C:$C,MATCH($B44,'de para abc'!$A:$A,0))=0,"C",INDEX('de para abc'!$C:$C,MATCH($B44,'de para abc'!$A:$A,0))),IFERROR(IF(INDEX('de para abc'!$C:$C,MATCH($C44,'de para abc'!$B:$B,0))=0,"C",INDEX('de para abc'!$C:$C,MATCH($C44,'de para abc'!$B:$B,0))),"C"))</f>
        <v>B</v>
      </c>
      <c r="F44" s="8">
        <v>4</v>
      </c>
    </row>
    <row r="45" spans="1:6" ht="15.75" customHeight="1" x14ac:dyDescent="0.25">
      <c r="A45" s="4" t="s">
        <v>8</v>
      </c>
      <c r="B45" s="5" t="str">
        <f t="array" ref="B45">IFERROR(INDEX('de para codigo'!$A:$A,MATCH($C45,'de para codigo'!$B:$B,0)),"N/D")</f>
        <v>N/D</v>
      </c>
      <c r="C45" s="6" t="s">
        <v>206</v>
      </c>
      <c r="D45" s="7" t="s">
        <v>18</v>
      </c>
      <c r="E45" s="7" t="str">
        <f t="array" ref="E45">IFERROR(IF(INDEX('de para abc'!$C:$C,MATCH($B45,'de para abc'!$A:$A,0))=0,"C",INDEX('de para abc'!$C:$C,MATCH($B45,'de para abc'!$A:$A,0))),IFERROR(IF(INDEX('de para abc'!$C:$C,MATCH($C45,'de para abc'!$B:$B,0))=0,"C",INDEX('de para abc'!$C:$C,MATCH($C45,'de para abc'!$B:$B,0))),"C"))</f>
        <v>C</v>
      </c>
      <c r="F45" s="8">
        <v>2</v>
      </c>
    </row>
    <row r="46" spans="1:6" ht="15.75" customHeight="1" x14ac:dyDescent="0.25">
      <c r="A46" s="4" t="s">
        <v>8</v>
      </c>
      <c r="B46" s="5">
        <v>1001660</v>
      </c>
      <c r="C46" s="6" t="s">
        <v>41</v>
      </c>
      <c r="D46" s="7" t="s">
        <v>10</v>
      </c>
      <c r="E46" s="7" t="str">
        <f t="array" ref="E46">IFERROR(IF(INDEX('de para abc'!$C:$C,MATCH($B46,'de para abc'!$A:$A,0))=0,"C",INDEX('de para abc'!$C:$C,MATCH($B46,'de para abc'!$A:$A,0))),IFERROR(IF(INDEX('de para abc'!$C:$C,MATCH($C46,'de para abc'!$B:$B,0))=0,"C",INDEX('de para abc'!$C:$C,MATCH($C46,'de para abc'!$B:$B,0))),"C"))</f>
        <v>B</v>
      </c>
      <c r="F46" s="8">
        <v>1</v>
      </c>
    </row>
    <row r="47" spans="1:6" ht="15.75" customHeight="1" x14ac:dyDescent="0.25">
      <c r="A47" s="4" t="s">
        <v>8</v>
      </c>
      <c r="B47" s="5">
        <v>1002058</v>
      </c>
      <c r="C47" s="6" t="s">
        <v>158</v>
      </c>
      <c r="D47" s="7" t="s">
        <v>18</v>
      </c>
      <c r="E47" s="7" t="str">
        <f t="array" ref="E47">IFERROR(IF(INDEX('de para abc'!$C:$C,MATCH($B47,'de para abc'!$A:$A,0))=0,"C",INDEX('de para abc'!$C:$C,MATCH($B47,'de para abc'!$A:$A,0))),IFERROR(IF(INDEX('de para abc'!$C:$C,MATCH($C47,'de para abc'!$B:$B,0))=0,"C",INDEX('de para abc'!$C:$C,MATCH($C47,'de para abc'!$B:$B,0))),"C"))</f>
        <v>B</v>
      </c>
      <c r="F47" s="8">
        <v>500</v>
      </c>
    </row>
    <row r="48" spans="1:6" ht="15.75" customHeight="1" x14ac:dyDescent="0.25">
      <c r="A48" s="4" t="s">
        <v>8</v>
      </c>
      <c r="B48" s="5">
        <v>1000348</v>
      </c>
      <c r="C48" s="6" t="s">
        <v>43</v>
      </c>
      <c r="D48" s="7" t="s">
        <v>10</v>
      </c>
      <c r="E48" s="7" t="str">
        <f t="array" ref="E48">IFERROR(IF(INDEX('de para abc'!$C:$C,MATCH($B48,'de para abc'!$A:$A,0))=0,"C",INDEX('de para abc'!$C:$C,MATCH($B48,'de para abc'!$A:$A,0))),IFERROR(IF(INDEX('de para abc'!$C:$C,MATCH($C48,'de para abc'!$B:$B,0))=0,"C",INDEX('de para abc'!$C:$C,MATCH($C48,'de para abc'!$B:$B,0))),"C"))</f>
        <v>A</v>
      </c>
      <c r="F48" s="8">
        <v>1</v>
      </c>
    </row>
    <row r="49" spans="1:6" ht="15.75" customHeight="1" x14ac:dyDescent="0.25">
      <c r="A49" s="4" t="s">
        <v>8</v>
      </c>
      <c r="B49" s="5">
        <v>1000363</v>
      </c>
      <c r="C49" s="6" t="s">
        <v>160</v>
      </c>
      <c r="D49" s="7" t="s">
        <v>10</v>
      </c>
      <c r="E49" s="7" t="str">
        <f t="array" ref="E49">IFERROR(IF(INDEX('de para abc'!$C:$C,MATCH($B49,'de para abc'!$A:$A,0))=0,"C",INDEX('de para abc'!$C:$C,MATCH($B49,'de para abc'!$A:$A,0))),IFERROR(IF(INDEX('de para abc'!$C:$C,MATCH($C49,'de para abc'!$B:$B,0))=0,"C",INDEX('de para abc'!$C:$C,MATCH($C49,'de para abc'!$B:$B,0))),"C"))</f>
        <v>A</v>
      </c>
      <c r="F49" s="8">
        <v>5</v>
      </c>
    </row>
    <row r="50" spans="1:6" ht="15.75" customHeight="1" x14ac:dyDescent="0.25">
      <c r="A50" s="4" t="s">
        <v>8</v>
      </c>
      <c r="B50" s="5" t="str">
        <f t="array" ref="B50">IFERROR(INDEX('de para codigo'!$A:$A,MATCH($C50,'de para codigo'!$B:$B,0)),"N/D")</f>
        <v>N/D</v>
      </c>
      <c r="C50" s="6" t="s">
        <v>207</v>
      </c>
      <c r="D50" s="7" t="s">
        <v>18</v>
      </c>
      <c r="E50" s="7" t="str">
        <f t="array" ref="E50">IFERROR(IF(INDEX('de para abc'!$C:$C,MATCH($B50,'de para abc'!$A:$A,0))=0,"C",INDEX('de para abc'!$C:$C,MATCH($B50,'de para abc'!$A:$A,0))),IFERROR(IF(INDEX('de para abc'!$C:$C,MATCH($C50,'de para abc'!$B:$B,0))=0,"C",INDEX('de para abc'!$C:$C,MATCH($C50,'de para abc'!$B:$B,0))),"C"))</f>
        <v>C</v>
      </c>
      <c r="F50" s="8">
        <v>2</v>
      </c>
    </row>
    <row r="51" spans="1:6" ht="15.75" customHeight="1" x14ac:dyDescent="0.25">
      <c r="A51" s="4" t="s">
        <v>8</v>
      </c>
      <c r="B51" s="5" t="str">
        <f t="array" ref="B51">IFERROR(INDEX('de para codigo'!$A:$A,MATCH($C51,'de para codigo'!$B:$B,0)),"N/D")</f>
        <v>N/D</v>
      </c>
      <c r="C51" s="6" t="s">
        <v>208</v>
      </c>
      <c r="D51" s="7" t="s">
        <v>18</v>
      </c>
      <c r="E51" s="7" t="str">
        <f t="array" ref="E51">IFERROR(IF(INDEX('de para abc'!$C:$C,MATCH($B51,'de para abc'!$A:$A,0))=0,"C",INDEX('de para abc'!$C:$C,MATCH($B51,'de para abc'!$A:$A,0))),IFERROR(IF(INDEX('de para abc'!$C:$C,MATCH($C51,'de para abc'!$B:$B,0))=0,"C",INDEX('de para abc'!$C:$C,MATCH($C51,'de para abc'!$B:$B,0))),"C"))</f>
        <v>C</v>
      </c>
      <c r="F51" s="8">
        <v>2</v>
      </c>
    </row>
    <row r="52" spans="1:6" ht="15.75" customHeight="1" x14ac:dyDescent="0.25">
      <c r="A52" s="4" t="s">
        <v>8</v>
      </c>
      <c r="B52" s="5">
        <v>1001736</v>
      </c>
      <c r="C52" s="6" t="s">
        <v>161</v>
      </c>
      <c r="D52" s="7" t="s">
        <v>18</v>
      </c>
      <c r="E52" s="7" t="str">
        <f t="array" ref="E52">IFERROR(IF(INDEX('de para abc'!$C:$C,MATCH($B52,'de para abc'!$A:$A,0))=0,"C",INDEX('de para abc'!$C:$C,MATCH($B52,'de para abc'!$A:$A,0))),IFERROR(IF(INDEX('de para abc'!$C:$C,MATCH($C52,'de para abc'!$B:$B,0))=0,"C",INDEX('de para abc'!$C:$C,MATCH($C52,'de para abc'!$B:$B,0))),"C"))</f>
        <v>A</v>
      </c>
      <c r="F52" s="8">
        <v>3</v>
      </c>
    </row>
    <row r="53" spans="1:6" ht="15.75" customHeight="1" x14ac:dyDescent="0.25">
      <c r="A53" s="4" t="s">
        <v>8</v>
      </c>
      <c r="B53" s="5" t="str">
        <f t="array" ref="B53">IFERROR(INDEX('de para codigo'!$A:$A,MATCH($C53,'de para codigo'!$B:$B,0)),"N/D")</f>
        <v>N/D</v>
      </c>
      <c r="C53" s="6" t="s">
        <v>209</v>
      </c>
      <c r="D53" s="7" t="s">
        <v>18</v>
      </c>
      <c r="E53" s="7" t="str">
        <f t="array" ref="E53">IFERROR(IF(INDEX('de para abc'!$C:$C,MATCH($B53,'de para abc'!$A:$A,0))=0,"C",INDEX('de para abc'!$C:$C,MATCH($B53,'de para abc'!$A:$A,0))),IFERROR(IF(INDEX('de para abc'!$C:$C,MATCH($C53,'de para abc'!$B:$B,0))=0,"C",INDEX('de para abc'!$C:$C,MATCH($C53,'de para abc'!$B:$B,0))),"C"))</f>
        <v>C</v>
      </c>
      <c r="F53" s="8">
        <v>1</v>
      </c>
    </row>
    <row r="54" spans="1:6" ht="15.75" customHeight="1" x14ac:dyDescent="0.25">
      <c r="A54" s="4" t="s">
        <v>8</v>
      </c>
      <c r="B54" s="5">
        <v>1001669</v>
      </c>
      <c r="C54" s="6" t="s">
        <v>164</v>
      </c>
      <c r="D54" s="7" t="s">
        <v>18</v>
      </c>
      <c r="E54" s="7" t="str">
        <f t="array" ref="E54">IFERROR(IF(INDEX('de para abc'!$C:$C,MATCH($B54,'de para abc'!$A:$A,0))=0,"C",INDEX('de para abc'!$C:$C,MATCH($B54,'de para abc'!$A:$A,0))),IFERROR(IF(INDEX('de para abc'!$C:$C,MATCH($C54,'de para abc'!$B:$B,0))=0,"C",INDEX('de para abc'!$C:$C,MATCH($C54,'de para abc'!$B:$B,0))),"C"))</f>
        <v>A</v>
      </c>
      <c r="F54" s="8">
        <v>2</v>
      </c>
    </row>
    <row r="55" spans="1:6" ht="15.75" customHeight="1" x14ac:dyDescent="0.25">
      <c r="A55" s="4" t="s">
        <v>8</v>
      </c>
      <c r="B55" s="5">
        <v>1001476</v>
      </c>
      <c r="C55" s="6" t="s">
        <v>210</v>
      </c>
      <c r="D55" s="7" t="s">
        <v>18</v>
      </c>
      <c r="E55" s="7" t="str">
        <f t="array" ref="E55">IFERROR(IF(INDEX('de para abc'!$C:$C,MATCH($B55,'de para abc'!$A:$A,0))=0,"C",INDEX('de para abc'!$C:$C,MATCH($B55,'de para abc'!$A:$A,0))),IFERROR(IF(INDEX('de para abc'!$C:$C,MATCH($C55,'de para abc'!$B:$B,0))=0,"C",INDEX('de para abc'!$C:$C,MATCH($C55,'de para abc'!$B:$B,0))),"C"))</f>
        <v>A</v>
      </c>
      <c r="F55" s="8">
        <v>7</v>
      </c>
    </row>
    <row r="56" spans="1:6" ht="15.75" customHeight="1" x14ac:dyDescent="0.25">
      <c r="A56" s="4" t="s">
        <v>69</v>
      </c>
      <c r="B56" s="5" t="str">
        <f t="array" ref="B56">IFERROR(INDEX('de para codigo'!$A:$A,MATCH($C56,'de para codigo'!$B:$B,0)),"N/D")</f>
        <v>N/D</v>
      </c>
      <c r="C56" s="6" t="s">
        <v>211</v>
      </c>
      <c r="D56" s="7" t="s">
        <v>18</v>
      </c>
      <c r="E56" s="7" t="str">
        <f t="array" ref="E56">IFERROR(IF(INDEX('de para abc'!$C:$C,MATCH($B56,'de para abc'!$A:$A,0))=0,"C",INDEX('de para abc'!$C:$C,MATCH($B56,'de para abc'!$A:$A,0))),IFERROR(IF(INDEX('de para abc'!$C:$C,MATCH($C56,'de para abc'!$B:$B,0))=0,"C",INDEX('de para abc'!$C:$C,MATCH($C56,'de para abc'!$B:$B,0))),"C"))</f>
        <v>C</v>
      </c>
      <c r="F56" s="8">
        <v>3</v>
      </c>
    </row>
    <row r="57" spans="1:6" ht="15.75" customHeight="1" x14ac:dyDescent="0.25">
      <c r="A57" s="4" t="s">
        <v>69</v>
      </c>
      <c r="B57" s="5" t="str">
        <f t="array" ref="B57">IFERROR(INDEX('de para codigo'!$A:$A,MATCH($C57,'de para codigo'!$B:$B,0)),"N/D")</f>
        <v>N/D</v>
      </c>
      <c r="C57" s="6" t="s">
        <v>212</v>
      </c>
      <c r="D57" s="7" t="s">
        <v>18</v>
      </c>
      <c r="E57" s="7" t="str">
        <f t="array" ref="E57">IFERROR(IF(INDEX('de para abc'!$C:$C,MATCH($B57,'de para abc'!$A:$A,0))=0,"C",INDEX('de para abc'!$C:$C,MATCH($B57,'de para abc'!$A:$A,0))),IFERROR(IF(INDEX('de para abc'!$C:$C,MATCH($C57,'de para abc'!$B:$B,0))=0,"C",INDEX('de para abc'!$C:$C,MATCH($C57,'de para abc'!$B:$B,0))),"C"))</f>
        <v>C</v>
      </c>
      <c r="F57" s="8">
        <v>6</v>
      </c>
    </row>
    <row r="58" spans="1:6" ht="15.75" customHeight="1" x14ac:dyDescent="0.25">
      <c r="A58" s="4" t="s">
        <v>69</v>
      </c>
      <c r="B58" s="5">
        <v>1002152</v>
      </c>
      <c r="C58" s="6" t="s">
        <v>213</v>
      </c>
      <c r="D58" s="7" t="s">
        <v>18</v>
      </c>
      <c r="E58" s="7" t="str">
        <f t="array" ref="E58">IFERROR(IF(INDEX('de para abc'!$C:$C,MATCH($B58,'de para abc'!$A:$A,0))=0,"C",INDEX('de para abc'!$C:$C,MATCH($B58,'de para abc'!$A:$A,0))),IFERROR(IF(INDEX('de para abc'!$C:$C,MATCH($C58,'de para abc'!$B:$B,0))=0,"C",INDEX('de para abc'!$C:$C,MATCH($C58,'de para abc'!$B:$B,0))),"C"))</f>
        <v>C</v>
      </c>
      <c r="F58" s="8">
        <v>0</v>
      </c>
    </row>
    <row r="59" spans="1:6" ht="15.75" customHeight="1" x14ac:dyDescent="0.25">
      <c r="A59" s="4" t="s">
        <v>69</v>
      </c>
      <c r="B59" s="5">
        <v>1002190</v>
      </c>
      <c r="C59" s="6" t="s">
        <v>214</v>
      </c>
      <c r="D59" s="7" t="s">
        <v>18</v>
      </c>
      <c r="E59" s="7" t="str">
        <f t="array" ref="E59">IFERROR(IF(INDEX('de para abc'!$C:$C,MATCH($B59,'de para abc'!$A:$A,0))=0,"C",INDEX('de para abc'!$C:$C,MATCH($B59,'de para abc'!$A:$A,0))),IFERROR(IF(INDEX('de para abc'!$C:$C,MATCH($C59,'de para abc'!$B:$B,0))=0,"C",INDEX('de para abc'!$C:$C,MATCH($C59,'de para abc'!$B:$B,0))),"C"))</f>
        <v>C</v>
      </c>
      <c r="F59" s="8">
        <v>0</v>
      </c>
    </row>
    <row r="60" spans="1:6" ht="15.75" customHeight="1" x14ac:dyDescent="0.25">
      <c r="A60" s="4" t="s">
        <v>69</v>
      </c>
      <c r="B60" s="5">
        <v>1002191</v>
      </c>
      <c r="C60" s="6" t="s">
        <v>215</v>
      </c>
      <c r="D60" s="7" t="s">
        <v>18</v>
      </c>
      <c r="E60" s="7" t="str">
        <f t="array" ref="E60">IFERROR(IF(INDEX('de para abc'!$C:$C,MATCH($B60,'de para abc'!$A:$A,0))=0,"C",INDEX('de para abc'!$C:$C,MATCH($B60,'de para abc'!$A:$A,0))),IFERROR(IF(INDEX('de para abc'!$C:$C,MATCH($C60,'de para abc'!$B:$B,0))=0,"C",INDEX('de para abc'!$C:$C,MATCH($C60,'de para abc'!$B:$B,0))),"C"))</f>
        <v>C</v>
      </c>
      <c r="F60" s="8">
        <v>0</v>
      </c>
    </row>
    <row r="61" spans="1:6" ht="15.75" customHeight="1" x14ac:dyDescent="0.25">
      <c r="A61" s="4" t="s">
        <v>69</v>
      </c>
      <c r="B61" s="5">
        <v>1002192</v>
      </c>
      <c r="C61" s="6" t="s">
        <v>216</v>
      </c>
      <c r="D61" s="7" t="s">
        <v>18</v>
      </c>
      <c r="E61" s="7" t="str">
        <f t="array" ref="E61">IFERROR(IF(INDEX('de para abc'!$C:$C,MATCH($B61,'de para abc'!$A:$A,0))=0,"C",INDEX('de para abc'!$C:$C,MATCH($B61,'de para abc'!$A:$A,0))),IFERROR(IF(INDEX('de para abc'!$C:$C,MATCH($C61,'de para abc'!$B:$B,0))=0,"C",INDEX('de para abc'!$C:$C,MATCH($C61,'de para abc'!$B:$B,0))),"C"))</f>
        <v>C</v>
      </c>
      <c r="F61" s="8">
        <v>0</v>
      </c>
    </row>
    <row r="62" spans="1:6" ht="15.75" customHeight="1" x14ac:dyDescent="0.25">
      <c r="A62" s="4" t="s">
        <v>69</v>
      </c>
      <c r="B62" s="5">
        <v>1002194</v>
      </c>
      <c r="C62" s="6" t="s">
        <v>217</v>
      </c>
      <c r="D62" s="7" t="s">
        <v>18</v>
      </c>
      <c r="E62" s="7" t="str">
        <f t="array" ref="E62">IFERROR(IF(INDEX('de para abc'!$C:$C,MATCH($B62,'de para abc'!$A:$A,0))=0,"C",INDEX('de para abc'!$C:$C,MATCH($B62,'de para abc'!$A:$A,0))),IFERROR(IF(INDEX('de para abc'!$C:$C,MATCH($C62,'de para abc'!$B:$B,0))=0,"C",INDEX('de para abc'!$C:$C,MATCH($C62,'de para abc'!$B:$B,0))),"C"))</f>
        <v>C</v>
      </c>
      <c r="F62" s="8">
        <v>0</v>
      </c>
    </row>
    <row r="63" spans="1:6" ht="15.75" customHeight="1" x14ac:dyDescent="0.25">
      <c r="A63" s="4" t="s">
        <v>69</v>
      </c>
      <c r="B63" s="5">
        <v>1002364</v>
      </c>
      <c r="C63" s="6" t="s">
        <v>218</v>
      </c>
      <c r="D63" s="7" t="s">
        <v>18</v>
      </c>
      <c r="E63" s="7" t="str">
        <f t="array" ref="E63">IFERROR(IF(INDEX('de para abc'!$C:$C,MATCH($B63,'de para abc'!$A:$A,0))=0,"C",INDEX('de para abc'!$C:$C,MATCH($B63,'de para abc'!$A:$A,0))),IFERROR(IF(INDEX('de para abc'!$C:$C,MATCH($C63,'de para abc'!$B:$B,0))=0,"C",INDEX('de para abc'!$C:$C,MATCH($C63,'de para abc'!$B:$B,0))),"C"))</f>
        <v>C</v>
      </c>
      <c r="F63" s="8">
        <v>0</v>
      </c>
    </row>
    <row r="64" spans="1:6" ht="15.75" customHeight="1" x14ac:dyDescent="0.25">
      <c r="A64" s="4" t="s">
        <v>69</v>
      </c>
      <c r="B64" s="5">
        <v>1002365</v>
      </c>
      <c r="C64" s="6" t="s">
        <v>219</v>
      </c>
      <c r="D64" s="7" t="s">
        <v>18</v>
      </c>
      <c r="E64" s="7" t="str">
        <f t="array" ref="E64">IFERROR(IF(INDEX('de para abc'!$C:$C,MATCH($B64,'de para abc'!$A:$A,0))=0,"C",INDEX('de para abc'!$C:$C,MATCH($B64,'de para abc'!$A:$A,0))),IFERROR(IF(INDEX('de para abc'!$C:$C,MATCH($C64,'de para abc'!$B:$B,0))=0,"C",INDEX('de para abc'!$C:$C,MATCH($C64,'de para abc'!$B:$B,0))),"C"))</f>
        <v>C</v>
      </c>
      <c r="F64" s="8">
        <v>0</v>
      </c>
    </row>
    <row r="65" spans="1:6" ht="15.75" customHeight="1" x14ac:dyDescent="0.25">
      <c r="A65" s="4" t="s">
        <v>69</v>
      </c>
      <c r="B65" s="5" t="str">
        <f t="array" ref="B65">IFERROR(INDEX('de para codigo'!$A:$A,MATCH($C65,'de para codigo'!$B:$B,0)),"N/D")</f>
        <v>N/D</v>
      </c>
      <c r="C65" s="6" t="s">
        <v>220</v>
      </c>
      <c r="D65" s="7" t="s">
        <v>18</v>
      </c>
      <c r="E65" s="7" t="str">
        <f t="array" ref="E65">IFERROR(IF(INDEX('de para abc'!$C:$C,MATCH($B65,'de para abc'!$A:$A,0))=0,"C",INDEX('de para abc'!$C:$C,MATCH($B65,'de para abc'!$A:$A,0))),IFERROR(IF(INDEX('de para abc'!$C:$C,MATCH($C65,'de para abc'!$B:$B,0))=0,"C",INDEX('de para abc'!$C:$C,MATCH($C65,'de para abc'!$B:$B,0))),"C"))</f>
        <v>C</v>
      </c>
      <c r="F65" s="8">
        <v>6</v>
      </c>
    </row>
    <row r="66" spans="1:6" ht="15.75" customHeight="1" x14ac:dyDescent="0.25">
      <c r="A66" s="4" t="s">
        <v>69</v>
      </c>
      <c r="B66" s="5" t="str">
        <f t="array" ref="B66">IFERROR(INDEX('de para codigo'!$A:$A,MATCH($C66,'de para codigo'!$B:$B,0)),"N/D")</f>
        <v>N/D</v>
      </c>
      <c r="C66" s="6" t="s">
        <v>131</v>
      </c>
      <c r="D66" s="7" t="s">
        <v>18</v>
      </c>
      <c r="E66" s="7" t="str">
        <f t="array" ref="E66">IFERROR(IF(INDEX('de para abc'!$C:$C,MATCH($B66,'de para abc'!$A:$A,0))=0,"C",INDEX('de para abc'!$C:$C,MATCH($B66,'de para abc'!$A:$A,0))),IFERROR(IF(INDEX('de para abc'!$C:$C,MATCH($C66,'de para abc'!$B:$B,0))=0,"C",INDEX('de para abc'!$C:$C,MATCH($C66,'de para abc'!$B:$B,0))),"C"))</f>
        <v>A</v>
      </c>
      <c r="F66" s="8">
        <v>1</v>
      </c>
    </row>
    <row r="67" spans="1:6" ht="15.75" customHeight="1" x14ac:dyDescent="0.25">
      <c r="A67" s="4" t="s">
        <v>69</v>
      </c>
      <c r="B67" s="5">
        <v>1001864</v>
      </c>
      <c r="C67" s="6" t="s">
        <v>221</v>
      </c>
      <c r="D67" s="7" t="s">
        <v>18</v>
      </c>
      <c r="E67" s="7" t="str">
        <f t="array" ref="E67">IFERROR(IF(INDEX('de para abc'!$C:$C,MATCH($B67,'de para abc'!$A:$A,0))=0,"C",INDEX('de para abc'!$C:$C,MATCH($B67,'de para abc'!$A:$A,0))),IFERROR(IF(INDEX('de para abc'!$C:$C,MATCH($C67,'de para abc'!$B:$B,0))=0,"C",INDEX('de para abc'!$C:$C,MATCH($C67,'de para abc'!$B:$B,0))),"C"))</f>
        <v>C</v>
      </c>
      <c r="F67" s="8">
        <v>4</v>
      </c>
    </row>
    <row r="68" spans="1:6" ht="15.75" customHeight="1" x14ac:dyDescent="0.25">
      <c r="A68" s="4" t="s">
        <v>69</v>
      </c>
      <c r="B68" s="5">
        <v>1001522</v>
      </c>
      <c r="C68" s="6" t="s">
        <v>222</v>
      </c>
      <c r="D68" s="7" t="s">
        <v>18</v>
      </c>
      <c r="E68" s="7" t="str">
        <f t="array" ref="E68">IFERROR(IF(INDEX('de para abc'!$C:$C,MATCH($B68,'de para abc'!$A:$A,0))=0,"C",INDEX('de para abc'!$C:$C,MATCH($B68,'de para abc'!$A:$A,0))),IFERROR(IF(INDEX('de para abc'!$C:$C,MATCH($C68,'de para abc'!$B:$B,0))=0,"C",INDEX('de para abc'!$C:$C,MATCH($C68,'de para abc'!$B:$B,0))),"C"))</f>
        <v>C</v>
      </c>
      <c r="F68" s="8">
        <v>0</v>
      </c>
    </row>
    <row r="69" spans="1:6" ht="15.75" customHeight="1" x14ac:dyDescent="0.25">
      <c r="A69" s="4" t="s">
        <v>69</v>
      </c>
      <c r="B69" s="5">
        <v>1001524</v>
      </c>
      <c r="C69" s="6" t="s">
        <v>223</v>
      </c>
      <c r="D69" s="7" t="s">
        <v>18</v>
      </c>
      <c r="E69" s="7" t="str">
        <f t="array" ref="E69">IFERROR(IF(INDEX('de para abc'!$C:$C,MATCH($B69,'de para abc'!$A:$A,0))=0,"C",INDEX('de para abc'!$C:$C,MATCH($B69,'de para abc'!$A:$A,0))),IFERROR(IF(INDEX('de para abc'!$C:$C,MATCH($C69,'de para abc'!$B:$B,0))=0,"C",INDEX('de para abc'!$C:$C,MATCH($C69,'de para abc'!$B:$B,0))),"C"))</f>
        <v>C</v>
      </c>
      <c r="F69" s="8">
        <v>0</v>
      </c>
    </row>
    <row r="70" spans="1:6" ht="15.75" customHeight="1" x14ac:dyDescent="0.25">
      <c r="A70" s="4" t="s">
        <v>69</v>
      </c>
      <c r="B70" s="5">
        <v>1001525</v>
      </c>
      <c r="C70" s="6" t="s">
        <v>224</v>
      </c>
      <c r="D70" s="7" t="s">
        <v>18</v>
      </c>
      <c r="E70" s="7" t="str">
        <f t="array" ref="E70">IFERROR(IF(INDEX('de para abc'!$C:$C,MATCH($B70,'de para abc'!$A:$A,0))=0,"C",INDEX('de para abc'!$C:$C,MATCH($B70,'de para abc'!$A:$A,0))),IFERROR(IF(INDEX('de para abc'!$C:$C,MATCH($C70,'de para abc'!$B:$B,0))=0,"C",INDEX('de para abc'!$C:$C,MATCH($C70,'de para abc'!$B:$B,0))),"C"))</f>
        <v>C</v>
      </c>
      <c r="F70" s="8">
        <v>0</v>
      </c>
    </row>
    <row r="71" spans="1:6" ht="15.75" customHeight="1" x14ac:dyDescent="0.25">
      <c r="A71" s="4" t="s">
        <v>69</v>
      </c>
      <c r="B71" s="5">
        <v>1001527</v>
      </c>
      <c r="C71" s="6" t="s">
        <v>225</v>
      </c>
      <c r="D71" s="7" t="s">
        <v>18</v>
      </c>
      <c r="E71" s="7" t="str">
        <f t="array" ref="E71">IFERROR(IF(INDEX('de para abc'!$C:$C,MATCH($B71,'de para abc'!$A:$A,0))=0,"C",INDEX('de para abc'!$C:$C,MATCH($B71,'de para abc'!$A:$A,0))),IFERROR(IF(INDEX('de para abc'!$C:$C,MATCH($C71,'de para abc'!$B:$B,0))=0,"C",INDEX('de para abc'!$C:$C,MATCH($C71,'de para abc'!$B:$B,0))),"C"))</f>
        <v>C</v>
      </c>
      <c r="F71" s="8">
        <v>0</v>
      </c>
    </row>
    <row r="72" spans="1:6" ht="15.75" customHeight="1" x14ac:dyDescent="0.25">
      <c r="A72" s="4" t="s">
        <v>69</v>
      </c>
      <c r="B72" s="5">
        <v>1001529</v>
      </c>
      <c r="C72" s="6" t="s">
        <v>226</v>
      </c>
      <c r="D72" s="7" t="s">
        <v>18</v>
      </c>
      <c r="E72" s="7" t="str">
        <f t="array" ref="E72">IFERROR(IF(INDEX('de para abc'!$C:$C,MATCH($B72,'de para abc'!$A:$A,0))=0,"C",INDEX('de para abc'!$C:$C,MATCH($B72,'de para abc'!$A:$A,0))),IFERROR(IF(INDEX('de para abc'!$C:$C,MATCH($C72,'de para abc'!$B:$B,0))=0,"C",INDEX('de para abc'!$C:$C,MATCH($C72,'de para abc'!$B:$B,0))),"C"))</f>
        <v>C</v>
      </c>
      <c r="F72" s="8">
        <v>0</v>
      </c>
    </row>
    <row r="73" spans="1:6" ht="15.75" customHeight="1" x14ac:dyDescent="0.25">
      <c r="A73" s="4" t="s">
        <v>69</v>
      </c>
      <c r="B73" s="5">
        <v>1001248</v>
      </c>
      <c r="C73" s="6" t="s">
        <v>70</v>
      </c>
      <c r="D73" s="7" t="s">
        <v>71</v>
      </c>
      <c r="E73" s="7" t="str">
        <f t="array" ref="E73">IFERROR(IF(INDEX('de para abc'!$C:$C,MATCH($B73,'de para abc'!$A:$A,0))=0,"C",INDEX('de para abc'!$C:$C,MATCH($B73,'de para abc'!$A:$A,0))),IFERROR(IF(INDEX('de para abc'!$C:$C,MATCH($C73,'de para abc'!$B:$B,0))=0,"C",INDEX('de para abc'!$C:$C,MATCH($C73,'de para abc'!$B:$B,0))),"C"))</f>
        <v>C</v>
      </c>
      <c r="F73" s="8">
        <v>0</v>
      </c>
    </row>
    <row r="74" spans="1:6" ht="15.75" customHeight="1" x14ac:dyDescent="0.25">
      <c r="A74" s="4" t="s">
        <v>69</v>
      </c>
      <c r="B74" s="5">
        <v>1001249</v>
      </c>
      <c r="C74" s="6" t="s">
        <v>72</v>
      </c>
      <c r="D74" s="7" t="s">
        <v>71</v>
      </c>
      <c r="E74" s="7" t="str">
        <f t="array" ref="E74">IFERROR(IF(INDEX('de para abc'!$C:$C,MATCH($B74,'de para abc'!$A:$A,0))=0,"C",INDEX('de para abc'!$C:$C,MATCH($B74,'de para abc'!$A:$A,0))),IFERROR(IF(INDEX('de para abc'!$C:$C,MATCH($C74,'de para abc'!$B:$B,0))=0,"C",INDEX('de para abc'!$C:$C,MATCH($C74,'de para abc'!$B:$B,0))),"C"))</f>
        <v>C</v>
      </c>
      <c r="F74" s="8">
        <v>0</v>
      </c>
    </row>
    <row r="75" spans="1:6" ht="15.75" customHeight="1" x14ac:dyDescent="0.25">
      <c r="A75" s="4" t="s">
        <v>69</v>
      </c>
      <c r="B75" s="5">
        <v>1000068</v>
      </c>
      <c r="C75" s="6" t="s">
        <v>73</v>
      </c>
      <c r="D75" s="7" t="s">
        <v>71</v>
      </c>
      <c r="E75" s="7" t="str">
        <f t="array" ref="E75">IFERROR(IF(INDEX('de para abc'!$C:$C,MATCH($B75,'de para abc'!$A:$A,0))=0,"C",INDEX('de para abc'!$C:$C,MATCH($B75,'de para abc'!$A:$A,0))),IFERROR(IF(INDEX('de para abc'!$C:$C,MATCH($C75,'de para abc'!$B:$B,0))=0,"C",INDEX('de para abc'!$C:$C,MATCH($C75,'de para abc'!$B:$B,0))),"C"))</f>
        <v>C</v>
      </c>
      <c r="F75" s="8">
        <v>0</v>
      </c>
    </row>
    <row r="76" spans="1:6" ht="15.75" customHeight="1" x14ac:dyDescent="0.25">
      <c r="A76" s="4" t="s">
        <v>69</v>
      </c>
      <c r="B76" s="5">
        <v>1000069</v>
      </c>
      <c r="C76" s="6" t="s">
        <v>74</v>
      </c>
      <c r="D76" s="7" t="s">
        <v>71</v>
      </c>
      <c r="E76" s="7" t="str">
        <f t="array" ref="E76">IFERROR(IF(INDEX('de para abc'!$C:$C,MATCH($B76,'de para abc'!$A:$A,0))=0,"C",INDEX('de para abc'!$C:$C,MATCH($B76,'de para abc'!$A:$A,0))),IFERROR(IF(INDEX('de para abc'!$C:$C,MATCH($C76,'de para abc'!$B:$B,0))=0,"C",INDEX('de para abc'!$C:$C,MATCH($C76,'de para abc'!$B:$B,0))),"C"))</f>
        <v>C</v>
      </c>
      <c r="F76" s="8">
        <v>0</v>
      </c>
    </row>
    <row r="77" spans="1:6" ht="15.75" customHeight="1" x14ac:dyDescent="0.25">
      <c r="A77" s="4" t="s">
        <v>69</v>
      </c>
      <c r="B77" s="5">
        <v>1000070</v>
      </c>
      <c r="C77" s="6" t="s">
        <v>75</v>
      </c>
      <c r="D77" s="7" t="s">
        <v>71</v>
      </c>
      <c r="E77" s="7" t="str">
        <f t="array" ref="E77">IFERROR(IF(INDEX('de para abc'!$C:$C,MATCH($B77,'de para abc'!$A:$A,0))=0,"C",INDEX('de para abc'!$C:$C,MATCH($B77,'de para abc'!$A:$A,0))),IFERROR(IF(INDEX('de para abc'!$C:$C,MATCH($C77,'de para abc'!$B:$B,0))=0,"C",INDEX('de para abc'!$C:$C,MATCH($C77,'de para abc'!$B:$B,0))),"C"))</f>
        <v>C</v>
      </c>
      <c r="F77" s="8">
        <v>1</v>
      </c>
    </row>
    <row r="78" spans="1:6" ht="15.75" customHeight="1" x14ac:dyDescent="0.25">
      <c r="A78" s="4" t="s">
        <v>69</v>
      </c>
      <c r="B78" s="5">
        <v>1000071</v>
      </c>
      <c r="C78" s="6" t="s">
        <v>76</v>
      </c>
      <c r="D78" s="7" t="s">
        <v>71</v>
      </c>
      <c r="E78" s="7" t="str">
        <f t="array" ref="E78">IFERROR(IF(INDEX('de para abc'!$C:$C,MATCH($B78,'de para abc'!$A:$A,0))=0,"C",INDEX('de para abc'!$C:$C,MATCH($B78,'de para abc'!$A:$A,0))),IFERROR(IF(INDEX('de para abc'!$C:$C,MATCH($C78,'de para abc'!$B:$B,0))=0,"C",INDEX('de para abc'!$C:$C,MATCH($C78,'de para abc'!$B:$B,0))),"C"))</f>
        <v>C</v>
      </c>
      <c r="F78" s="8">
        <v>2</v>
      </c>
    </row>
    <row r="79" spans="1:6" ht="15.75" customHeight="1" x14ac:dyDescent="0.25">
      <c r="A79" s="4" t="s">
        <v>69</v>
      </c>
      <c r="B79" s="5">
        <v>1000072</v>
      </c>
      <c r="C79" s="6" t="s">
        <v>171</v>
      </c>
      <c r="D79" s="7" t="s">
        <v>71</v>
      </c>
      <c r="E79" s="7" t="str">
        <f t="array" ref="E79">IFERROR(IF(INDEX('de para abc'!$C:$C,MATCH($B79,'de para abc'!$A:$A,0))=0,"C",INDEX('de para abc'!$C:$C,MATCH($B79,'de para abc'!$A:$A,0))),IFERROR(IF(INDEX('de para abc'!$C:$C,MATCH($C79,'de para abc'!$B:$B,0))=0,"C",INDEX('de para abc'!$C:$C,MATCH($C79,'de para abc'!$B:$B,0))),"C"))</f>
        <v>C</v>
      </c>
      <c r="F79" s="8">
        <v>0</v>
      </c>
    </row>
    <row r="80" spans="1:6" ht="15.75" customHeight="1" x14ac:dyDescent="0.25">
      <c r="A80" s="4" t="s">
        <v>69</v>
      </c>
      <c r="B80" s="5">
        <v>1000073</v>
      </c>
      <c r="C80" s="6" t="s">
        <v>172</v>
      </c>
      <c r="D80" s="7" t="s">
        <v>71</v>
      </c>
      <c r="E80" s="7" t="str">
        <f t="array" ref="E80">IFERROR(IF(INDEX('de para abc'!$C:$C,MATCH($B80,'de para abc'!$A:$A,0))=0,"C",INDEX('de para abc'!$C:$C,MATCH($B80,'de para abc'!$A:$A,0))),IFERROR(IF(INDEX('de para abc'!$C:$C,MATCH($C80,'de para abc'!$B:$B,0))=0,"C",INDEX('de para abc'!$C:$C,MATCH($C80,'de para abc'!$B:$B,0))),"C"))</f>
        <v>C</v>
      </c>
      <c r="F80" s="8">
        <v>0</v>
      </c>
    </row>
    <row r="81" spans="1:6" ht="15.75" customHeight="1" x14ac:dyDescent="0.25">
      <c r="A81" s="4" t="s">
        <v>69</v>
      </c>
      <c r="B81" s="5">
        <v>1000074</v>
      </c>
      <c r="C81" s="6" t="s">
        <v>173</v>
      </c>
      <c r="D81" s="7" t="s">
        <v>71</v>
      </c>
      <c r="E81" s="7" t="str">
        <f t="array" ref="E81">IFERROR(IF(INDEX('de para abc'!$C:$C,MATCH($B81,'de para abc'!$A:$A,0))=0,"C",INDEX('de para abc'!$C:$C,MATCH($B81,'de para abc'!$A:$A,0))),IFERROR(IF(INDEX('de para abc'!$C:$C,MATCH($C81,'de para abc'!$B:$B,0))=0,"C",INDEX('de para abc'!$C:$C,MATCH($C81,'de para abc'!$B:$B,0))),"C"))</f>
        <v>C</v>
      </c>
      <c r="F81" s="8">
        <v>0</v>
      </c>
    </row>
    <row r="82" spans="1:6" ht="15.75" customHeight="1" x14ac:dyDescent="0.25">
      <c r="A82" s="4" t="s">
        <v>69</v>
      </c>
      <c r="B82" s="5">
        <v>1000075</v>
      </c>
      <c r="C82" s="6" t="s">
        <v>174</v>
      </c>
      <c r="D82" s="7" t="s">
        <v>71</v>
      </c>
      <c r="E82" s="7" t="str">
        <f t="array" ref="E82">IFERROR(IF(INDEX('de para abc'!$C:$C,MATCH($B82,'de para abc'!$A:$A,0))=0,"C",INDEX('de para abc'!$C:$C,MATCH($B82,'de para abc'!$A:$A,0))),IFERROR(IF(INDEX('de para abc'!$C:$C,MATCH($C82,'de para abc'!$B:$B,0))=0,"C",INDEX('de para abc'!$C:$C,MATCH($C82,'de para abc'!$B:$B,0))),"C"))</f>
        <v>C</v>
      </c>
      <c r="F82" s="8">
        <v>0</v>
      </c>
    </row>
    <row r="83" spans="1:6" ht="15.75" customHeight="1" x14ac:dyDescent="0.25">
      <c r="A83" s="4" t="s">
        <v>69</v>
      </c>
      <c r="B83" s="5">
        <v>1000076</v>
      </c>
      <c r="C83" s="6" t="s">
        <v>77</v>
      </c>
      <c r="D83" s="7" t="s">
        <v>71</v>
      </c>
      <c r="E83" s="7" t="str">
        <f t="array" ref="E83">IFERROR(IF(INDEX('de para abc'!$C:$C,MATCH($B83,'de para abc'!$A:$A,0))=0,"C",INDEX('de para abc'!$C:$C,MATCH($B83,'de para abc'!$A:$A,0))),IFERROR(IF(INDEX('de para abc'!$C:$C,MATCH($C83,'de para abc'!$B:$B,0))=0,"C",INDEX('de para abc'!$C:$C,MATCH($C83,'de para abc'!$B:$B,0))),"C"))</f>
        <v>C</v>
      </c>
      <c r="F83" s="8">
        <v>1</v>
      </c>
    </row>
    <row r="84" spans="1:6" ht="15.75" customHeight="1" x14ac:dyDescent="0.25">
      <c r="A84" s="4" t="s">
        <v>69</v>
      </c>
      <c r="B84" s="5">
        <v>1002361</v>
      </c>
      <c r="C84" s="6" t="s">
        <v>227</v>
      </c>
      <c r="D84" s="7" t="s">
        <v>228</v>
      </c>
      <c r="E84" s="7" t="str">
        <f t="array" ref="E84">IFERROR(IF(INDEX('de para abc'!$C:$C,MATCH($B84,'de para abc'!$A:$A,0))=0,"C",INDEX('de para abc'!$C:$C,MATCH($B84,'de para abc'!$A:$A,0))),IFERROR(IF(INDEX('de para abc'!$C:$C,MATCH($C84,'de para abc'!$B:$B,0))=0,"C",INDEX('de para abc'!$C:$C,MATCH($C84,'de para abc'!$B:$B,0))),"C"))</f>
        <v>C</v>
      </c>
      <c r="F84" s="8">
        <v>0</v>
      </c>
    </row>
    <row r="85" spans="1:6" ht="15.75" customHeight="1" x14ac:dyDescent="0.25">
      <c r="A85" s="4" t="s">
        <v>69</v>
      </c>
      <c r="B85" s="5">
        <v>1002362</v>
      </c>
      <c r="C85" s="6" t="s">
        <v>229</v>
      </c>
      <c r="D85" s="7" t="s">
        <v>18</v>
      </c>
      <c r="E85" s="7" t="str">
        <f t="array" ref="E85">IFERROR(IF(INDEX('de para abc'!$C:$C,MATCH($B85,'de para abc'!$A:$A,0))=0,"C",INDEX('de para abc'!$C:$C,MATCH($B85,'de para abc'!$A:$A,0))),IFERROR(IF(INDEX('de para abc'!$C:$C,MATCH($C85,'de para abc'!$B:$B,0))=0,"C",INDEX('de para abc'!$C:$C,MATCH($C85,'de para abc'!$B:$B,0))),"C"))</f>
        <v>C</v>
      </c>
      <c r="F85" s="8">
        <v>0</v>
      </c>
    </row>
    <row r="86" spans="1:6" ht="15.75" customHeight="1" x14ac:dyDescent="0.25">
      <c r="A86" s="4" t="s">
        <v>69</v>
      </c>
      <c r="B86" s="5">
        <v>1006855</v>
      </c>
      <c r="C86" s="6" t="s">
        <v>78</v>
      </c>
      <c r="D86" s="7" t="s">
        <v>10</v>
      </c>
      <c r="E86" s="7" t="str">
        <f t="array" ref="E86">IFERROR(IF(INDEX('de para abc'!$C:$C,MATCH($B86,'de para abc'!$A:$A,0))=0,"C",INDEX('de para abc'!$C:$C,MATCH($B86,'de para abc'!$A:$A,0))),IFERROR(IF(INDEX('de para abc'!$C:$C,MATCH($C86,'de para abc'!$B:$B,0))=0,"C",INDEX('de para abc'!$C:$C,MATCH($C86,'de para abc'!$B:$B,0))),"C"))</f>
        <v>C</v>
      </c>
      <c r="F86" s="8">
        <v>0</v>
      </c>
    </row>
    <row r="87" spans="1:6" ht="15.75" customHeight="1" x14ac:dyDescent="0.25">
      <c r="A87" s="4" t="s">
        <v>69</v>
      </c>
      <c r="B87" s="5">
        <v>1002302</v>
      </c>
      <c r="C87" s="6" t="s">
        <v>230</v>
      </c>
      <c r="D87" s="7" t="s">
        <v>18</v>
      </c>
      <c r="E87" s="7" t="str">
        <f t="array" ref="E87">IFERROR(IF(INDEX('de para abc'!$C:$C,MATCH($B87,'de para abc'!$A:$A,0))=0,"C",INDEX('de para abc'!$C:$C,MATCH($B87,'de para abc'!$A:$A,0))),IFERROR(IF(INDEX('de para abc'!$C:$C,MATCH($C87,'de para abc'!$B:$B,0))=0,"C",INDEX('de para abc'!$C:$C,MATCH($C87,'de para abc'!$B:$B,0))),"C"))</f>
        <v>C</v>
      </c>
      <c r="F87" s="8">
        <v>0</v>
      </c>
    </row>
    <row r="88" spans="1:6" ht="15.75" customHeight="1" x14ac:dyDescent="0.25">
      <c r="A88" s="4" t="s">
        <v>69</v>
      </c>
      <c r="B88" s="5">
        <v>1001490</v>
      </c>
      <c r="C88" s="6" t="s">
        <v>231</v>
      </c>
      <c r="D88" s="7" t="s">
        <v>18</v>
      </c>
      <c r="E88" s="7" t="str">
        <f t="array" ref="E88">IFERROR(IF(INDEX('de para abc'!$C:$C,MATCH($B88,'de para abc'!$A:$A,0))=0,"C",INDEX('de para abc'!$C:$C,MATCH($B88,'de para abc'!$A:$A,0))),IFERROR(IF(INDEX('de para abc'!$C:$C,MATCH($C88,'de para abc'!$B:$B,0))=0,"C",INDEX('de para abc'!$C:$C,MATCH($C88,'de para abc'!$B:$B,0))),"C"))</f>
        <v>C</v>
      </c>
      <c r="F88" s="8">
        <v>0</v>
      </c>
    </row>
    <row r="89" spans="1:6" ht="15.75" customHeight="1" x14ac:dyDescent="0.25">
      <c r="A89" s="4" t="s">
        <v>69</v>
      </c>
      <c r="B89" s="5">
        <v>1001507</v>
      </c>
      <c r="C89" s="6" t="s">
        <v>232</v>
      </c>
      <c r="D89" s="7" t="s">
        <v>233</v>
      </c>
      <c r="E89" s="7" t="str">
        <f t="array" ref="E89">IFERROR(IF(INDEX('de para abc'!$C:$C,MATCH($B89,'de para abc'!$A:$A,0))=0,"C",INDEX('de para abc'!$C:$C,MATCH($B89,'de para abc'!$A:$A,0))),IFERROR(IF(INDEX('de para abc'!$C:$C,MATCH($C89,'de para abc'!$B:$B,0))=0,"C",INDEX('de para abc'!$C:$C,MATCH($C89,'de para abc'!$B:$B,0))),"C"))</f>
        <v>C</v>
      </c>
      <c r="F89" s="8">
        <v>0</v>
      </c>
    </row>
    <row r="90" spans="1:6" ht="15.75" customHeight="1" x14ac:dyDescent="0.25">
      <c r="A90" s="4" t="s">
        <v>69</v>
      </c>
      <c r="B90" s="5">
        <v>1001504</v>
      </c>
      <c r="C90" s="6" t="s">
        <v>234</v>
      </c>
      <c r="D90" s="7" t="s">
        <v>233</v>
      </c>
      <c r="E90" s="7" t="str">
        <f t="array" ref="E90">IFERROR(IF(INDEX('de para abc'!$C:$C,MATCH($B90,'de para abc'!$A:$A,0))=0,"C",INDEX('de para abc'!$C:$C,MATCH($B90,'de para abc'!$A:$A,0))),IFERROR(IF(INDEX('de para abc'!$C:$C,MATCH($C90,'de para abc'!$B:$B,0))=0,"C",INDEX('de para abc'!$C:$C,MATCH($C90,'de para abc'!$B:$B,0))),"C"))</f>
        <v>C</v>
      </c>
      <c r="F90" s="8">
        <v>0</v>
      </c>
    </row>
    <row r="91" spans="1:6" ht="15.75" customHeight="1" x14ac:dyDescent="0.25">
      <c r="A91" s="4" t="s">
        <v>69</v>
      </c>
      <c r="B91" s="5">
        <v>1001505</v>
      </c>
      <c r="C91" s="6" t="s">
        <v>235</v>
      </c>
      <c r="D91" s="7" t="s">
        <v>233</v>
      </c>
      <c r="E91" s="7" t="str">
        <f t="array" ref="E91">IFERROR(IF(INDEX('de para abc'!$C:$C,MATCH($B91,'de para abc'!$A:$A,0))=0,"C",INDEX('de para abc'!$C:$C,MATCH($B91,'de para abc'!$A:$A,0))),IFERROR(IF(INDEX('de para abc'!$C:$C,MATCH($C91,'de para abc'!$B:$B,0))=0,"C",INDEX('de para abc'!$C:$C,MATCH($C91,'de para abc'!$B:$B,0))),"C"))</f>
        <v>C</v>
      </c>
      <c r="F91" s="8">
        <v>0</v>
      </c>
    </row>
    <row r="92" spans="1:6" ht="15.75" customHeight="1" x14ac:dyDescent="0.25">
      <c r="A92" s="4" t="s">
        <v>69</v>
      </c>
      <c r="B92" s="5">
        <v>1006870</v>
      </c>
      <c r="C92" s="6" t="s">
        <v>236</v>
      </c>
      <c r="D92" s="7" t="s">
        <v>10</v>
      </c>
      <c r="E92" s="7" t="str">
        <f t="array" ref="E92">IFERROR(IF(INDEX('de para abc'!$C:$C,MATCH($B92,'de para abc'!$A:$A,0))=0,"C",INDEX('de para abc'!$C:$C,MATCH($B92,'de para abc'!$A:$A,0))),IFERROR(IF(INDEX('de para abc'!$C:$C,MATCH($C92,'de para abc'!$B:$B,0))=0,"C",INDEX('de para abc'!$C:$C,MATCH($C92,'de para abc'!$B:$B,0))),"C"))</f>
        <v>C</v>
      </c>
      <c r="F92" s="8">
        <v>0</v>
      </c>
    </row>
    <row r="93" spans="1:6" ht="15.75" customHeight="1" x14ac:dyDescent="0.25">
      <c r="A93" s="4" t="s">
        <v>69</v>
      </c>
      <c r="B93" s="5">
        <v>1001506</v>
      </c>
      <c r="C93" s="6" t="s">
        <v>237</v>
      </c>
      <c r="D93" s="7" t="s">
        <v>233</v>
      </c>
      <c r="E93" s="7" t="str">
        <f t="array" ref="E93">IFERROR(IF(INDEX('de para abc'!$C:$C,MATCH($B93,'de para abc'!$A:$A,0))=0,"C",INDEX('de para abc'!$C:$C,MATCH($B93,'de para abc'!$A:$A,0))),IFERROR(IF(INDEX('de para abc'!$C:$C,MATCH($C93,'de para abc'!$B:$B,0))=0,"C",INDEX('de para abc'!$C:$C,MATCH($C93,'de para abc'!$B:$B,0))),"C"))</f>
        <v>C</v>
      </c>
      <c r="F93" s="8">
        <v>0</v>
      </c>
    </row>
    <row r="94" spans="1:6" ht="15.75" customHeight="1" x14ac:dyDescent="0.25">
      <c r="A94" s="4" t="s">
        <v>69</v>
      </c>
      <c r="B94" s="5">
        <v>1001700</v>
      </c>
      <c r="C94" s="6" t="s">
        <v>238</v>
      </c>
      <c r="D94" s="7" t="s">
        <v>14</v>
      </c>
      <c r="E94" s="7" t="str">
        <f t="array" ref="E94">IFERROR(IF(INDEX('de para abc'!$C:$C,MATCH($B94,'de para abc'!$A:$A,0))=0,"C",INDEX('de para abc'!$C:$C,MATCH($B94,'de para abc'!$A:$A,0))),IFERROR(IF(INDEX('de para abc'!$C:$C,MATCH($C94,'de para abc'!$B:$B,0))=0,"C",INDEX('de para abc'!$C:$C,MATCH($C94,'de para abc'!$B:$B,0))),"C"))</f>
        <v>C</v>
      </c>
      <c r="F94" s="8">
        <v>0</v>
      </c>
    </row>
    <row r="95" spans="1:6" ht="15.75" customHeight="1" x14ac:dyDescent="0.25">
      <c r="A95" s="4" t="s">
        <v>69</v>
      </c>
      <c r="B95" s="5">
        <v>1002169</v>
      </c>
      <c r="C95" s="6" t="s">
        <v>79</v>
      </c>
      <c r="D95" s="7" t="s">
        <v>10</v>
      </c>
      <c r="E95" s="7" t="str">
        <f t="array" ref="E95">IFERROR(IF(INDEX('de para abc'!$C:$C,MATCH($B95,'de para abc'!$A:$A,0))=0,"C",INDEX('de para abc'!$C:$C,MATCH($B95,'de para abc'!$A:$A,0))),IFERROR(IF(INDEX('de para abc'!$C:$C,MATCH($C95,'de para abc'!$B:$B,0))=0,"C",INDEX('de para abc'!$C:$C,MATCH($C95,'de para abc'!$B:$B,0))),"C"))</f>
        <v>C</v>
      </c>
      <c r="F95" s="8">
        <v>0</v>
      </c>
    </row>
    <row r="96" spans="1:6" ht="15.75" customHeight="1" x14ac:dyDescent="0.25">
      <c r="A96" s="4" t="s">
        <v>69</v>
      </c>
      <c r="B96" s="5">
        <v>1001697</v>
      </c>
      <c r="C96" s="6" t="s">
        <v>175</v>
      </c>
      <c r="D96" s="7" t="s">
        <v>14</v>
      </c>
      <c r="E96" s="7" t="str">
        <f t="array" ref="E96">IFERROR(IF(INDEX('de para abc'!$C:$C,MATCH($B96,'de para abc'!$A:$A,0))=0,"C",INDEX('de para abc'!$C:$C,MATCH($B96,'de para abc'!$A:$A,0))),IFERROR(IF(INDEX('de para abc'!$C:$C,MATCH($C96,'de para abc'!$B:$B,0))=0,"C",INDEX('de para abc'!$C:$C,MATCH($C96,'de para abc'!$B:$B,0))),"C"))</f>
        <v>C</v>
      </c>
      <c r="F96" s="8">
        <v>0</v>
      </c>
    </row>
    <row r="97" spans="1:6" ht="15.75" customHeight="1" x14ac:dyDescent="0.25">
      <c r="A97" s="4" t="s">
        <v>69</v>
      </c>
      <c r="B97" s="5">
        <v>1001698</v>
      </c>
      <c r="C97" s="6" t="s">
        <v>239</v>
      </c>
      <c r="D97" s="7" t="s">
        <v>14</v>
      </c>
      <c r="E97" s="7" t="str">
        <f t="array" ref="E97">IFERROR(IF(INDEX('de para abc'!$C:$C,MATCH($B97,'de para abc'!$A:$A,0))=0,"C",INDEX('de para abc'!$C:$C,MATCH($B97,'de para abc'!$A:$A,0))),IFERROR(IF(INDEX('de para abc'!$C:$C,MATCH($C97,'de para abc'!$B:$B,0))=0,"C",INDEX('de para abc'!$C:$C,MATCH($C97,'de para abc'!$B:$B,0))),"C"))</f>
        <v>C</v>
      </c>
      <c r="F97" s="8">
        <v>0</v>
      </c>
    </row>
    <row r="98" spans="1:6" ht="15.75" customHeight="1" x14ac:dyDescent="0.25">
      <c r="A98" s="4" t="s">
        <v>69</v>
      </c>
      <c r="B98" s="5">
        <v>1001916</v>
      </c>
      <c r="C98" s="6" t="s">
        <v>240</v>
      </c>
      <c r="D98" s="7" t="s">
        <v>18</v>
      </c>
      <c r="E98" s="7" t="str">
        <f t="array" ref="E98">IFERROR(IF(INDEX('de para abc'!$C:$C,MATCH($B98,'de para abc'!$A:$A,0))=0,"C",INDEX('de para abc'!$C:$C,MATCH($B98,'de para abc'!$A:$A,0))),IFERROR(IF(INDEX('de para abc'!$C:$C,MATCH($C98,'de para abc'!$B:$B,0))=0,"C",INDEX('de para abc'!$C:$C,MATCH($C98,'de para abc'!$B:$B,0))),"C"))</f>
        <v>C</v>
      </c>
      <c r="F98" s="8">
        <v>0</v>
      </c>
    </row>
    <row r="99" spans="1:6" ht="15.75" customHeight="1" x14ac:dyDescent="0.25">
      <c r="A99" s="4" t="s">
        <v>69</v>
      </c>
      <c r="B99" s="5">
        <v>1002148</v>
      </c>
      <c r="C99" s="6" t="s">
        <v>80</v>
      </c>
      <c r="D99" s="7" t="s">
        <v>10</v>
      </c>
      <c r="E99" s="7" t="str">
        <f t="array" ref="E99">IFERROR(IF(INDEX('de para abc'!$C:$C,MATCH($B99,'de para abc'!$A:$A,0))=0,"C",INDEX('de para abc'!$C:$C,MATCH($B99,'de para abc'!$A:$A,0))),IFERROR(IF(INDEX('de para abc'!$C:$C,MATCH($C99,'de para abc'!$B:$B,0))=0,"C",INDEX('de para abc'!$C:$C,MATCH($C99,'de para abc'!$B:$B,0))),"C"))</f>
        <v>C</v>
      </c>
      <c r="F99" s="8">
        <v>0</v>
      </c>
    </row>
    <row r="100" spans="1:6" ht="15.75" customHeight="1" x14ac:dyDescent="0.25">
      <c r="A100" s="4" t="s">
        <v>69</v>
      </c>
      <c r="B100" s="5">
        <v>1001699</v>
      </c>
      <c r="C100" s="6" t="s">
        <v>176</v>
      </c>
      <c r="D100" s="7" t="s">
        <v>14</v>
      </c>
      <c r="E100" s="7" t="str">
        <f t="array" ref="E100">IFERROR(IF(INDEX('de para abc'!$C:$C,MATCH($B100,'de para abc'!$A:$A,0))=0,"C",INDEX('de para abc'!$C:$C,MATCH($B100,'de para abc'!$A:$A,0))),IFERROR(IF(INDEX('de para abc'!$C:$C,MATCH($C100,'de para abc'!$B:$B,0))=0,"C",INDEX('de para abc'!$C:$C,MATCH($C100,'de para abc'!$B:$B,0))),"C"))</f>
        <v>C</v>
      </c>
      <c r="F100" s="8">
        <v>0</v>
      </c>
    </row>
    <row r="101" spans="1:6" ht="15.75" customHeight="1" x14ac:dyDescent="0.25">
      <c r="A101" s="4" t="s">
        <v>69</v>
      </c>
      <c r="B101" s="5">
        <v>1006858</v>
      </c>
      <c r="C101" s="6" t="s">
        <v>241</v>
      </c>
      <c r="D101" s="7" t="s">
        <v>10</v>
      </c>
      <c r="E101" s="7" t="str">
        <f t="array" ref="E101">IFERROR(IF(INDEX('de para abc'!$C:$C,MATCH($B101,'de para abc'!$A:$A,0))=0,"C",INDEX('de para abc'!$C:$C,MATCH($B101,'de para abc'!$A:$A,0))),IFERROR(IF(INDEX('de para abc'!$C:$C,MATCH($C101,'de para abc'!$B:$B,0))=0,"C",INDEX('de para abc'!$C:$C,MATCH($C101,'de para abc'!$B:$B,0))),"C"))</f>
        <v>C</v>
      </c>
      <c r="F101" s="8">
        <v>0</v>
      </c>
    </row>
    <row r="102" spans="1:6" ht="15.75" customHeight="1" x14ac:dyDescent="0.25">
      <c r="A102" s="4" t="s">
        <v>69</v>
      </c>
      <c r="B102" s="5">
        <v>1006912</v>
      </c>
      <c r="C102" s="6" t="s">
        <v>242</v>
      </c>
      <c r="D102" s="7" t="s">
        <v>18</v>
      </c>
      <c r="E102" s="7" t="str">
        <f t="array" ref="E102">IFERROR(IF(INDEX('de para abc'!$C:$C,MATCH($B102,'de para abc'!$A:$A,0))=0,"C",INDEX('de para abc'!$C:$C,MATCH($B102,'de para abc'!$A:$A,0))),IFERROR(IF(INDEX('de para abc'!$C:$C,MATCH($C102,'de para abc'!$B:$B,0))=0,"C",INDEX('de para abc'!$C:$C,MATCH($C102,'de para abc'!$B:$B,0))),"C"))</f>
        <v>C</v>
      </c>
      <c r="F102" s="8">
        <v>0</v>
      </c>
    </row>
    <row r="103" spans="1:6" ht="15.75" customHeight="1" x14ac:dyDescent="0.25">
      <c r="A103" s="4" t="s">
        <v>69</v>
      </c>
      <c r="B103" s="5">
        <v>1006913</v>
      </c>
      <c r="C103" s="6" t="s">
        <v>242</v>
      </c>
      <c r="D103" s="7" t="s">
        <v>18</v>
      </c>
      <c r="E103" s="7" t="str">
        <f t="array" ref="E103">IFERROR(IF(INDEX('de para abc'!$C:$C,MATCH($B103,'de para abc'!$A:$A,0))=0,"C",INDEX('de para abc'!$C:$C,MATCH($B103,'de para abc'!$A:$A,0))),IFERROR(IF(INDEX('de para abc'!$C:$C,MATCH($C103,'de para abc'!$B:$B,0))=0,"C",INDEX('de para abc'!$C:$C,MATCH($C103,'de para abc'!$B:$B,0))),"C"))</f>
        <v>C</v>
      </c>
      <c r="F103" s="8">
        <v>0</v>
      </c>
    </row>
    <row r="104" spans="1:6" ht="15.75" customHeight="1" x14ac:dyDescent="0.25">
      <c r="A104" s="4" t="s">
        <v>69</v>
      </c>
      <c r="B104" s="5">
        <v>1006911</v>
      </c>
      <c r="C104" s="6" t="s">
        <v>242</v>
      </c>
      <c r="D104" s="7" t="s">
        <v>18</v>
      </c>
      <c r="E104" s="7" t="str">
        <f t="array" ref="E104">IFERROR(IF(INDEX('de para abc'!$C:$C,MATCH($B104,'de para abc'!$A:$A,0))=0,"C",INDEX('de para abc'!$C:$C,MATCH($B104,'de para abc'!$A:$A,0))),IFERROR(IF(INDEX('de para abc'!$C:$C,MATCH($C104,'de para abc'!$B:$B,0))=0,"C",INDEX('de para abc'!$C:$C,MATCH($C104,'de para abc'!$B:$B,0))),"C"))</f>
        <v>C</v>
      </c>
      <c r="F104" s="8">
        <v>0</v>
      </c>
    </row>
    <row r="105" spans="1:6" ht="15.75" customHeight="1" x14ac:dyDescent="0.25">
      <c r="A105" s="4" t="s">
        <v>69</v>
      </c>
      <c r="B105" s="5">
        <v>1006914</v>
      </c>
      <c r="C105" s="6" t="s">
        <v>242</v>
      </c>
      <c r="D105" s="7" t="s">
        <v>18</v>
      </c>
      <c r="E105" s="7" t="str">
        <f t="array" ref="E105">IFERROR(IF(INDEX('de para abc'!$C:$C,MATCH($B105,'de para abc'!$A:$A,0))=0,"C",INDEX('de para abc'!$C:$C,MATCH($B105,'de para abc'!$A:$A,0))),IFERROR(IF(INDEX('de para abc'!$C:$C,MATCH($C105,'de para abc'!$B:$B,0))=0,"C",INDEX('de para abc'!$C:$C,MATCH($C105,'de para abc'!$B:$B,0))),"C"))</f>
        <v>C</v>
      </c>
      <c r="F105" s="8">
        <v>0</v>
      </c>
    </row>
    <row r="106" spans="1:6" ht="15.75" customHeight="1" x14ac:dyDescent="0.25">
      <c r="A106" s="4" t="s">
        <v>69</v>
      </c>
      <c r="B106" s="5">
        <v>1006915</v>
      </c>
      <c r="C106" s="6" t="s">
        <v>242</v>
      </c>
      <c r="D106" s="7" t="s">
        <v>18</v>
      </c>
      <c r="E106" s="7" t="str">
        <f t="array" ref="E106">IFERROR(IF(INDEX('de para abc'!$C:$C,MATCH($B106,'de para abc'!$A:$A,0))=0,"C",INDEX('de para abc'!$C:$C,MATCH($B106,'de para abc'!$A:$A,0))),IFERROR(IF(INDEX('de para abc'!$C:$C,MATCH($C106,'de para abc'!$B:$B,0))=0,"C",INDEX('de para abc'!$C:$C,MATCH($C106,'de para abc'!$B:$B,0))),"C"))</f>
        <v>C</v>
      </c>
      <c r="F106" s="8">
        <v>0</v>
      </c>
    </row>
    <row r="107" spans="1:6" ht="15.75" customHeight="1" x14ac:dyDescent="0.25">
      <c r="A107" s="4" t="s">
        <v>69</v>
      </c>
      <c r="B107" s="5">
        <v>1002367</v>
      </c>
      <c r="C107" s="6" t="s">
        <v>243</v>
      </c>
      <c r="D107" s="7" t="s">
        <v>18</v>
      </c>
      <c r="E107" s="7" t="str">
        <f t="array" ref="E107">IFERROR(IF(INDEX('de para abc'!$C:$C,MATCH($B107,'de para abc'!$A:$A,0))=0,"C",INDEX('de para abc'!$C:$C,MATCH($B107,'de para abc'!$A:$A,0))),IFERROR(IF(INDEX('de para abc'!$C:$C,MATCH($C107,'de para abc'!$B:$B,0))=0,"C",INDEX('de para abc'!$C:$C,MATCH($C107,'de para abc'!$B:$B,0))),"C"))</f>
        <v>C</v>
      </c>
      <c r="F107" s="8">
        <v>0</v>
      </c>
    </row>
    <row r="108" spans="1:6" ht="15.75" customHeight="1" x14ac:dyDescent="0.25">
      <c r="A108" s="4" t="s">
        <v>69</v>
      </c>
      <c r="B108" s="5">
        <v>1002354</v>
      </c>
      <c r="C108" s="6" t="s">
        <v>244</v>
      </c>
      <c r="D108" s="7" t="s">
        <v>18</v>
      </c>
      <c r="E108" s="7" t="str">
        <f t="array" ref="E108">IFERROR(IF(INDEX('de para abc'!$C:$C,MATCH($B108,'de para abc'!$A:$A,0))=0,"C",INDEX('de para abc'!$C:$C,MATCH($B108,'de para abc'!$A:$A,0))),IFERROR(IF(INDEX('de para abc'!$C:$C,MATCH($C108,'de para abc'!$B:$B,0))=0,"C",INDEX('de para abc'!$C:$C,MATCH($C108,'de para abc'!$B:$B,0))),"C"))</f>
        <v>C</v>
      </c>
      <c r="F108" s="8">
        <v>0</v>
      </c>
    </row>
    <row r="109" spans="1:6" ht="15.75" customHeight="1" x14ac:dyDescent="0.25">
      <c r="A109" s="4" t="s">
        <v>69</v>
      </c>
      <c r="B109" s="5">
        <v>1002003</v>
      </c>
      <c r="C109" s="6" t="s">
        <v>245</v>
      </c>
      <c r="D109" s="7" t="s">
        <v>14</v>
      </c>
      <c r="E109" s="7" t="str">
        <f t="array" ref="E109">IFERROR(IF(INDEX('de para abc'!$C:$C,MATCH($B109,'de para abc'!$A:$A,0))=0,"C",INDEX('de para abc'!$C:$C,MATCH($B109,'de para abc'!$A:$A,0))),IFERROR(IF(INDEX('de para abc'!$C:$C,MATCH($C109,'de para abc'!$B:$B,0))=0,"C",INDEX('de para abc'!$C:$C,MATCH($C109,'de para abc'!$B:$B,0))),"C"))</f>
        <v>C</v>
      </c>
      <c r="F109" s="8">
        <v>0</v>
      </c>
    </row>
    <row r="110" spans="1:6" ht="15.75" customHeight="1" x14ac:dyDescent="0.25">
      <c r="A110" s="4" t="s">
        <v>69</v>
      </c>
      <c r="B110" s="5">
        <v>1002187</v>
      </c>
      <c r="C110" s="6" t="s">
        <v>246</v>
      </c>
      <c r="D110" s="7" t="s">
        <v>18</v>
      </c>
      <c r="E110" s="7" t="str">
        <f t="array" ref="E110">IFERROR(IF(INDEX('de para abc'!$C:$C,MATCH($B110,'de para abc'!$A:$A,0))=0,"C",INDEX('de para abc'!$C:$C,MATCH($B110,'de para abc'!$A:$A,0))),IFERROR(IF(INDEX('de para abc'!$C:$C,MATCH($C110,'de para abc'!$B:$B,0))=0,"C",INDEX('de para abc'!$C:$C,MATCH($C110,'de para abc'!$B:$B,0))),"C"))</f>
        <v>C</v>
      </c>
      <c r="F110" s="8">
        <v>0</v>
      </c>
    </row>
    <row r="111" spans="1:6" ht="15.75" customHeight="1" x14ac:dyDescent="0.25">
      <c r="A111" s="4" t="s">
        <v>69</v>
      </c>
      <c r="B111" s="5">
        <v>1002186</v>
      </c>
      <c r="C111" s="6" t="s">
        <v>247</v>
      </c>
      <c r="D111" s="7" t="s">
        <v>18</v>
      </c>
      <c r="E111" s="7" t="str">
        <f t="array" ref="E111">IFERROR(IF(INDEX('de para abc'!$C:$C,MATCH($B111,'de para abc'!$A:$A,0))=0,"C",INDEX('de para abc'!$C:$C,MATCH($B111,'de para abc'!$A:$A,0))),IFERROR(IF(INDEX('de para abc'!$C:$C,MATCH($C111,'de para abc'!$B:$B,0))=0,"C",INDEX('de para abc'!$C:$C,MATCH($C111,'de para abc'!$B:$B,0))),"C"))</f>
        <v>C</v>
      </c>
      <c r="F111" s="8">
        <v>0</v>
      </c>
    </row>
    <row r="112" spans="1:6" ht="15.75" customHeight="1" x14ac:dyDescent="0.25">
      <c r="A112" s="4" t="s">
        <v>69</v>
      </c>
      <c r="B112" s="5">
        <v>1001929</v>
      </c>
      <c r="C112" s="6" t="s">
        <v>248</v>
      </c>
      <c r="D112" s="7" t="s">
        <v>18</v>
      </c>
      <c r="E112" s="7" t="str">
        <f t="array" ref="E112">IFERROR(IF(INDEX('de para abc'!$C:$C,MATCH($B112,'de para abc'!$A:$A,0))=0,"C",INDEX('de para abc'!$C:$C,MATCH($B112,'de para abc'!$A:$A,0))),IFERROR(IF(INDEX('de para abc'!$C:$C,MATCH($C112,'de para abc'!$B:$B,0))=0,"C",INDEX('de para abc'!$C:$C,MATCH($C112,'de para abc'!$B:$B,0))),"C"))</f>
        <v>C</v>
      </c>
      <c r="F112" s="8">
        <v>0</v>
      </c>
    </row>
    <row r="113" spans="1:6" ht="15.75" customHeight="1" x14ac:dyDescent="0.25">
      <c r="A113" s="4" t="s">
        <v>69</v>
      </c>
      <c r="B113" s="5">
        <v>1001930</v>
      </c>
      <c r="C113" s="6" t="s">
        <v>84</v>
      </c>
      <c r="D113" s="7" t="s">
        <v>18</v>
      </c>
      <c r="E113" s="7" t="str">
        <f t="array" ref="E113">IFERROR(IF(INDEX('de para abc'!$C:$C,MATCH($B113,'de para abc'!$A:$A,0))=0,"C",INDEX('de para abc'!$C:$C,MATCH($B113,'de para abc'!$A:$A,0))),IFERROR(IF(INDEX('de para abc'!$C:$C,MATCH($C113,'de para abc'!$B:$B,0))=0,"C",INDEX('de para abc'!$C:$C,MATCH($C113,'de para abc'!$B:$B,0))),"C"))</f>
        <v>C</v>
      </c>
      <c r="F113" s="8">
        <v>0</v>
      </c>
    </row>
    <row r="114" spans="1:6" ht="15.75" customHeight="1" x14ac:dyDescent="0.25">
      <c r="A114" s="4" t="s">
        <v>69</v>
      </c>
      <c r="B114" s="5">
        <v>1008922</v>
      </c>
      <c r="C114" s="6" t="s">
        <v>249</v>
      </c>
      <c r="D114" s="7" t="s">
        <v>18</v>
      </c>
      <c r="E114" s="7" t="str">
        <f t="array" ref="E114">IFERROR(IF(INDEX('de para abc'!$C:$C,MATCH($B114,'de para abc'!$A:$A,0))=0,"C",INDEX('de para abc'!$C:$C,MATCH($B114,'de para abc'!$A:$A,0))),IFERROR(IF(INDEX('de para abc'!$C:$C,MATCH($C114,'de para abc'!$B:$B,0))=0,"C",INDEX('de para abc'!$C:$C,MATCH($C114,'de para abc'!$B:$B,0))),"C"))</f>
        <v>C</v>
      </c>
      <c r="F114" s="8">
        <v>0</v>
      </c>
    </row>
    <row r="115" spans="1:6" ht="15.75" customHeight="1" x14ac:dyDescent="0.25">
      <c r="A115" s="4" t="s">
        <v>69</v>
      </c>
      <c r="B115" s="5">
        <v>1002363</v>
      </c>
      <c r="C115" s="6" t="s">
        <v>250</v>
      </c>
      <c r="D115" s="7" t="s">
        <v>18</v>
      </c>
      <c r="E115" s="7" t="str">
        <f t="array" ref="E115">IFERROR(IF(INDEX('de para abc'!$C:$C,MATCH($B115,'de para abc'!$A:$A,0))=0,"C",INDEX('de para abc'!$C:$C,MATCH($B115,'de para abc'!$A:$A,0))),IFERROR(IF(INDEX('de para abc'!$C:$C,MATCH($C115,'de para abc'!$B:$B,0))=0,"C",INDEX('de para abc'!$C:$C,MATCH($C115,'de para abc'!$B:$B,0))),"C"))</f>
        <v>C</v>
      </c>
      <c r="F115" s="8">
        <v>0</v>
      </c>
    </row>
    <row r="116" spans="1:6" ht="15.75" customHeight="1" x14ac:dyDescent="0.25">
      <c r="A116" s="4" t="s">
        <v>69</v>
      </c>
      <c r="B116" s="5">
        <v>1006909</v>
      </c>
      <c r="C116" s="6" t="s">
        <v>251</v>
      </c>
      <c r="D116" s="7" t="s">
        <v>18</v>
      </c>
      <c r="E116" s="7" t="str">
        <f t="array" ref="E116">IFERROR(IF(INDEX('de para abc'!$C:$C,MATCH($B116,'de para abc'!$A:$A,0))=0,"C",INDEX('de para abc'!$C:$C,MATCH($B116,'de para abc'!$A:$A,0))),IFERROR(IF(INDEX('de para abc'!$C:$C,MATCH($C116,'de para abc'!$B:$B,0))=0,"C",INDEX('de para abc'!$C:$C,MATCH($C116,'de para abc'!$B:$B,0))),"C"))</f>
        <v>C</v>
      </c>
      <c r="F116" s="8">
        <v>0</v>
      </c>
    </row>
    <row r="117" spans="1:6" ht="15.75" customHeight="1" x14ac:dyDescent="0.25">
      <c r="A117" s="4" t="s">
        <v>69</v>
      </c>
      <c r="B117" s="5">
        <v>1006906</v>
      </c>
      <c r="C117" s="6" t="s">
        <v>252</v>
      </c>
      <c r="D117" s="7" t="s">
        <v>18</v>
      </c>
      <c r="E117" s="7" t="str">
        <f t="array" ref="E117">IFERROR(IF(INDEX('de para abc'!$C:$C,MATCH($B117,'de para abc'!$A:$A,0))=0,"C",INDEX('de para abc'!$C:$C,MATCH($B117,'de para abc'!$A:$A,0))),IFERROR(IF(INDEX('de para abc'!$C:$C,MATCH($C117,'de para abc'!$B:$B,0))=0,"C",INDEX('de para abc'!$C:$C,MATCH($C117,'de para abc'!$B:$B,0))),"C"))</f>
        <v>C</v>
      </c>
      <c r="F117" s="8">
        <v>0</v>
      </c>
    </row>
    <row r="118" spans="1:6" ht="15.75" customHeight="1" x14ac:dyDescent="0.25">
      <c r="A118" s="4" t="s">
        <v>69</v>
      </c>
      <c r="B118" s="5">
        <v>1006907</v>
      </c>
      <c r="C118" s="6" t="s">
        <v>253</v>
      </c>
      <c r="D118" s="7" t="s">
        <v>18</v>
      </c>
      <c r="E118" s="7" t="str">
        <f t="array" ref="E118">IFERROR(IF(INDEX('de para abc'!$C:$C,MATCH($B118,'de para abc'!$A:$A,0))=0,"C",INDEX('de para abc'!$C:$C,MATCH($B118,'de para abc'!$A:$A,0))),IFERROR(IF(INDEX('de para abc'!$C:$C,MATCH($C118,'de para abc'!$B:$B,0))=0,"C",INDEX('de para abc'!$C:$C,MATCH($C118,'de para abc'!$B:$B,0))),"C"))</f>
        <v>C</v>
      </c>
      <c r="F118" s="8">
        <v>0</v>
      </c>
    </row>
    <row r="119" spans="1:6" ht="15.75" customHeight="1" x14ac:dyDescent="0.25">
      <c r="A119" s="4" t="s">
        <v>69</v>
      </c>
      <c r="B119" s="5">
        <v>1002097</v>
      </c>
      <c r="C119" s="6" t="s">
        <v>254</v>
      </c>
      <c r="D119" s="7" t="s">
        <v>18</v>
      </c>
      <c r="E119" s="7" t="str">
        <f t="array" ref="E119">IFERROR(IF(INDEX('de para abc'!$C:$C,MATCH($B119,'de para abc'!$A:$A,0))=0,"C",INDEX('de para abc'!$C:$C,MATCH($B119,'de para abc'!$A:$A,0))),IFERROR(IF(INDEX('de para abc'!$C:$C,MATCH($C119,'de para abc'!$B:$B,0))=0,"C",INDEX('de para abc'!$C:$C,MATCH($C119,'de para abc'!$B:$B,0))),"C"))</f>
        <v>C</v>
      </c>
      <c r="F119" s="8">
        <v>0</v>
      </c>
    </row>
    <row r="120" spans="1:6" ht="15.75" customHeight="1" x14ac:dyDescent="0.25">
      <c r="A120" s="4" t="s">
        <v>69</v>
      </c>
      <c r="B120" s="5">
        <v>1002098</v>
      </c>
      <c r="C120" s="6" t="s">
        <v>254</v>
      </c>
      <c r="D120" s="7" t="s">
        <v>18</v>
      </c>
      <c r="E120" s="7" t="str">
        <f t="array" ref="E120">IFERROR(IF(INDEX('de para abc'!$C:$C,MATCH($B120,'de para abc'!$A:$A,0))=0,"C",INDEX('de para abc'!$C:$C,MATCH($B120,'de para abc'!$A:$A,0))),IFERROR(IF(INDEX('de para abc'!$C:$C,MATCH($C120,'de para abc'!$B:$B,0))=0,"C",INDEX('de para abc'!$C:$C,MATCH($C120,'de para abc'!$B:$B,0))),"C"))</f>
        <v>C</v>
      </c>
      <c r="F120" s="8">
        <v>0</v>
      </c>
    </row>
    <row r="121" spans="1:6" ht="15.75" customHeight="1" x14ac:dyDescent="0.25">
      <c r="A121" s="4" t="s">
        <v>69</v>
      </c>
      <c r="B121" s="5">
        <v>1001622</v>
      </c>
      <c r="C121" s="6" t="s">
        <v>86</v>
      </c>
      <c r="D121" s="7" t="s">
        <v>18</v>
      </c>
      <c r="E121" s="7" t="str">
        <f t="array" ref="E121">IFERROR(IF(INDEX('de para abc'!$C:$C,MATCH($B121,'de para abc'!$A:$A,0))=0,"C",INDEX('de para abc'!$C:$C,MATCH($B121,'de para abc'!$A:$A,0))),IFERROR(IF(INDEX('de para abc'!$C:$C,MATCH($C121,'de para abc'!$B:$B,0))=0,"C",INDEX('de para abc'!$C:$C,MATCH($C121,'de para abc'!$B:$B,0))),"C"))</f>
        <v>C</v>
      </c>
      <c r="F121" s="8">
        <v>0</v>
      </c>
    </row>
    <row r="122" spans="1:6" ht="15.75" customHeight="1" x14ac:dyDescent="0.25">
      <c r="A122" s="4" t="s">
        <v>69</v>
      </c>
      <c r="B122" s="5">
        <v>1002366</v>
      </c>
      <c r="C122" s="6" t="s">
        <v>255</v>
      </c>
      <c r="D122" s="7" t="s">
        <v>18</v>
      </c>
      <c r="E122" s="7" t="str">
        <f t="array" ref="E122">IFERROR(IF(INDEX('de para abc'!$C:$C,MATCH($B122,'de para abc'!$A:$A,0))=0,"C",INDEX('de para abc'!$C:$C,MATCH($B122,'de para abc'!$A:$A,0))),IFERROR(IF(INDEX('de para abc'!$C:$C,MATCH($C122,'de para abc'!$B:$B,0))=0,"C",INDEX('de para abc'!$C:$C,MATCH($C122,'de para abc'!$B:$B,0))),"C"))</f>
        <v>C</v>
      </c>
      <c r="F122" s="8">
        <v>0</v>
      </c>
    </row>
    <row r="123" spans="1:6" ht="15.75" customHeight="1" x14ac:dyDescent="0.25">
      <c r="A123" s="4" t="s">
        <v>69</v>
      </c>
      <c r="B123" s="5">
        <v>1001512</v>
      </c>
      <c r="C123" s="6" t="s">
        <v>87</v>
      </c>
      <c r="D123" s="7" t="s">
        <v>233</v>
      </c>
      <c r="E123" s="7" t="str">
        <f t="array" ref="E123">IFERROR(IF(INDEX('de para abc'!$C:$C,MATCH($B123,'de para abc'!$A:$A,0))=0,"C",INDEX('de para abc'!$C:$C,MATCH($B123,'de para abc'!$A:$A,0))),IFERROR(IF(INDEX('de para abc'!$C:$C,MATCH($C123,'de para abc'!$B:$B,0))=0,"C",INDEX('de para abc'!$C:$C,MATCH($C123,'de para abc'!$B:$B,0))),"C"))</f>
        <v>C</v>
      </c>
      <c r="F123" s="8">
        <v>0</v>
      </c>
    </row>
    <row r="124" spans="1:6" ht="15.75" customHeight="1" x14ac:dyDescent="0.25">
      <c r="A124" s="4" t="s">
        <v>69</v>
      </c>
      <c r="B124" s="5">
        <v>1001513</v>
      </c>
      <c r="C124" s="6" t="s">
        <v>88</v>
      </c>
      <c r="D124" s="7" t="s">
        <v>233</v>
      </c>
      <c r="E124" s="7" t="str">
        <f t="array" ref="E124">IFERROR(IF(INDEX('de para abc'!$C:$C,MATCH($B124,'de para abc'!$A:$A,0))=0,"C",INDEX('de para abc'!$C:$C,MATCH($B124,'de para abc'!$A:$A,0))),IFERROR(IF(INDEX('de para abc'!$C:$C,MATCH($C124,'de para abc'!$B:$B,0))=0,"C",INDEX('de para abc'!$C:$C,MATCH($C124,'de para abc'!$B:$B,0))),"C"))</f>
        <v>C</v>
      </c>
      <c r="F124" s="8">
        <v>0</v>
      </c>
    </row>
    <row r="125" spans="1:6" ht="15.75" customHeight="1" x14ac:dyDescent="0.25">
      <c r="A125" s="4" t="s">
        <v>69</v>
      </c>
      <c r="B125" s="5">
        <v>1001973</v>
      </c>
      <c r="C125" s="6" t="s">
        <v>89</v>
      </c>
      <c r="D125" s="7" t="s">
        <v>18</v>
      </c>
      <c r="E125" s="7" t="str">
        <f t="array" ref="E125">IFERROR(IF(INDEX('de para abc'!$C:$C,MATCH($B125,'de para abc'!$A:$A,0))=0,"C",INDEX('de para abc'!$C:$C,MATCH($B125,'de para abc'!$A:$A,0))),IFERROR(IF(INDEX('de para abc'!$C:$C,MATCH($C125,'de para abc'!$B:$B,0))=0,"C",INDEX('de para abc'!$C:$C,MATCH($C125,'de para abc'!$B:$B,0))),"C"))</f>
        <v>C</v>
      </c>
      <c r="F125" s="8">
        <v>0</v>
      </c>
    </row>
    <row r="126" spans="1:6" ht="15.75" customHeight="1" x14ac:dyDescent="0.25">
      <c r="A126" s="4" t="s">
        <v>69</v>
      </c>
      <c r="B126" s="5">
        <v>1001514</v>
      </c>
      <c r="C126" s="6" t="s">
        <v>256</v>
      </c>
      <c r="D126" s="7" t="s">
        <v>233</v>
      </c>
      <c r="E126" s="7" t="str">
        <f t="array" ref="E126">IFERROR(IF(INDEX('de para abc'!$C:$C,MATCH($B126,'de para abc'!$A:$A,0))=0,"C",INDEX('de para abc'!$C:$C,MATCH($B126,'de para abc'!$A:$A,0))),IFERROR(IF(INDEX('de para abc'!$C:$C,MATCH($C126,'de para abc'!$B:$B,0))=0,"C",INDEX('de para abc'!$C:$C,MATCH($C126,'de para abc'!$B:$B,0))),"C"))</f>
        <v>C</v>
      </c>
      <c r="F126" s="8">
        <v>0</v>
      </c>
    </row>
    <row r="127" spans="1:6" ht="15.75" customHeight="1" x14ac:dyDescent="0.25">
      <c r="A127" s="4" t="s">
        <v>69</v>
      </c>
      <c r="B127" s="5">
        <v>1001509</v>
      </c>
      <c r="C127" s="6" t="s">
        <v>257</v>
      </c>
      <c r="D127" s="7" t="s">
        <v>233</v>
      </c>
      <c r="E127" s="7" t="str">
        <f t="array" ref="E127">IFERROR(IF(INDEX('de para abc'!$C:$C,MATCH($B127,'de para abc'!$A:$A,0))=0,"C",INDEX('de para abc'!$C:$C,MATCH($B127,'de para abc'!$A:$A,0))),IFERROR(IF(INDEX('de para abc'!$C:$C,MATCH($C127,'de para abc'!$B:$B,0))=0,"C",INDEX('de para abc'!$C:$C,MATCH($C127,'de para abc'!$B:$B,0))),"C"))</f>
        <v>C</v>
      </c>
      <c r="F127" s="8">
        <v>0</v>
      </c>
    </row>
    <row r="128" spans="1:6" ht="15.75" customHeight="1" x14ac:dyDescent="0.25">
      <c r="A128" s="4" t="s">
        <v>69</v>
      </c>
      <c r="B128" s="5">
        <v>1001508</v>
      </c>
      <c r="C128" s="6" t="s">
        <v>257</v>
      </c>
      <c r="D128" s="7" t="s">
        <v>233</v>
      </c>
      <c r="E128" s="7" t="str">
        <f t="array" ref="E128">IFERROR(IF(INDEX('de para abc'!$C:$C,MATCH($B128,'de para abc'!$A:$A,0))=0,"C",INDEX('de para abc'!$C:$C,MATCH($B128,'de para abc'!$A:$A,0))),IFERROR(IF(INDEX('de para abc'!$C:$C,MATCH($C128,'de para abc'!$B:$B,0))=0,"C",INDEX('de para abc'!$C:$C,MATCH($C128,'de para abc'!$B:$B,0))),"C"))</f>
        <v>C</v>
      </c>
      <c r="F128" s="8">
        <v>0</v>
      </c>
    </row>
    <row r="129" spans="1:6" ht="15.75" customHeight="1" x14ac:dyDescent="0.25">
      <c r="A129" s="4" t="s">
        <v>69</v>
      </c>
      <c r="B129" s="5">
        <v>1001696</v>
      </c>
      <c r="C129" s="6" t="s">
        <v>90</v>
      </c>
      <c r="D129" s="7" t="s">
        <v>14</v>
      </c>
      <c r="E129" s="7" t="str">
        <f t="array" ref="E129">IFERROR(IF(INDEX('de para abc'!$C:$C,MATCH($B129,'de para abc'!$A:$A,0))=0,"C",INDEX('de para abc'!$C:$C,MATCH($B129,'de para abc'!$A:$A,0))),IFERROR(IF(INDEX('de para abc'!$C:$C,MATCH($C129,'de para abc'!$B:$B,0))=0,"C",INDEX('de para abc'!$C:$C,MATCH($C129,'de para abc'!$B:$B,0))),"C"))</f>
        <v>C</v>
      </c>
      <c r="F129" s="8">
        <v>0</v>
      </c>
    </row>
    <row r="130" spans="1:6" ht="15.75" customHeight="1" x14ac:dyDescent="0.25">
      <c r="A130" s="4" t="s">
        <v>69</v>
      </c>
      <c r="B130" s="5">
        <v>1002159</v>
      </c>
      <c r="C130" s="6" t="s">
        <v>258</v>
      </c>
      <c r="D130" s="7" t="s">
        <v>18</v>
      </c>
      <c r="E130" s="7" t="str">
        <f t="array" ref="E130">IFERROR(IF(INDEX('de para abc'!$C:$C,MATCH($B130,'de para abc'!$A:$A,0))=0,"C",INDEX('de para abc'!$C:$C,MATCH($B130,'de para abc'!$A:$A,0))),IFERROR(IF(INDEX('de para abc'!$C:$C,MATCH($C130,'de para abc'!$B:$B,0))=0,"C",INDEX('de para abc'!$C:$C,MATCH($C130,'de para abc'!$B:$B,0))),"C"))</f>
        <v>C</v>
      </c>
      <c r="F130" s="8">
        <v>0</v>
      </c>
    </row>
    <row r="131" spans="1:6" ht="15.75" customHeight="1" x14ac:dyDescent="0.25">
      <c r="A131" s="4" t="s">
        <v>69</v>
      </c>
      <c r="B131" s="5">
        <v>1001693</v>
      </c>
      <c r="C131" s="6" t="s">
        <v>259</v>
      </c>
      <c r="D131" s="7" t="s">
        <v>14</v>
      </c>
      <c r="E131" s="7" t="str">
        <f t="array" ref="E131">IFERROR(IF(INDEX('de para abc'!$C:$C,MATCH($B131,'de para abc'!$A:$A,0))=0,"C",INDEX('de para abc'!$C:$C,MATCH($B131,'de para abc'!$A:$A,0))),IFERROR(IF(INDEX('de para abc'!$C:$C,MATCH($C131,'de para abc'!$B:$B,0))=0,"C",INDEX('de para abc'!$C:$C,MATCH($C131,'de para abc'!$B:$B,0))),"C"))</f>
        <v>C</v>
      </c>
      <c r="F131" s="8">
        <v>2</v>
      </c>
    </row>
    <row r="132" spans="1:6" ht="15.75" customHeight="1" x14ac:dyDescent="0.25">
      <c r="A132" s="4" t="s">
        <v>69</v>
      </c>
      <c r="B132" s="5">
        <v>1001694</v>
      </c>
      <c r="C132" s="6" t="s">
        <v>177</v>
      </c>
      <c r="D132" s="7" t="s">
        <v>14</v>
      </c>
      <c r="E132" s="7" t="str">
        <f t="array" ref="E132">IFERROR(IF(INDEX('de para abc'!$C:$C,MATCH($B132,'de para abc'!$A:$A,0))=0,"C",INDEX('de para abc'!$C:$C,MATCH($B132,'de para abc'!$A:$A,0))),IFERROR(IF(INDEX('de para abc'!$C:$C,MATCH($C132,'de para abc'!$B:$B,0))=0,"C",INDEX('de para abc'!$C:$C,MATCH($C132,'de para abc'!$B:$B,0))),"C"))</f>
        <v>C</v>
      </c>
      <c r="F132" s="8">
        <v>2</v>
      </c>
    </row>
    <row r="133" spans="1:6" ht="15.75" customHeight="1" x14ac:dyDescent="0.25">
      <c r="A133" s="4" t="s">
        <v>69</v>
      </c>
      <c r="B133" s="5">
        <v>1002158</v>
      </c>
      <c r="C133" s="6" t="s">
        <v>91</v>
      </c>
      <c r="D133" s="7" t="s">
        <v>18</v>
      </c>
      <c r="E133" s="7" t="str">
        <f t="array" ref="E133">IFERROR(IF(INDEX('de para abc'!$C:$C,MATCH($B133,'de para abc'!$A:$A,0))=0,"C",INDEX('de para abc'!$C:$C,MATCH($B133,'de para abc'!$A:$A,0))),IFERROR(IF(INDEX('de para abc'!$C:$C,MATCH($C133,'de para abc'!$B:$B,0))=0,"C",INDEX('de para abc'!$C:$C,MATCH($C133,'de para abc'!$B:$B,0))),"C"))</f>
        <v>C</v>
      </c>
      <c r="F133" s="8">
        <v>0</v>
      </c>
    </row>
    <row r="134" spans="1:6" ht="15.75" customHeight="1" x14ac:dyDescent="0.25">
      <c r="A134" s="4" t="s">
        <v>69</v>
      </c>
      <c r="B134" s="5">
        <v>1001695</v>
      </c>
      <c r="C134" s="6" t="s">
        <v>260</v>
      </c>
      <c r="D134" s="7" t="s">
        <v>14</v>
      </c>
      <c r="E134" s="7" t="str">
        <f t="array" ref="E134">IFERROR(IF(INDEX('de para abc'!$C:$C,MATCH($B134,'de para abc'!$A:$A,0))=0,"C",INDEX('de para abc'!$C:$C,MATCH($B134,'de para abc'!$A:$A,0))),IFERROR(IF(INDEX('de para abc'!$C:$C,MATCH($C134,'de para abc'!$B:$B,0))=0,"C",INDEX('de para abc'!$C:$C,MATCH($C134,'de para abc'!$B:$B,0))),"C"))</f>
        <v>C</v>
      </c>
      <c r="F134" s="8">
        <v>0</v>
      </c>
    </row>
    <row r="135" spans="1:6" ht="15.75" customHeight="1" x14ac:dyDescent="0.25">
      <c r="A135" s="4" t="s">
        <v>69</v>
      </c>
      <c r="B135" s="5">
        <v>1002183</v>
      </c>
      <c r="C135" s="6" t="s">
        <v>261</v>
      </c>
      <c r="D135" s="7" t="s">
        <v>18</v>
      </c>
      <c r="E135" s="7" t="str">
        <f t="array" ref="E135">IFERROR(IF(INDEX('de para abc'!$C:$C,MATCH($B135,'de para abc'!$A:$A,0))=0,"C",INDEX('de para abc'!$C:$C,MATCH($B135,'de para abc'!$A:$A,0))),IFERROR(IF(INDEX('de para abc'!$C:$C,MATCH($C135,'de para abc'!$B:$B,0))=0,"C",INDEX('de para abc'!$C:$C,MATCH($C135,'de para abc'!$B:$B,0))),"C"))</f>
        <v>C</v>
      </c>
      <c r="F135" s="8">
        <v>0</v>
      </c>
    </row>
    <row r="136" spans="1:6" ht="15.75" customHeight="1" x14ac:dyDescent="0.25">
      <c r="A136" s="4" t="s">
        <v>69</v>
      </c>
      <c r="B136" s="5">
        <v>1001920</v>
      </c>
      <c r="C136" s="6" t="s">
        <v>262</v>
      </c>
      <c r="D136" s="7" t="s">
        <v>18</v>
      </c>
      <c r="E136" s="7" t="str">
        <f t="array" ref="E136">IFERROR(IF(INDEX('de para abc'!$C:$C,MATCH($B136,'de para abc'!$A:$A,0))=0,"C",INDEX('de para abc'!$C:$C,MATCH($B136,'de para abc'!$A:$A,0))),IFERROR(IF(INDEX('de para abc'!$C:$C,MATCH($C136,'de para abc'!$B:$B,0))=0,"C",INDEX('de para abc'!$C:$C,MATCH($C136,'de para abc'!$B:$B,0))),"C"))</f>
        <v>C</v>
      </c>
      <c r="F136" s="8">
        <v>0</v>
      </c>
    </row>
    <row r="137" spans="1:6" ht="15.75" customHeight="1" x14ac:dyDescent="0.25">
      <c r="A137" s="4" t="s">
        <v>69</v>
      </c>
      <c r="B137" s="5">
        <v>1002009</v>
      </c>
      <c r="C137" s="6" t="s">
        <v>263</v>
      </c>
      <c r="D137" s="7" t="s">
        <v>18</v>
      </c>
      <c r="E137" s="7" t="str">
        <f t="array" ref="E137">IFERROR(IF(INDEX('de para abc'!$C:$C,MATCH($B137,'de para abc'!$A:$A,0))=0,"C",INDEX('de para abc'!$C:$C,MATCH($B137,'de para abc'!$A:$A,0))),IFERROR(IF(INDEX('de para abc'!$C:$C,MATCH($C137,'de para abc'!$B:$B,0))=0,"C",INDEX('de para abc'!$C:$C,MATCH($C137,'de para abc'!$B:$B,0))),"C"))</f>
        <v>C</v>
      </c>
      <c r="F137" s="8">
        <v>0</v>
      </c>
    </row>
    <row r="138" spans="1:6" ht="15.75" customHeight="1" x14ac:dyDescent="0.25">
      <c r="A138" s="4" t="s">
        <v>69</v>
      </c>
      <c r="B138" s="5">
        <v>1002010</v>
      </c>
      <c r="C138" s="6" t="s">
        <v>264</v>
      </c>
      <c r="D138" s="7" t="s">
        <v>18</v>
      </c>
      <c r="E138" s="7" t="str">
        <f t="array" ref="E138">IFERROR(IF(INDEX('de para abc'!$C:$C,MATCH($B138,'de para abc'!$A:$A,0))=0,"C",INDEX('de para abc'!$C:$C,MATCH($B138,'de para abc'!$A:$A,0))),IFERROR(IF(INDEX('de para abc'!$C:$C,MATCH($C138,'de para abc'!$B:$B,0))=0,"C",INDEX('de para abc'!$C:$C,MATCH($C138,'de para abc'!$B:$B,0))),"C"))</f>
        <v>C</v>
      </c>
      <c r="F138" s="8">
        <v>0</v>
      </c>
    </row>
    <row r="139" spans="1:6" ht="15.75" customHeight="1" x14ac:dyDescent="0.25">
      <c r="A139" s="4" t="s">
        <v>69</v>
      </c>
      <c r="B139" s="5">
        <v>1001906</v>
      </c>
      <c r="C139" s="6" t="s">
        <v>265</v>
      </c>
      <c r="D139" s="7" t="s">
        <v>18</v>
      </c>
      <c r="E139" s="7" t="str">
        <f t="array" ref="E139">IFERROR(IF(INDEX('de para abc'!$C:$C,MATCH($B139,'de para abc'!$A:$A,0))=0,"C",INDEX('de para abc'!$C:$C,MATCH($B139,'de para abc'!$A:$A,0))),IFERROR(IF(INDEX('de para abc'!$C:$C,MATCH($C139,'de para abc'!$B:$B,0))=0,"C",INDEX('de para abc'!$C:$C,MATCH($C139,'de para abc'!$B:$B,0))),"C"))</f>
        <v>C</v>
      </c>
      <c r="F139" s="8">
        <v>0</v>
      </c>
    </row>
    <row r="140" spans="1:6" ht="15.75" customHeight="1" x14ac:dyDescent="0.25">
      <c r="A140" s="4" t="s">
        <v>69</v>
      </c>
      <c r="B140" s="5">
        <v>1001909</v>
      </c>
      <c r="C140" s="6" t="s">
        <v>265</v>
      </c>
      <c r="D140" s="7" t="s">
        <v>18</v>
      </c>
      <c r="E140" s="7" t="str">
        <f t="array" ref="E140">IFERROR(IF(INDEX('de para abc'!$C:$C,MATCH($B140,'de para abc'!$A:$A,0))=0,"C",INDEX('de para abc'!$C:$C,MATCH($B140,'de para abc'!$A:$A,0))),IFERROR(IF(INDEX('de para abc'!$C:$C,MATCH($C140,'de para abc'!$B:$B,0))=0,"C",INDEX('de para abc'!$C:$C,MATCH($C140,'de para abc'!$B:$B,0))),"C"))</f>
        <v>C</v>
      </c>
      <c r="F140" s="8">
        <v>0</v>
      </c>
    </row>
    <row r="141" spans="1:6" ht="15.75" customHeight="1" x14ac:dyDescent="0.25">
      <c r="A141" s="4" t="s">
        <v>69</v>
      </c>
      <c r="B141" s="5">
        <v>1001907</v>
      </c>
      <c r="C141" s="6" t="s">
        <v>265</v>
      </c>
      <c r="D141" s="7" t="s">
        <v>18</v>
      </c>
      <c r="E141" s="7" t="str">
        <f t="array" ref="E141">IFERROR(IF(INDEX('de para abc'!$C:$C,MATCH($B141,'de para abc'!$A:$A,0))=0,"C",INDEX('de para abc'!$C:$C,MATCH($B141,'de para abc'!$A:$A,0))),IFERROR(IF(INDEX('de para abc'!$C:$C,MATCH($C141,'de para abc'!$B:$B,0))=0,"C",INDEX('de para abc'!$C:$C,MATCH($C141,'de para abc'!$B:$B,0))),"C"))</f>
        <v>C</v>
      </c>
      <c r="F141" s="8">
        <v>0</v>
      </c>
    </row>
    <row r="142" spans="1:6" ht="15.75" customHeight="1" x14ac:dyDescent="0.25">
      <c r="A142" s="4" t="s">
        <v>69</v>
      </c>
      <c r="B142" s="5">
        <v>1001905</v>
      </c>
      <c r="C142" s="6" t="s">
        <v>265</v>
      </c>
      <c r="D142" s="7" t="s">
        <v>18</v>
      </c>
      <c r="E142" s="7" t="str">
        <f t="array" ref="E142">IFERROR(IF(INDEX('de para abc'!$C:$C,MATCH($B142,'de para abc'!$A:$A,0))=0,"C",INDEX('de para abc'!$C:$C,MATCH($B142,'de para abc'!$A:$A,0))),IFERROR(IF(INDEX('de para abc'!$C:$C,MATCH($C142,'de para abc'!$B:$B,0))=0,"C",INDEX('de para abc'!$C:$C,MATCH($C142,'de para abc'!$B:$B,0))),"C"))</f>
        <v>C</v>
      </c>
      <c r="F142" s="8">
        <v>0</v>
      </c>
    </row>
    <row r="143" spans="1:6" ht="15.75" customHeight="1" x14ac:dyDescent="0.25">
      <c r="A143" s="4" t="s">
        <v>69</v>
      </c>
      <c r="B143" s="5">
        <v>1001289</v>
      </c>
      <c r="C143" s="6" t="s">
        <v>266</v>
      </c>
      <c r="D143" s="7" t="s">
        <v>14</v>
      </c>
      <c r="E143" s="7" t="str">
        <f t="array" ref="E143">IFERROR(IF(INDEX('de para abc'!$C:$C,MATCH($B143,'de para abc'!$A:$A,0))=0,"C",INDEX('de para abc'!$C:$C,MATCH($B143,'de para abc'!$A:$A,0))),IFERROR(IF(INDEX('de para abc'!$C:$C,MATCH($C143,'de para abc'!$B:$B,0))=0,"C",INDEX('de para abc'!$C:$C,MATCH($C143,'de para abc'!$B:$B,0))),"C"))</f>
        <v>C</v>
      </c>
      <c r="F143" s="8">
        <v>0</v>
      </c>
    </row>
    <row r="144" spans="1:6" ht="15.75" customHeight="1" x14ac:dyDescent="0.25">
      <c r="A144" s="4" t="s">
        <v>69</v>
      </c>
      <c r="B144" s="5">
        <v>1000633</v>
      </c>
      <c r="C144" s="6" t="s">
        <v>267</v>
      </c>
      <c r="D144" s="7" t="s">
        <v>10</v>
      </c>
      <c r="E144" s="7" t="str">
        <f t="array" ref="E144">IFERROR(IF(INDEX('de para abc'!$C:$C,MATCH($B144,'de para abc'!$A:$A,0))=0,"C",INDEX('de para abc'!$C:$C,MATCH($B144,'de para abc'!$A:$A,0))),IFERROR(IF(INDEX('de para abc'!$C:$C,MATCH($C144,'de para abc'!$B:$B,0))=0,"C",INDEX('de para abc'!$C:$C,MATCH($C144,'de para abc'!$B:$B,0))),"C"))</f>
        <v>C</v>
      </c>
      <c r="F144" s="8">
        <v>0</v>
      </c>
    </row>
    <row r="145" spans="1:6" ht="15.75" customHeight="1" x14ac:dyDescent="0.25">
      <c r="A145" s="4" t="s">
        <v>69</v>
      </c>
      <c r="B145" s="5">
        <v>1001302</v>
      </c>
      <c r="C145" s="6" t="s">
        <v>96</v>
      </c>
      <c r="D145" s="7" t="s">
        <v>10</v>
      </c>
      <c r="E145" s="7" t="str">
        <f t="array" ref="E145">IFERROR(IF(INDEX('de para abc'!$C:$C,MATCH($B145,'de para abc'!$A:$A,0))=0,"C",INDEX('de para abc'!$C:$C,MATCH($B145,'de para abc'!$A:$A,0))),IFERROR(IF(INDEX('de para abc'!$C:$C,MATCH($C145,'de para abc'!$B:$B,0))=0,"C",INDEX('de para abc'!$C:$C,MATCH($C145,'de para abc'!$B:$B,0))),"C"))</f>
        <v>C</v>
      </c>
      <c r="F145" s="8">
        <v>2</v>
      </c>
    </row>
    <row r="146" spans="1:6" ht="15.75" customHeight="1" x14ac:dyDescent="0.25">
      <c r="A146" s="4" t="s">
        <v>69</v>
      </c>
      <c r="B146" s="5">
        <v>1001190</v>
      </c>
      <c r="C146" s="6" t="s">
        <v>97</v>
      </c>
      <c r="D146" s="7" t="s">
        <v>10</v>
      </c>
      <c r="E146" s="7" t="str">
        <f t="array" ref="E146">IFERROR(IF(INDEX('de para abc'!$C:$C,MATCH($B146,'de para abc'!$A:$A,0))=0,"C",INDEX('de para abc'!$C:$C,MATCH($B146,'de para abc'!$A:$A,0))),IFERROR(IF(INDEX('de para abc'!$C:$C,MATCH($C146,'de para abc'!$B:$B,0))=0,"C",INDEX('de para abc'!$C:$C,MATCH($C146,'de para abc'!$B:$B,0))),"C"))</f>
        <v>C</v>
      </c>
      <c r="F146" s="8">
        <v>0</v>
      </c>
    </row>
    <row r="147" spans="1:6" ht="15.75" customHeight="1" x14ac:dyDescent="0.25">
      <c r="A147" s="4" t="s">
        <v>69</v>
      </c>
      <c r="B147" s="5">
        <v>1001237</v>
      </c>
      <c r="C147" s="6" t="s">
        <v>268</v>
      </c>
      <c r="D147" s="7" t="s">
        <v>14</v>
      </c>
      <c r="E147" s="7" t="str">
        <f t="array" ref="E147">IFERROR(IF(INDEX('de para abc'!$C:$C,MATCH($B147,'de para abc'!$A:$A,0))=0,"C",INDEX('de para abc'!$C:$C,MATCH($B147,'de para abc'!$A:$A,0))),IFERROR(IF(INDEX('de para abc'!$C:$C,MATCH($C147,'de para abc'!$B:$B,0))=0,"C",INDEX('de para abc'!$C:$C,MATCH($C147,'de para abc'!$B:$B,0))),"C"))</f>
        <v>C</v>
      </c>
      <c r="F147" s="8">
        <v>0</v>
      </c>
    </row>
    <row r="148" spans="1:6" ht="15.75" customHeight="1" x14ac:dyDescent="0.25">
      <c r="A148" s="4" t="s">
        <v>69</v>
      </c>
      <c r="B148" s="5">
        <v>1000140</v>
      </c>
      <c r="C148" s="6" t="s">
        <v>269</v>
      </c>
      <c r="D148" s="7" t="s">
        <v>10</v>
      </c>
      <c r="E148" s="7" t="str">
        <f t="array" ref="E148">IFERROR(IF(INDEX('de para abc'!$C:$C,MATCH($B148,'de para abc'!$A:$A,0))=0,"C",INDEX('de para abc'!$C:$C,MATCH($B148,'de para abc'!$A:$A,0))),IFERROR(IF(INDEX('de para abc'!$C:$C,MATCH($C148,'de para abc'!$B:$B,0))=0,"C",INDEX('de para abc'!$C:$C,MATCH($C148,'de para abc'!$B:$B,0))),"C"))</f>
        <v>C</v>
      </c>
      <c r="F148" s="8">
        <v>5</v>
      </c>
    </row>
    <row r="149" spans="1:6" ht="15.75" customHeight="1" x14ac:dyDescent="0.25">
      <c r="A149" s="4" t="s">
        <v>69</v>
      </c>
      <c r="B149" s="5">
        <v>1002253</v>
      </c>
      <c r="C149" s="6" t="s">
        <v>98</v>
      </c>
      <c r="D149" s="7" t="s">
        <v>18</v>
      </c>
      <c r="E149" s="7" t="str">
        <f t="array" ref="E149">IFERROR(IF(INDEX('de para abc'!$C:$C,MATCH($B149,'de para abc'!$A:$A,0))=0,"C",INDEX('de para abc'!$C:$C,MATCH($B149,'de para abc'!$A:$A,0))),IFERROR(IF(INDEX('de para abc'!$C:$C,MATCH($C149,'de para abc'!$B:$B,0))=0,"C",INDEX('de para abc'!$C:$C,MATCH($C149,'de para abc'!$B:$B,0))),"C"))</f>
        <v>C</v>
      </c>
      <c r="F149" s="8">
        <v>0</v>
      </c>
    </row>
    <row r="150" spans="1:6" ht="15.75" customHeight="1" x14ac:dyDescent="0.25">
      <c r="A150" s="4" t="s">
        <v>69</v>
      </c>
      <c r="B150" s="5">
        <v>1000495</v>
      </c>
      <c r="C150" s="6" t="s">
        <v>270</v>
      </c>
      <c r="D150" s="7" t="s">
        <v>10</v>
      </c>
      <c r="E150" s="7" t="str">
        <f t="array" ref="E150">IFERROR(IF(INDEX('de para abc'!$C:$C,MATCH($B150,'de para abc'!$A:$A,0))=0,"C",INDEX('de para abc'!$C:$C,MATCH($B150,'de para abc'!$A:$A,0))),IFERROR(IF(INDEX('de para abc'!$C:$C,MATCH($C150,'de para abc'!$B:$B,0))=0,"C",INDEX('de para abc'!$C:$C,MATCH($C150,'de para abc'!$B:$B,0))),"C"))</f>
        <v>C</v>
      </c>
      <c r="F150" s="8">
        <v>0</v>
      </c>
    </row>
    <row r="151" spans="1:6" ht="15.75" customHeight="1" x14ac:dyDescent="0.25">
      <c r="A151" s="4" t="s">
        <v>69</v>
      </c>
      <c r="B151" s="5">
        <v>1000146</v>
      </c>
      <c r="C151" s="6" t="s">
        <v>99</v>
      </c>
      <c r="D151" s="7" t="s">
        <v>10</v>
      </c>
      <c r="E151" s="7" t="str">
        <f t="array" ref="E151">IFERROR(IF(INDEX('de para abc'!$C:$C,MATCH($B151,'de para abc'!$A:$A,0))=0,"C",INDEX('de para abc'!$C:$C,MATCH($B151,'de para abc'!$A:$A,0))),IFERROR(IF(INDEX('de para abc'!$C:$C,MATCH($C151,'de para abc'!$B:$B,0))=0,"C",INDEX('de para abc'!$C:$C,MATCH($C151,'de para abc'!$B:$B,0))),"C"))</f>
        <v>C</v>
      </c>
      <c r="F151" s="8">
        <v>5</v>
      </c>
    </row>
    <row r="152" spans="1:6" ht="15.75" customHeight="1" x14ac:dyDescent="0.25">
      <c r="A152" s="4" t="s">
        <v>69</v>
      </c>
      <c r="B152" s="5">
        <v>1002341</v>
      </c>
      <c r="C152" s="6" t="s">
        <v>178</v>
      </c>
      <c r="D152" s="7" t="s">
        <v>18</v>
      </c>
      <c r="E152" s="7" t="str">
        <f t="array" ref="E152">IFERROR(IF(INDEX('de para abc'!$C:$C,MATCH($B152,'de para abc'!$A:$A,0))=0,"C",INDEX('de para abc'!$C:$C,MATCH($B152,'de para abc'!$A:$A,0))),IFERROR(IF(INDEX('de para abc'!$C:$C,MATCH($C152,'de para abc'!$B:$B,0))=0,"C",INDEX('de para abc'!$C:$C,MATCH($C152,'de para abc'!$B:$B,0))),"C"))</f>
        <v>C</v>
      </c>
      <c r="F152" s="8">
        <v>4</v>
      </c>
    </row>
    <row r="153" spans="1:6" ht="15.75" customHeight="1" x14ac:dyDescent="0.25">
      <c r="A153" s="4" t="s">
        <v>69</v>
      </c>
      <c r="B153" s="5">
        <v>1000204</v>
      </c>
      <c r="C153" s="6" t="s">
        <v>178</v>
      </c>
      <c r="D153" s="7" t="s">
        <v>10</v>
      </c>
      <c r="E153" s="7" t="str">
        <f t="array" ref="E153">IFERROR(IF(INDEX('de para abc'!$C:$C,MATCH($B153,'de para abc'!$A:$A,0))=0,"C",INDEX('de para abc'!$C:$C,MATCH($B153,'de para abc'!$A:$A,0))),IFERROR(IF(INDEX('de para abc'!$C:$C,MATCH($C153,'de para abc'!$B:$B,0))=0,"C",INDEX('de para abc'!$C:$C,MATCH($C153,'de para abc'!$B:$B,0))),"C"))</f>
        <v>C</v>
      </c>
      <c r="F153" s="8">
        <v>0</v>
      </c>
    </row>
    <row r="154" spans="1:6" ht="15.75" customHeight="1" x14ac:dyDescent="0.25">
      <c r="A154" s="4" t="s">
        <v>69</v>
      </c>
      <c r="B154" s="5">
        <v>1002262</v>
      </c>
      <c r="C154" s="6" t="s">
        <v>178</v>
      </c>
      <c r="D154" s="7" t="s">
        <v>101</v>
      </c>
      <c r="E154" s="7" t="str">
        <f t="array" ref="E154">IFERROR(IF(INDEX('de para abc'!$C:$C,MATCH($B154,'de para abc'!$A:$A,0))=0,"C",INDEX('de para abc'!$C:$C,MATCH($B154,'de para abc'!$A:$A,0))),IFERROR(IF(INDEX('de para abc'!$C:$C,MATCH($C154,'de para abc'!$B:$B,0))=0,"C",INDEX('de para abc'!$C:$C,MATCH($C154,'de para abc'!$B:$B,0))),"C"))</f>
        <v>C</v>
      </c>
      <c r="F154" s="8">
        <v>0</v>
      </c>
    </row>
    <row r="155" spans="1:6" ht="15.75" customHeight="1" x14ac:dyDescent="0.25">
      <c r="A155" s="4" t="s">
        <v>69</v>
      </c>
      <c r="B155" s="5">
        <v>1000206</v>
      </c>
      <c r="C155" s="6" t="s">
        <v>102</v>
      </c>
      <c r="D155" s="7" t="s">
        <v>10</v>
      </c>
      <c r="E155" s="7" t="str">
        <f t="array" ref="E155">IFERROR(IF(INDEX('de para abc'!$C:$C,MATCH($B155,'de para abc'!$A:$A,0))=0,"C",INDEX('de para abc'!$C:$C,MATCH($B155,'de para abc'!$A:$A,0))),IFERROR(IF(INDEX('de para abc'!$C:$C,MATCH($C155,'de para abc'!$B:$B,0))=0,"C",INDEX('de para abc'!$C:$C,MATCH($C155,'de para abc'!$B:$B,0))),"C"))</f>
        <v>C</v>
      </c>
      <c r="F155" s="8">
        <v>3</v>
      </c>
    </row>
    <row r="156" spans="1:6" ht="15.75" customHeight="1" x14ac:dyDescent="0.25">
      <c r="A156" s="4" t="s">
        <v>69</v>
      </c>
      <c r="B156" s="5">
        <v>1001254</v>
      </c>
      <c r="C156" s="6" t="s">
        <v>271</v>
      </c>
      <c r="D156" s="7" t="s">
        <v>14</v>
      </c>
      <c r="E156" s="7" t="str">
        <f t="array" ref="E156">IFERROR(IF(INDEX('de para abc'!$C:$C,MATCH($B156,'de para abc'!$A:$A,0))=0,"C",INDEX('de para abc'!$C:$C,MATCH($B156,'de para abc'!$A:$A,0))),IFERROR(IF(INDEX('de para abc'!$C:$C,MATCH($C156,'de para abc'!$B:$B,0))=0,"C",INDEX('de para abc'!$C:$C,MATCH($C156,'de para abc'!$B:$B,0))),"C"))</f>
        <v>C</v>
      </c>
      <c r="F156" s="8">
        <v>0</v>
      </c>
    </row>
    <row r="157" spans="1:6" ht="15.75" customHeight="1" x14ac:dyDescent="0.25">
      <c r="A157" s="4" t="s">
        <v>69</v>
      </c>
      <c r="B157" s="5">
        <v>1000208</v>
      </c>
      <c r="C157" s="6" t="s">
        <v>103</v>
      </c>
      <c r="D157" s="7" t="s">
        <v>14</v>
      </c>
      <c r="E157" s="7" t="str">
        <f t="array" ref="E157">IFERROR(IF(INDEX('de para abc'!$C:$C,MATCH($B157,'de para abc'!$A:$A,0))=0,"C",INDEX('de para abc'!$C:$C,MATCH($B157,'de para abc'!$A:$A,0))),IFERROR(IF(INDEX('de para abc'!$C:$C,MATCH($C157,'de para abc'!$B:$B,0))=0,"C",INDEX('de para abc'!$C:$C,MATCH($C157,'de para abc'!$B:$B,0))),"C"))</f>
        <v>C</v>
      </c>
      <c r="F157" s="8">
        <v>0</v>
      </c>
    </row>
    <row r="158" spans="1:6" ht="15.75" customHeight="1" x14ac:dyDescent="0.25">
      <c r="A158" s="4" t="s">
        <v>69</v>
      </c>
      <c r="B158" s="5">
        <v>1000209</v>
      </c>
      <c r="C158" s="6" t="s">
        <v>179</v>
      </c>
      <c r="D158" s="7" t="s">
        <v>14</v>
      </c>
      <c r="E158" s="7" t="str">
        <f t="array" ref="E158">IFERROR(IF(INDEX('de para abc'!$C:$C,MATCH($B158,'de para abc'!$A:$A,0))=0,"C",INDEX('de para abc'!$C:$C,MATCH($B158,'de para abc'!$A:$A,0))),IFERROR(IF(INDEX('de para abc'!$C:$C,MATCH($C158,'de para abc'!$B:$B,0))=0,"C",INDEX('de para abc'!$C:$C,MATCH($C158,'de para abc'!$B:$B,0))),"C"))</f>
        <v>C</v>
      </c>
      <c r="F158" s="8">
        <v>0</v>
      </c>
    </row>
    <row r="159" spans="1:6" ht="15.75" customHeight="1" x14ac:dyDescent="0.25">
      <c r="A159" s="4" t="s">
        <v>69</v>
      </c>
      <c r="B159" s="5">
        <v>1001282</v>
      </c>
      <c r="C159" s="6" t="s">
        <v>272</v>
      </c>
      <c r="D159" s="7" t="s">
        <v>273</v>
      </c>
      <c r="E159" s="7" t="str">
        <f t="array" ref="E159">IFERROR(IF(INDEX('de para abc'!$C:$C,MATCH($B159,'de para abc'!$A:$A,0))=0,"C",INDEX('de para abc'!$C:$C,MATCH($B159,'de para abc'!$A:$A,0))),IFERROR(IF(INDEX('de para abc'!$C:$C,MATCH($C159,'de para abc'!$B:$B,0))=0,"C",INDEX('de para abc'!$C:$C,MATCH($C159,'de para abc'!$B:$B,0))),"C"))</f>
        <v>C</v>
      </c>
      <c r="F159" s="8">
        <v>0</v>
      </c>
    </row>
    <row r="160" spans="1:6" ht="15.75" customHeight="1" x14ac:dyDescent="0.25">
      <c r="A160" s="4" t="s">
        <v>69</v>
      </c>
      <c r="B160" s="5">
        <v>1001102</v>
      </c>
      <c r="C160" s="6" t="s">
        <v>274</v>
      </c>
      <c r="D160" s="7" t="s">
        <v>273</v>
      </c>
      <c r="E160" s="7" t="str">
        <f t="array" ref="E160">IFERROR(IF(INDEX('de para abc'!$C:$C,MATCH($B160,'de para abc'!$A:$A,0))=0,"C",INDEX('de para abc'!$C:$C,MATCH($B160,'de para abc'!$A:$A,0))),IFERROR(IF(INDEX('de para abc'!$C:$C,MATCH($C160,'de para abc'!$B:$B,0))=0,"C",INDEX('de para abc'!$C:$C,MATCH($C160,'de para abc'!$B:$B,0))),"C"))</f>
        <v>B</v>
      </c>
      <c r="F160" s="8">
        <v>2</v>
      </c>
    </row>
    <row r="161" spans="1:6" ht="15.75" customHeight="1" x14ac:dyDescent="0.25">
      <c r="A161" s="4" t="s">
        <v>69</v>
      </c>
      <c r="B161" s="5">
        <v>1006151</v>
      </c>
      <c r="C161" s="6" t="s">
        <v>275</v>
      </c>
      <c r="D161" s="7" t="s">
        <v>273</v>
      </c>
      <c r="E161" s="7" t="str">
        <f t="array" ref="E161">IFERROR(IF(INDEX('de para abc'!$C:$C,MATCH($B161,'de para abc'!$A:$A,0))=0,"C",INDEX('de para abc'!$C:$C,MATCH($B161,'de para abc'!$A:$A,0))),IFERROR(IF(INDEX('de para abc'!$C:$C,MATCH($C161,'de para abc'!$B:$B,0))=0,"C",INDEX('de para abc'!$C:$C,MATCH($C161,'de para abc'!$B:$B,0))),"C"))</f>
        <v>C</v>
      </c>
      <c r="F161" s="8">
        <v>0</v>
      </c>
    </row>
    <row r="162" spans="1:6" ht="15.75" customHeight="1" x14ac:dyDescent="0.25">
      <c r="A162" s="4" t="s">
        <v>69</v>
      </c>
      <c r="B162" s="5">
        <v>1002368</v>
      </c>
      <c r="C162" s="6" t="s">
        <v>276</v>
      </c>
      <c r="D162" s="7" t="s">
        <v>18</v>
      </c>
      <c r="E162" s="7" t="str">
        <f t="array" ref="E162">IFERROR(IF(INDEX('de para abc'!$C:$C,MATCH($B162,'de para abc'!$A:$A,0))=0,"C",INDEX('de para abc'!$C:$C,MATCH($B162,'de para abc'!$A:$A,0))),IFERROR(IF(INDEX('de para abc'!$C:$C,MATCH($C162,'de para abc'!$B:$B,0))=0,"C",INDEX('de para abc'!$C:$C,MATCH($C162,'de para abc'!$B:$B,0))),"C"))</f>
        <v>C</v>
      </c>
      <c r="F162" s="8">
        <v>0</v>
      </c>
    </row>
    <row r="163" spans="1:6" ht="15.75" customHeight="1" x14ac:dyDescent="0.25">
      <c r="A163" s="4" t="s">
        <v>69</v>
      </c>
      <c r="B163" s="5">
        <v>1001854</v>
      </c>
      <c r="C163" s="6" t="s">
        <v>105</v>
      </c>
      <c r="D163" s="7" t="s">
        <v>10</v>
      </c>
      <c r="E163" s="7" t="str">
        <f t="array" ref="E163">IFERROR(IF(INDEX('de para abc'!$C:$C,MATCH($B163,'de para abc'!$A:$A,0))=0,"C",INDEX('de para abc'!$C:$C,MATCH($B163,'de para abc'!$A:$A,0))),IFERROR(IF(INDEX('de para abc'!$C:$C,MATCH($C163,'de para abc'!$B:$B,0))=0,"C",INDEX('de para abc'!$C:$C,MATCH($C163,'de para abc'!$B:$B,0))),"C"))</f>
        <v>C</v>
      </c>
      <c r="F163" s="8">
        <v>0</v>
      </c>
    </row>
    <row r="164" spans="1:6" ht="15.75" customHeight="1" x14ac:dyDescent="0.25">
      <c r="A164" s="4" t="s">
        <v>69</v>
      </c>
      <c r="B164" s="5" t="str">
        <f t="array" ref="B164">IFERROR(INDEX('de para codigo'!$A:$A,MATCH($C164,'de para codigo'!$B:$B,0)),"N/D")</f>
        <v>N/D</v>
      </c>
      <c r="C164" s="6" t="s">
        <v>277</v>
      </c>
      <c r="D164" s="7" t="s">
        <v>18</v>
      </c>
      <c r="E164" s="7" t="str">
        <f t="array" ref="E164">IFERROR(IF(INDEX('de para abc'!$C:$C,MATCH($B164,'de para abc'!$A:$A,0))=0,"C",INDEX('de para abc'!$C:$C,MATCH($B164,'de para abc'!$A:$A,0))),IFERROR(IF(INDEX('de para abc'!$C:$C,MATCH($C164,'de para abc'!$B:$B,0))=0,"C",INDEX('de para abc'!$C:$C,MATCH($C164,'de para abc'!$B:$B,0))),"C"))</f>
        <v>C</v>
      </c>
      <c r="F164" s="8">
        <v>4</v>
      </c>
    </row>
    <row r="165" spans="1:6" ht="15.75" customHeight="1" x14ac:dyDescent="0.25">
      <c r="A165" s="4" t="s">
        <v>69</v>
      </c>
      <c r="B165" s="5">
        <v>1006134</v>
      </c>
      <c r="C165" s="6" t="s">
        <v>278</v>
      </c>
      <c r="D165" s="7" t="s">
        <v>18</v>
      </c>
      <c r="E165" s="7" t="str">
        <f t="array" ref="E165">IFERROR(IF(INDEX('de para abc'!$C:$C,MATCH($B165,'de para abc'!$A:$A,0))=0,"C",INDEX('de para abc'!$C:$C,MATCH($B165,'de para abc'!$A:$A,0))),IFERROR(IF(INDEX('de para abc'!$C:$C,MATCH($C165,'de para abc'!$B:$B,0))=0,"C",INDEX('de para abc'!$C:$C,MATCH($C165,'de para abc'!$B:$B,0))),"C"))</f>
        <v>C</v>
      </c>
      <c r="F165" s="8">
        <v>0</v>
      </c>
    </row>
    <row r="166" spans="1:6" ht="15.75" customHeight="1" x14ac:dyDescent="0.25">
      <c r="A166" s="4" t="s">
        <v>69</v>
      </c>
      <c r="B166" s="5" t="str">
        <f t="array" ref="B166">IFERROR(INDEX('de para codigo'!$A:$A,MATCH($C166,'de para codigo'!$B:$B,0)),"N/D")</f>
        <v>N/D</v>
      </c>
      <c r="C166" s="6" t="s">
        <v>279</v>
      </c>
      <c r="D166" s="7" t="s">
        <v>18</v>
      </c>
      <c r="E166" s="7" t="str">
        <f t="array" ref="E166">IFERROR(IF(INDEX('de para abc'!$C:$C,MATCH($B166,'de para abc'!$A:$A,0))=0,"C",INDEX('de para abc'!$C:$C,MATCH($B166,'de para abc'!$A:$A,0))),IFERROR(IF(INDEX('de para abc'!$C:$C,MATCH($C166,'de para abc'!$B:$B,0))=0,"C",INDEX('de para abc'!$C:$C,MATCH($C166,'de para abc'!$B:$B,0))),"C"))</f>
        <v>C</v>
      </c>
      <c r="F166" s="8">
        <v>3</v>
      </c>
    </row>
    <row r="167" spans="1:6" ht="15.75" customHeight="1" x14ac:dyDescent="0.25">
      <c r="A167" s="4" t="s">
        <v>69</v>
      </c>
      <c r="B167" s="5">
        <v>1001855</v>
      </c>
      <c r="C167" s="6" t="s">
        <v>280</v>
      </c>
      <c r="D167" s="7" t="s">
        <v>18</v>
      </c>
      <c r="E167" s="7" t="str">
        <f t="array" ref="E167">IFERROR(IF(INDEX('de para abc'!$C:$C,MATCH($B167,'de para abc'!$A:$A,0))=0,"C",INDEX('de para abc'!$C:$C,MATCH($B167,'de para abc'!$A:$A,0))),IFERROR(IF(INDEX('de para abc'!$C:$C,MATCH($C167,'de para abc'!$B:$B,0))=0,"C",INDEX('de para abc'!$C:$C,MATCH($C167,'de para abc'!$B:$B,0))),"C"))</f>
        <v>C</v>
      </c>
      <c r="F167" s="8">
        <v>4</v>
      </c>
    </row>
    <row r="168" spans="1:6" ht="15.75" customHeight="1" x14ac:dyDescent="0.25">
      <c r="A168" s="4" t="s">
        <v>69</v>
      </c>
      <c r="B168" s="5">
        <v>1002378</v>
      </c>
      <c r="C168" s="6" t="s">
        <v>281</v>
      </c>
      <c r="D168" s="7" t="s">
        <v>18</v>
      </c>
      <c r="E168" s="7" t="str">
        <f t="array" ref="E168">IFERROR(IF(INDEX('de para abc'!$C:$C,MATCH($B168,'de para abc'!$A:$A,0))=0,"C",INDEX('de para abc'!$C:$C,MATCH($B168,'de para abc'!$A:$A,0))),IFERROR(IF(INDEX('de para abc'!$C:$C,MATCH($C168,'de para abc'!$B:$B,0))=0,"C",INDEX('de para abc'!$C:$C,MATCH($C168,'de para abc'!$B:$B,0))),"C"))</f>
        <v>C</v>
      </c>
      <c r="F168" s="8">
        <v>3</v>
      </c>
    </row>
    <row r="169" spans="1:6" ht="15.75" customHeight="1" x14ac:dyDescent="0.25">
      <c r="A169" s="4" t="s">
        <v>69</v>
      </c>
      <c r="B169" s="5">
        <v>1006179</v>
      </c>
      <c r="C169" s="6" t="s">
        <v>106</v>
      </c>
      <c r="D169" s="7" t="s">
        <v>18</v>
      </c>
      <c r="E169" s="7" t="str">
        <f t="array" ref="E169">IFERROR(IF(INDEX('de para abc'!$C:$C,MATCH($B169,'de para abc'!$A:$A,0))=0,"C",INDEX('de para abc'!$C:$C,MATCH($B169,'de para abc'!$A:$A,0))),IFERROR(IF(INDEX('de para abc'!$C:$C,MATCH($C169,'de para abc'!$B:$B,0))=0,"C",INDEX('de para abc'!$C:$C,MATCH($C169,'de para abc'!$B:$B,0))),"C"))</f>
        <v>C</v>
      </c>
      <c r="F169" s="8">
        <v>0</v>
      </c>
    </row>
    <row r="170" spans="1:6" ht="15.75" customHeight="1" x14ac:dyDescent="0.25">
      <c r="A170" s="4" t="s">
        <v>69</v>
      </c>
      <c r="B170" s="5">
        <v>1001926</v>
      </c>
      <c r="C170" s="6" t="s">
        <v>282</v>
      </c>
      <c r="D170" s="7" t="s">
        <v>18</v>
      </c>
      <c r="E170" s="7" t="str">
        <f t="array" ref="E170">IFERROR(IF(INDEX('de para abc'!$C:$C,MATCH($B170,'de para abc'!$A:$A,0))=0,"C",INDEX('de para abc'!$C:$C,MATCH($B170,'de para abc'!$A:$A,0))),IFERROR(IF(INDEX('de para abc'!$C:$C,MATCH($C170,'de para abc'!$B:$B,0))=0,"C",INDEX('de para abc'!$C:$C,MATCH($C170,'de para abc'!$B:$B,0))),"C"))</f>
        <v>C</v>
      </c>
      <c r="F170" s="8">
        <v>0</v>
      </c>
    </row>
    <row r="171" spans="1:6" ht="15.75" customHeight="1" x14ac:dyDescent="0.25">
      <c r="A171" s="4" t="s">
        <v>69</v>
      </c>
      <c r="B171" s="5">
        <v>1001923</v>
      </c>
      <c r="C171" s="6" t="s">
        <v>107</v>
      </c>
      <c r="D171" s="7" t="s">
        <v>18</v>
      </c>
      <c r="E171" s="7" t="str">
        <f t="array" ref="E171">IFERROR(IF(INDEX('de para abc'!$C:$C,MATCH($B171,'de para abc'!$A:$A,0))=0,"C",INDEX('de para abc'!$C:$C,MATCH($B171,'de para abc'!$A:$A,0))),IFERROR(IF(INDEX('de para abc'!$C:$C,MATCH($C171,'de para abc'!$B:$B,0))=0,"C",INDEX('de para abc'!$C:$C,MATCH($C171,'de para abc'!$B:$B,0))),"C"))</f>
        <v>C</v>
      </c>
      <c r="F171" s="8">
        <v>0</v>
      </c>
    </row>
    <row r="172" spans="1:6" ht="15.75" customHeight="1" x14ac:dyDescent="0.25">
      <c r="A172" s="4" t="s">
        <v>69</v>
      </c>
      <c r="B172" s="5">
        <v>1001924</v>
      </c>
      <c r="C172" s="6" t="s">
        <v>283</v>
      </c>
      <c r="D172" s="7" t="s">
        <v>18</v>
      </c>
      <c r="E172" s="7" t="str">
        <f t="array" ref="E172">IFERROR(IF(INDEX('de para abc'!$C:$C,MATCH($B172,'de para abc'!$A:$A,0))=0,"C",INDEX('de para abc'!$C:$C,MATCH($B172,'de para abc'!$A:$A,0))),IFERROR(IF(INDEX('de para abc'!$C:$C,MATCH($C172,'de para abc'!$B:$B,0))=0,"C",INDEX('de para abc'!$C:$C,MATCH($C172,'de para abc'!$B:$B,0))),"C"))</f>
        <v>C</v>
      </c>
      <c r="F172" s="8">
        <v>0</v>
      </c>
    </row>
    <row r="173" spans="1:6" ht="15.75" customHeight="1" x14ac:dyDescent="0.25">
      <c r="A173" s="4" t="s">
        <v>69</v>
      </c>
      <c r="B173" s="5">
        <v>1001925</v>
      </c>
      <c r="C173" s="6" t="s">
        <v>108</v>
      </c>
      <c r="D173" s="7" t="s">
        <v>18</v>
      </c>
      <c r="E173" s="7" t="str">
        <f t="array" ref="E173">IFERROR(IF(INDEX('de para abc'!$C:$C,MATCH($B173,'de para abc'!$A:$A,0))=0,"C",INDEX('de para abc'!$C:$C,MATCH($B173,'de para abc'!$A:$A,0))),IFERROR(IF(INDEX('de para abc'!$C:$C,MATCH($C173,'de para abc'!$B:$B,0))=0,"C",INDEX('de para abc'!$C:$C,MATCH($C173,'de para abc'!$B:$B,0))),"C"))</f>
        <v>C</v>
      </c>
      <c r="F173" s="8">
        <v>0</v>
      </c>
    </row>
    <row r="174" spans="1:6" ht="15.75" customHeight="1" x14ac:dyDescent="0.25">
      <c r="A174" s="4" t="s">
        <v>69</v>
      </c>
      <c r="B174" s="5">
        <v>1002238</v>
      </c>
      <c r="C174" s="6" t="s">
        <v>109</v>
      </c>
      <c r="D174" s="7" t="s">
        <v>18</v>
      </c>
      <c r="E174" s="7" t="str">
        <f t="array" ref="E174">IFERROR(IF(INDEX('de para abc'!$C:$C,MATCH($B174,'de para abc'!$A:$A,0))=0,"C",INDEX('de para abc'!$C:$C,MATCH($B174,'de para abc'!$A:$A,0))),IFERROR(IF(INDEX('de para abc'!$C:$C,MATCH($C174,'de para abc'!$B:$B,0))=0,"C",INDEX('de para abc'!$C:$C,MATCH($C174,'de para abc'!$B:$B,0))),"C"))</f>
        <v>C</v>
      </c>
      <c r="F174" s="8">
        <v>0</v>
      </c>
    </row>
    <row r="175" spans="1:6" ht="15.75" customHeight="1" x14ac:dyDescent="0.25">
      <c r="A175" s="4" t="s">
        <v>69</v>
      </c>
      <c r="B175" s="5">
        <v>1002239</v>
      </c>
      <c r="C175" s="6" t="s">
        <v>110</v>
      </c>
      <c r="D175" s="7" t="s">
        <v>18</v>
      </c>
      <c r="E175" s="7" t="str">
        <f t="array" ref="E175">IFERROR(IF(INDEX('de para abc'!$C:$C,MATCH($B175,'de para abc'!$A:$A,0))=0,"C",INDEX('de para abc'!$C:$C,MATCH($B175,'de para abc'!$A:$A,0))),IFERROR(IF(INDEX('de para abc'!$C:$C,MATCH($C175,'de para abc'!$B:$B,0))=0,"C",INDEX('de para abc'!$C:$C,MATCH($C175,'de para abc'!$B:$B,0))),"C"))</f>
        <v>C</v>
      </c>
      <c r="F175" s="8">
        <v>0</v>
      </c>
    </row>
    <row r="176" spans="1:6" ht="15.75" customHeight="1" x14ac:dyDescent="0.25">
      <c r="A176" s="4" t="s">
        <v>69</v>
      </c>
      <c r="B176" s="5">
        <v>1002236</v>
      </c>
      <c r="C176" s="6" t="s">
        <v>284</v>
      </c>
      <c r="D176" s="7" t="s">
        <v>18</v>
      </c>
      <c r="E176" s="7" t="str">
        <f t="array" ref="E176">IFERROR(IF(INDEX('de para abc'!$C:$C,MATCH($B176,'de para abc'!$A:$A,0))=0,"C",INDEX('de para abc'!$C:$C,MATCH($B176,'de para abc'!$A:$A,0))),IFERROR(IF(INDEX('de para abc'!$C:$C,MATCH($C176,'de para abc'!$B:$B,0))=0,"C",INDEX('de para abc'!$C:$C,MATCH($C176,'de para abc'!$B:$B,0))),"C"))</f>
        <v>C</v>
      </c>
      <c r="F176" s="8">
        <v>0</v>
      </c>
    </row>
    <row r="177" spans="1:6" ht="15.75" customHeight="1" x14ac:dyDescent="0.25">
      <c r="A177" s="4" t="s">
        <v>69</v>
      </c>
      <c r="B177" s="5">
        <v>1002237</v>
      </c>
      <c r="C177" s="6" t="s">
        <v>285</v>
      </c>
      <c r="D177" s="7" t="s">
        <v>18</v>
      </c>
      <c r="E177" s="7" t="str">
        <f t="array" ref="E177">IFERROR(IF(INDEX('de para abc'!$C:$C,MATCH($B177,'de para abc'!$A:$A,0))=0,"C",INDEX('de para abc'!$C:$C,MATCH($B177,'de para abc'!$A:$A,0))),IFERROR(IF(INDEX('de para abc'!$C:$C,MATCH($C177,'de para abc'!$B:$B,0))=0,"C",INDEX('de para abc'!$C:$C,MATCH($C177,'de para abc'!$B:$B,0))),"C"))</f>
        <v>C</v>
      </c>
      <c r="F177" s="8">
        <v>0</v>
      </c>
    </row>
    <row r="178" spans="1:6" ht="15.75" customHeight="1" x14ac:dyDescent="0.25">
      <c r="A178" s="4" t="s">
        <v>69</v>
      </c>
      <c r="B178" s="5">
        <v>1000305</v>
      </c>
      <c r="C178" s="6" t="s">
        <v>111</v>
      </c>
      <c r="D178" s="7" t="s">
        <v>10</v>
      </c>
      <c r="E178" s="7" t="str">
        <f t="array" ref="E178">IFERROR(IF(INDEX('de para abc'!$C:$C,MATCH($B178,'de para abc'!$A:$A,0))=0,"C",INDEX('de para abc'!$C:$C,MATCH($B178,'de para abc'!$A:$A,0))),IFERROR(IF(INDEX('de para abc'!$C:$C,MATCH($C178,'de para abc'!$B:$B,0))=0,"C",INDEX('de para abc'!$C:$C,MATCH($C178,'de para abc'!$B:$B,0))),"C"))</f>
        <v>C</v>
      </c>
      <c r="F178" s="8">
        <v>0</v>
      </c>
    </row>
    <row r="179" spans="1:6" ht="15.75" customHeight="1" x14ac:dyDescent="0.25">
      <c r="A179" s="4" t="s">
        <v>69</v>
      </c>
      <c r="B179" s="5">
        <v>1000319</v>
      </c>
      <c r="C179" s="6" t="s">
        <v>54</v>
      </c>
      <c r="D179" s="7" t="s">
        <v>14</v>
      </c>
      <c r="E179" s="7" t="str">
        <f t="array" ref="E179">IFERROR(IF(INDEX('de para abc'!$C:$C,MATCH($B179,'de para abc'!$A:$A,0))=0,"C",INDEX('de para abc'!$C:$C,MATCH($B179,'de para abc'!$A:$A,0))),IFERROR(IF(INDEX('de para abc'!$C:$C,MATCH($C179,'de para abc'!$B:$B,0))=0,"C",INDEX('de para abc'!$C:$C,MATCH($C179,'de para abc'!$B:$B,0))),"C"))</f>
        <v>A</v>
      </c>
      <c r="F179" s="8">
        <v>0</v>
      </c>
    </row>
    <row r="180" spans="1:6" ht="15.75" customHeight="1" x14ac:dyDescent="0.25">
      <c r="A180" s="4" t="s">
        <v>69</v>
      </c>
      <c r="B180" s="5">
        <v>1001274</v>
      </c>
      <c r="C180" s="6" t="s">
        <v>286</v>
      </c>
      <c r="D180" s="7" t="s">
        <v>14</v>
      </c>
      <c r="E180" s="7" t="str">
        <f t="array" ref="E180">IFERROR(IF(INDEX('de para abc'!$C:$C,MATCH($B180,'de para abc'!$A:$A,0))=0,"C",INDEX('de para abc'!$C:$C,MATCH($B180,'de para abc'!$A:$A,0))),IFERROR(IF(INDEX('de para abc'!$C:$C,MATCH($C180,'de para abc'!$B:$B,0))=0,"C",INDEX('de para abc'!$C:$C,MATCH($C180,'de para abc'!$B:$B,0))),"C"))</f>
        <v>C</v>
      </c>
      <c r="F180" s="8">
        <v>0</v>
      </c>
    </row>
    <row r="181" spans="1:6" ht="15.75" customHeight="1" x14ac:dyDescent="0.25">
      <c r="A181" s="4" t="s">
        <v>69</v>
      </c>
      <c r="B181" s="5">
        <v>1000665</v>
      </c>
      <c r="C181" s="6" t="s">
        <v>113</v>
      </c>
      <c r="D181" s="7" t="s">
        <v>71</v>
      </c>
      <c r="E181" s="7" t="str">
        <f t="array" ref="E181">IFERROR(IF(INDEX('de para abc'!$C:$C,MATCH($B181,'de para abc'!$A:$A,0))=0,"C",INDEX('de para abc'!$C:$C,MATCH($B181,'de para abc'!$A:$A,0))),IFERROR(IF(INDEX('de para abc'!$C:$C,MATCH($C181,'de para abc'!$B:$B,0))=0,"C",INDEX('de para abc'!$C:$C,MATCH($C181,'de para abc'!$B:$B,0))),"C"))</f>
        <v>C</v>
      </c>
      <c r="F181" s="8">
        <v>1</v>
      </c>
    </row>
    <row r="182" spans="1:6" ht="15.75" customHeight="1" x14ac:dyDescent="0.25">
      <c r="A182" s="4" t="s">
        <v>69</v>
      </c>
      <c r="B182" s="5">
        <v>1000327</v>
      </c>
      <c r="C182" s="6" t="s">
        <v>114</v>
      </c>
      <c r="D182" s="7" t="s">
        <v>71</v>
      </c>
      <c r="E182" s="7" t="str">
        <f t="array" ref="E182">IFERROR(IF(INDEX('de para abc'!$C:$C,MATCH($B182,'de para abc'!$A:$A,0))=0,"C",INDEX('de para abc'!$C:$C,MATCH($B182,'de para abc'!$A:$A,0))),IFERROR(IF(INDEX('de para abc'!$C:$C,MATCH($C182,'de para abc'!$B:$B,0))=0,"C",INDEX('de para abc'!$C:$C,MATCH($C182,'de para abc'!$B:$B,0))),"C"))</f>
        <v>C</v>
      </c>
      <c r="F182" s="8">
        <v>0</v>
      </c>
    </row>
    <row r="183" spans="1:6" ht="15.75" customHeight="1" x14ac:dyDescent="0.25">
      <c r="A183" s="4" t="s">
        <v>69</v>
      </c>
      <c r="B183" s="5">
        <v>1006150</v>
      </c>
      <c r="C183" s="6" t="s">
        <v>115</v>
      </c>
      <c r="D183" s="7" t="s">
        <v>71</v>
      </c>
      <c r="E183" s="7" t="str">
        <f t="array" ref="E183">IFERROR(IF(INDEX('de para abc'!$C:$C,MATCH($B183,'de para abc'!$A:$A,0))=0,"C",INDEX('de para abc'!$C:$C,MATCH($B183,'de para abc'!$A:$A,0))),IFERROR(IF(INDEX('de para abc'!$C:$C,MATCH($C183,'de para abc'!$B:$B,0))=0,"C",INDEX('de para abc'!$C:$C,MATCH($C183,'de para abc'!$B:$B,0))),"C"))</f>
        <v>C</v>
      </c>
      <c r="F183" s="8">
        <v>2</v>
      </c>
    </row>
    <row r="184" spans="1:6" ht="15.75" customHeight="1" x14ac:dyDescent="0.25">
      <c r="A184" s="4" t="s">
        <v>69</v>
      </c>
      <c r="B184" s="5">
        <v>1001240</v>
      </c>
      <c r="C184" s="6" t="s">
        <v>287</v>
      </c>
      <c r="D184" s="7" t="s">
        <v>10</v>
      </c>
      <c r="E184" s="7" t="str">
        <f t="array" ref="E184">IFERROR(IF(INDEX('de para abc'!$C:$C,MATCH($B184,'de para abc'!$A:$A,0))=0,"C",INDEX('de para abc'!$C:$C,MATCH($B184,'de para abc'!$A:$A,0))),IFERROR(IF(INDEX('de para abc'!$C:$C,MATCH($C184,'de para abc'!$B:$B,0))=0,"C",INDEX('de para abc'!$C:$C,MATCH($C184,'de para abc'!$B:$B,0))),"C"))</f>
        <v>C</v>
      </c>
      <c r="F184" s="8">
        <v>0</v>
      </c>
    </row>
    <row r="185" spans="1:6" ht="15.75" customHeight="1" x14ac:dyDescent="0.25">
      <c r="A185" s="4" t="s">
        <v>69</v>
      </c>
      <c r="B185" s="5">
        <v>1001199</v>
      </c>
      <c r="C185" s="6" t="s">
        <v>288</v>
      </c>
      <c r="D185" s="7" t="s">
        <v>71</v>
      </c>
      <c r="E185" s="7" t="str">
        <f t="array" ref="E185">IFERROR(IF(INDEX('de para abc'!$C:$C,MATCH($B185,'de para abc'!$A:$A,0))=0,"C",INDEX('de para abc'!$C:$C,MATCH($B185,'de para abc'!$A:$A,0))),IFERROR(IF(INDEX('de para abc'!$C:$C,MATCH($C185,'de para abc'!$B:$B,0))=0,"C",INDEX('de para abc'!$C:$C,MATCH($C185,'de para abc'!$B:$B,0))),"C"))</f>
        <v>C</v>
      </c>
      <c r="F185" s="8">
        <v>0</v>
      </c>
    </row>
    <row r="186" spans="1:6" ht="15.75" customHeight="1" x14ac:dyDescent="0.25">
      <c r="A186" s="4" t="s">
        <v>69</v>
      </c>
      <c r="B186" s="5">
        <v>1000332</v>
      </c>
      <c r="C186" s="6" t="s">
        <v>184</v>
      </c>
      <c r="D186" s="7" t="s">
        <v>71</v>
      </c>
      <c r="E186" s="7" t="str">
        <f t="array" ref="E186">IFERROR(IF(INDEX('de para abc'!$C:$C,MATCH($B186,'de para abc'!$A:$A,0))=0,"C",INDEX('de para abc'!$C:$C,MATCH($B186,'de para abc'!$A:$A,0))),IFERROR(IF(INDEX('de para abc'!$C:$C,MATCH($C186,'de para abc'!$B:$B,0))=0,"C",INDEX('de para abc'!$C:$C,MATCH($C186,'de para abc'!$B:$B,0))),"C"))</f>
        <v>C</v>
      </c>
      <c r="F186" s="8">
        <v>1</v>
      </c>
    </row>
    <row r="187" spans="1:6" ht="15.75" customHeight="1" x14ac:dyDescent="0.25">
      <c r="A187" s="4" t="s">
        <v>69</v>
      </c>
      <c r="B187" s="5">
        <v>1002100</v>
      </c>
      <c r="C187" s="6" t="s">
        <v>289</v>
      </c>
      <c r="D187" s="7" t="s">
        <v>101</v>
      </c>
      <c r="E187" s="7" t="str">
        <f t="array" ref="E187">IFERROR(IF(INDEX('de para abc'!$C:$C,MATCH($B187,'de para abc'!$A:$A,0))=0,"C",INDEX('de para abc'!$C:$C,MATCH($B187,'de para abc'!$A:$A,0))),IFERROR(IF(INDEX('de para abc'!$C:$C,MATCH($C187,'de para abc'!$B:$B,0))=0,"C",INDEX('de para abc'!$C:$C,MATCH($C187,'de para abc'!$B:$B,0))),"C"))</f>
        <v>C</v>
      </c>
      <c r="F187" s="8">
        <v>0</v>
      </c>
    </row>
    <row r="188" spans="1:6" ht="15.75" customHeight="1" x14ac:dyDescent="0.25">
      <c r="A188" s="4" t="s">
        <v>69</v>
      </c>
      <c r="B188" s="5">
        <v>1001852</v>
      </c>
      <c r="C188" s="6" t="s">
        <v>185</v>
      </c>
      <c r="D188" s="7" t="s">
        <v>10</v>
      </c>
      <c r="E188" s="7" t="str">
        <f t="array" ref="E188">IFERROR(IF(INDEX('de para abc'!$C:$C,MATCH($B188,'de para abc'!$A:$A,0))=0,"C",INDEX('de para abc'!$C:$C,MATCH($B188,'de para abc'!$A:$A,0))),IFERROR(IF(INDEX('de para abc'!$C:$C,MATCH($C188,'de para abc'!$B:$B,0))=0,"C",INDEX('de para abc'!$C:$C,MATCH($C188,'de para abc'!$B:$B,0))),"C"))</f>
        <v>C</v>
      </c>
      <c r="F188" s="8">
        <v>0</v>
      </c>
    </row>
    <row r="189" spans="1:6" ht="15.75" customHeight="1" x14ac:dyDescent="0.25">
      <c r="A189" s="4" t="s">
        <v>69</v>
      </c>
      <c r="B189" s="5">
        <v>1000544</v>
      </c>
      <c r="C189" s="6" t="s">
        <v>116</v>
      </c>
      <c r="D189" s="7" t="s">
        <v>14</v>
      </c>
      <c r="E189" s="7" t="str">
        <f t="array" ref="E189">IFERROR(IF(INDEX('de para abc'!$C:$C,MATCH($B189,'de para abc'!$A:$A,0))=0,"C",INDEX('de para abc'!$C:$C,MATCH($B189,'de para abc'!$A:$A,0))),IFERROR(IF(INDEX('de para abc'!$C:$C,MATCH($C189,'de para abc'!$B:$B,0))=0,"C",INDEX('de para abc'!$C:$C,MATCH($C189,'de para abc'!$B:$B,0))),"C"))</f>
        <v>C</v>
      </c>
      <c r="F189" s="8">
        <v>9</v>
      </c>
    </row>
    <row r="190" spans="1:6" ht="15.75" customHeight="1" x14ac:dyDescent="0.25">
      <c r="A190" s="4" t="s">
        <v>69</v>
      </c>
      <c r="B190" s="5">
        <v>1002372</v>
      </c>
      <c r="C190" s="6" t="s">
        <v>290</v>
      </c>
      <c r="D190" s="7" t="s">
        <v>18</v>
      </c>
      <c r="E190" s="7" t="str">
        <f t="array" ref="E190">IFERROR(IF(INDEX('de para abc'!$C:$C,MATCH($B190,'de para abc'!$A:$A,0))=0,"C",INDEX('de para abc'!$C:$C,MATCH($B190,'de para abc'!$A:$A,0))),IFERROR(IF(INDEX('de para abc'!$C:$C,MATCH($C190,'de para abc'!$B:$B,0))=0,"C",INDEX('de para abc'!$C:$C,MATCH($C190,'de para abc'!$B:$B,0))),"C"))</f>
        <v>C</v>
      </c>
      <c r="F190" s="8">
        <v>0</v>
      </c>
    </row>
    <row r="191" spans="1:6" ht="15.75" customHeight="1" x14ac:dyDescent="0.25">
      <c r="A191" s="4" t="s">
        <v>69</v>
      </c>
      <c r="B191" s="5">
        <v>1001562</v>
      </c>
      <c r="C191" s="6" t="s">
        <v>44</v>
      </c>
      <c r="D191" s="7" t="s">
        <v>18</v>
      </c>
      <c r="E191" s="7" t="str">
        <f t="array" ref="E191">IFERROR(IF(INDEX('de para abc'!$C:$C,MATCH($B191,'de para abc'!$A:$A,0))=0,"C",INDEX('de para abc'!$C:$C,MATCH($B191,'de para abc'!$A:$A,0))),IFERROR(IF(INDEX('de para abc'!$C:$C,MATCH($C191,'de para abc'!$B:$B,0))=0,"C",INDEX('de para abc'!$C:$C,MATCH($C191,'de para abc'!$B:$B,0))),"C"))</f>
        <v>C</v>
      </c>
      <c r="F191" s="8">
        <v>0</v>
      </c>
    </row>
    <row r="192" spans="1:6" ht="15.75" customHeight="1" x14ac:dyDescent="0.25">
      <c r="A192" s="4" t="s">
        <v>69</v>
      </c>
      <c r="B192" s="5">
        <v>1000366</v>
      </c>
      <c r="C192" s="6" t="s">
        <v>117</v>
      </c>
      <c r="D192" s="7" t="s">
        <v>14</v>
      </c>
      <c r="E192" s="7" t="str">
        <f t="array" ref="E192">IFERROR(IF(INDEX('de para abc'!$C:$C,MATCH($B192,'de para abc'!$A:$A,0))=0,"C",INDEX('de para abc'!$C:$C,MATCH($B192,'de para abc'!$A:$A,0))),IFERROR(IF(INDEX('de para abc'!$C:$C,MATCH($C192,'de para abc'!$B:$B,0))=0,"C",INDEX('de para abc'!$C:$C,MATCH($C192,'de para abc'!$B:$B,0))),"C"))</f>
        <v>C</v>
      </c>
      <c r="F192" s="8">
        <v>0</v>
      </c>
    </row>
    <row r="193" spans="1:6" ht="15.75" customHeight="1" x14ac:dyDescent="0.25">
      <c r="A193" s="4" t="s">
        <v>69</v>
      </c>
      <c r="B193" s="5">
        <v>1000367</v>
      </c>
      <c r="C193" s="6" t="s">
        <v>124</v>
      </c>
      <c r="D193" s="7" t="s">
        <v>14</v>
      </c>
      <c r="E193" s="7" t="str">
        <f t="array" ref="E193">IFERROR(IF(INDEX('de para abc'!$C:$C,MATCH($B193,'de para abc'!$A:$A,0))=0,"C",INDEX('de para abc'!$C:$C,MATCH($B193,'de para abc'!$A:$A,0))),IFERROR(IF(INDEX('de para abc'!$C:$C,MATCH($C193,'de para abc'!$B:$B,0))=0,"C",INDEX('de para abc'!$C:$C,MATCH($C193,'de para abc'!$B:$B,0))),"C"))</f>
        <v>C</v>
      </c>
      <c r="F193" s="8">
        <v>0</v>
      </c>
    </row>
    <row r="194" spans="1:6" ht="15.75" customHeight="1" x14ac:dyDescent="0.25">
      <c r="A194" s="4" t="s">
        <v>69</v>
      </c>
      <c r="B194" s="5">
        <v>1000997</v>
      </c>
      <c r="C194" s="6" t="s">
        <v>291</v>
      </c>
      <c r="D194" s="7" t="s">
        <v>14</v>
      </c>
      <c r="E194" s="7" t="str">
        <f t="array" ref="E194">IFERROR(IF(INDEX('de para abc'!$C:$C,MATCH($B194,'de para abc'!$A:$A,0))=0,"C",INDEX('de para abc'!$C:$C,MATCH($B194,'de para abc'!$A:$A,0))),IFERROR(IF(INDEX('de para abc'!$C:$C,MATCH($C194,'de para abc'!$B:$B,0))=0,"C",INDEX('de para abc'!$C:$C,MATCH($C194,'de para abc'!$B:$B,0))),"C"))</f>
        <v>C</v>
      </c>
      <c r="F194" s="8">
        <v>0</v>
      </c>
    </row>
    <row r="195" spans="1:6" ht="15.75" customHeight="1" x14ac:dyDescent="0.25">
      <c r="A195" s="4" t="s">
        <v>69</v>
      </c>
      <c r="B195" s="5">
        <v>1000368</v>
      </c>
      <c r="C195" s="6" t="s">
        <v>186</v>
      </c>
      <c r="D195" s="7" t="s">
        <v>10</v>
      </c>
      <c r="E195" s="7" t="str">
        <f t="array" ref="E195">IFERROR(IF(INDEX('de para abc'!$C:$C,MATCH($B195,'de para abc'!$A:$A,0))=0,"C",INDEX('de para abc'!$C:$C,MATCH($B195,'de para abc'!$A:$A,0))),IFERROR(IF(INDEX('de para abc'!$C:$C,MATCH($C195,'de para abc'!$B:$B,0))=0,"C",INDEX('de para abc'!$C:$C,MATCH($C195,'de para abc'!$B:$B,0))),"C"))</f>
        <v>C</v>
      </c>
      <c r="F195" s="8">
        <v>0</v>
      </c>
    </row>
    <row r="196" spans="1:6" ht="15.75" customHeight="1" x14ac:dyDescent="0.25">
      <c r="A196" s="4" t="s">
        <v>69</v>
      </c>
      <c r="B196" s="5">
        <v>1000421</v>
      </c>
      <c r="C196" s="6" t="s">
        <v>292</v>
      </c>
      <c r="D196" s="7" t="s">
        <v>14</v>
      </c>
      <c r="E196" s="7" t="str">
        <f t="array" ref="E196">IFERROR(IF(INDEX('de para abc'!$C:$C,MATCH($B196,'de para abc'!$A:$A,0))=0,"C",INDEX('de para abc'!$C:$C,MATCH($B196,'de para abc'!$A:$A,0))),IFERROR(IF(INDEX('de para abc'!$C:$C,MATCH($C196,'de para abc'!$B:$B,0))=0,"C",INDEX('de para abc'!$C:$C,MATCH($C196,'de para abc'!$B:$B,0))),"C"))</f>
        <v>C</v>
      </c>
      <c r="F196" s="8">
        <v>0</v>
      </c>
    </row>
    <row r="197" spans="1:6" ht="15.75" customHeight="1" x14ac:dyDescent="0.25">
      <c r="A197" s="4" t="s">
        <v>69</v>
      </c>
      <c r="B197" s="5">
        <v>1000583</v>
      </c>
      <c r="C197" s="6" t="s">
        <v>121</v>
      </c>
      <c r="D197" s="7" t="s">
        <v>14</v>
      </c>
      <c r="E197" s="7" t="str">
        <f t="array" ref="E197">IFERROR(IF(INDEX('de para abc'!$C:$C,MATCH($B197,'de para abc'!$A:$A,0))=0,"C",INDEX('de para abc'!$C:$C,MATCH($B197,'de para abc'!$A:$A,0))),IFERROR(IF(INDEX('de para abc'!$C:$C,MATCH($C197,'de para abc'!$B:$B,0))=0,"C",INDEX('de para abc'!$C:$C,MATCH($C197,'de para abc'!$B:$B,0))),"C"))</f>
        <v>C</v>
      </c>
      <c r="F197" s="8">
        <v>0</v>
      </c>
    </row>
    <row r="198" spans="1:6" ht="15.75" customHeight="1" x14ac:dyDescent="0.25">
      <c r="A198" s="4" t="s">
        <v>69</v>
      </c>
      <c r="B198" s="5">
        <v>1001674</v>
      </c>
      <c r="C198" s="6" t="s">
        <v>293</v>
      </c>
      <c r="D198" s="7" t="s">
        <v>294</v>
      </c>
      <c r="E198" s="7" t="str">
        <f t="array" ref="E198">IFERROR(IF(INDEX('de para abc'!$C:$C,MATCH($B198,'de para abc'!$A:$A,0))=0,"C",INDEX('de para abc'!$C:$C,MATCH($B198,'de para abc'!$A:$A,0))),IFERROR(IF(INDEX('de para abc'!$C:$C,MATCH($C198,'de para abc'!$B:$B,0))=0,"C",INDEX('de para abc'!$C:$C,MATCH($C198,'de para abc'!$B:$B,0))),"C"))</f>
        <v>C</v>
      </c>
      <c r="F198" s="8">
        <v>0</v>
      </c>
    </row>
    <row r="199" spans="1:6" ht="15.75" customHeight="1" x14ac:dyDescent="0.25">
      <c r="A199" s="4" t="s">
        <v>69</v>
      </c>
      <c r="B199" s="5">
        <v>1002251</v>
      </c>
      <c r="C199" s="6" t="s">
        <v>295</v>
      </c>
      <c r="D199" s="7" t="s">
        <v>18</v>
      </c>
      <c r="E199" s="7" t="str">
        <f t="array" ref="E199">IFERROR(IF(INDEX('de para abc'!$C:$C,MATCH($B199,'de para abc'!$A:$A,0))=0,"C",INDEX('de para abc'!$C:$C,MATCH($B199,'de para abc'!$A:$A,0))),IFERROR(IF(INDEX('de para abc'!$C:$C,MATCH($C199,'de para abc'!$B:$B,0))=0,"C",INDEX('de para abc'!$C:$C,MATCH($C199,'de para abc'!$B:$B,0))),"C"))</f>
        <v>C</v>
      </c>
      <c r="F199" s="8">
        <v>0</v>
      </c>
    </row>
    <row r="200" spans="1:6" ht="15.75" customHeight="1" x14ac:dyDescent="0.25">
      <c r="A200" s="4" t="s">
        <v>69</v>
      </c>
      <c r="B200" s="5">
        <v>1002259</v>
      </c>
      <c r="C200" s="6" t="s">
        <v>296</v>
      </c>
      <c r="D200" s="7" t="s">
        <v>14</v>
      </c>
      <c r="E200" s="7" t="str">
        <f t="array" ref="E200">IFERROR(IF(INDEX('de para abc'!$C:$C,MATCH($B200,'de para abc'!$A:$A,0))=0,"C",INDEX('de para abc'!$C:$C,MATCH($B200,'de para abc'!$A:$A,0))),IFERROR(IF(INDEX('de para abc'!$C:$C,MATCH($C200,'de para abc'!$B:$B,0))=0,"C",INDEX('de para abc'!$C:$C,MATCH($C200,'de para abc'!$B:$B,0))),"C"))</f>
        <v>C</v>
      </c>
      <c r="F200" s="8">
        <v>0</v>
      </c>
    </row>
    <row r="201" spans="1:6" ht="15.75" customHeight="1" x14ac:dyDescent="0.25">
      <c r="A201" s="4" t="s">
        <v>69</v>
      </c>
      <c r="B201" s="5">
        <v>1000648</v>
      </c>
      <c r="C201" s="6" t="s">
        <v>187</v>
      </c>
      <c r="D201" s="7" t="s">
        <v>14</v>
      </c>
      <c r="E201" s="7" t="str">
        <f t="array" ref="E201">IFERROR(IF(INDEX('de para abc'!$C:$C,MATCH($B201,'de para abc'!$A:$A,0))=0,"C",INDEX('de para abc'!$C:$C,MATCH($B201,'de para abc'!$A:$A,0))),IFERROR(IF(INDEX('de para abc'!$C:$C,MATCH($C201,'de para abc'!$B:$B,0))=0,"C",INDEX('de para abc'!$C:$C,MATCH($C201,'de para abc'!$B:$B,0))),"C"))</f>
        <v>C</v>
      </c>
      <c r="F201" s="8">
        <v>0</v>
      </c>
    </row>
    <row r="202" spans="1:6" ht="15.75" customHeight="1" x14ac:dyDescent="0.25">
      <c r="A202" s="4" t="s">
        <v>69</v>
      </c>
      <c r="B202" s="5">
        <v>1000991</v>
      </c>
      <c r="C202" s="6" t="s">
        <v>297</v>
      </c>
      <c r="D202" s="7" t="s">
        <v>14</v>
      </c>
      <c r="E202" s="7" t="str">
        <f t="array" ref="E202">IFERROR(IF(INDEX('de para abc'!$C:$C,MATCH($B202,'de para abc'!$A:$A,0))=0,"C",INDEX('de para abc'!$C:$C,MATCH($B202,'de para abc'!$A:$A,0))),IFERROR(IF(INDEX('de para abc'!$C:$C,MATCH($C202,'de para abc'!$B:$B,0))=0,"C",INDEX('de para abc'!$C:$C,MATCH($C202,'de para abc'!$B:$B,0))),"C"))</f>
        <v>C</v>
      </c>
      <c r="F202" s="8">
        <v>2</v>
      </c>
    </row>
    <row r="203" spans="1:6" ht="15.75" customHeight="1" x14ac:dyDescent="0.25">
      <c r="A203" s="4" t="s">
        <v>69</v>
      </c>
      <c r="B203" s="5">
        <v>1000995</v>
      </c>
      <c r="C203" s="6" t="s">
        <v>188</v>
      </c>
      <c r="D203" s="7" t="s">
        <v>14</v>
      </c>
      <c r="E203" s="7" t="str">
        <f t="array" ref="E203">IFERROR(IF(INDEX('de para abc'!$C:$C,MATCH($B203,'de para abc'!$A:$A,0))=0,"C",INDEX('de para abc'!$C:$C,MATCH($B203,'de para abc'!$A:$A,0))),IFERROR(IF(INDEX('de para abc'!$C:$C,MATCH($C203,'de para abc'!$B:$B,0))=0,"C",INDEX('de para abc'!$C:$C,MATCH($C203,'de para abc'!$B:$B,0))),"C"))</f>
        <v>C</v>
      </c>
      <c r="F203" s="8">
        <v>2</v>
      </c>
    </row>
    <row r="204" spans="1:6" ht="15.75" customHeight="1" x14ac:dyDescent="0.25">
      <c r="A204" s="4" t="s">
        <v>69</v>
      </c>
      <c r="B204" s="5" t="str">
        <f t="array" ref="B204">IFERROR(INDEX('de para codigo'!$A:$A,MATCH($C204,'de para codigo'!$B:$B,0)),"N/D")</f>
        <v>N/D</v>
      </c>
      <c r="C204" s="6" t="s">
        <v>298</v>
      </c>
      <c r="D204" s="7" t="s">
        <v>18</v>
      </c>
      <c r="E204" s="7" t="str">
        <f t="array" ref="E204">IFERROR(IF(INDEX('de para abc'!$C:$C,MATCH($B204,'de para abc'!$A:$A,0))=0,"C",INDEX('de para abc'!$C:$C,MATCH($B204,'de para abc'!$A:$A,0))),IFERROR(IF(INDEX('de para abc'!$C:$C,MATCH($C204,'de para abc'!$B:$B,0))=0,"C",INDEX('de para abc'!$C:$C,MATCH($C204,'de para abc'!$B:$B,0))),"C"))</f>
        <v>C</v>
      </c>
      <c r="F204" s="8">
        <v>3</v>
      </c>
    </row>
    <row r="205" spans="1:6" ht="15.75" customHeight="1" x14ac:dyDescent="0.25">
      <c r="A205" s="11" t="s">
        <v>125</v>
      </c>
      <c r="B205" s="11"/>
      <c r="C205" s="11"/>
      <c r="D205" s="11"/>
      <c r="E205" s="11"/>
      <c r="F205" s="12">
        <f>SUM(F5:F204)</f>
        <v>750</v>
      </c>
    </row>
    <row r="206" spans="1:6" ht="15.75" customHeight="1" x14ac:dyDescent="0.25"/>
    <row r="207" spans="1:6" ht="15.75" customHeight="1" x14ac:dyDescent="0.25"/>
    <row r="208" spans="1: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3"/>
  <sheetViews>
    <sheetView workbookViewId="0">
      <selection activeCell="A4" sqref="A4:F91"/>
    </sheetView>
  </sheetViews>
  <sheetFormatPr defaultColWidth="14.42578125" defaultRowHeight="15" customHeight="1" x14ac:dyDescent="0.25"/>
  <cols>
    <col min="1" max="1" width="16.140625" customWidth="1"/>
    <col min="2" max="2" width="9.28515625" customWidth="1"/>
    <col min="3" max="3" width="41.5703125" customWidth="1"/>
    <col min="4" max="4" width="10.7109375" customWidth="1"/>
    <col min="5" max="5" width="15.85546875" customWidth="1"/>
    <col min="6" max="6" width="13.5703125" customWidth="1"/>
    <col min="7" max="27" width="8.7109375" customWidth="1"/>
  </cols>
  <sheetData>
    <row r="1" spans="1:10" ht="18.75" x14ac:dyDescent="0.3">
      <c r="A1" s="1" t="s">
        <v>299</v>
      </c>
      <c r="F1" s="15"/>
    </row>
    <row r="2" spans="1:10" x14ac:dyDescent="0.25">
      <c r="A2" s="2" t="s">
        <v>300</v>
      </c>
      <c r="F2" s="15"/>
    </row>
    <row r="3" spans="1:10" x14ac:dyDescent="0.25">
      <c r="B3" s="15"/>
      <c r="C3" s="15"/>
      <c r="D3" s="16"/>
      <c r="E3" s="15"/>
      <c r="F3" s="15"/>
    </row>
    <row r="4" spans="1:10" x14ac:dyDescent="0.25">
      <c r="A4" s="17" t="s">
        <v>2</v>
      </c>
      <c r="B4" s="18" t="s">
        <v>3</v>
      </c>
      <c r="C4" s="18" t="s">
        <v>4</v>
      </c>
      <c r="D4" s="17" t="s">
        <v>5</v>
      </c>
      <c r="E4" s="19" t="s">
        <v>128</v>
      </c>
      <c r="F4" s="43" t="s">
        <v>7</v>
      </c>
      <c r="H4" s="17" t="s">
        <v>2</v>
      </c>
      <c r="I4" s="17" t="s">
        <v>192</v>
      </c>
      <c r="J4" s="17" t="s">
        <v>7</v>
      </c>
    </row>
    <row r="5" spans="1:10" x14ac:dyDescent="0.25">
      <c r="A5" s="14" t="s">
        <v>301</v>
      </c>
      <c r="B5" s="20">
        <v>1000036</v>
      </c>
      <c r="C5" s="20" t="s">
        <v>15</v>
      </c>
      <c r="D5" s="14" t="s">
        <v>18</v>
      </c>
      <c r="E5" s="21" t="str">
        <f t="array" ref="E5"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f>
        <v>B</v>
      </c>
      <c r="F5" s="44">
        <v>0</v>
      </c>
      <c r="H5" s="14" t="s">
        <v>301</v>
      </c>
      <c r="I5" s="14">
        <f>COUNTIF($A$5:$A1003, H5)</f>
        <v>68</v>
      </c>
      <c r="J5" s="14">
        <f>SUMIF($A$5:$A1003, H5, $F$5:$F1003)</f>
        <v>545</v>
      </c>
    </row>
    <row r="6" spans="1:10" x14ac:dyDescent="0.25">
      <c r="A6" s="14" t="s">
        <v>301</v>
      </c>
      <c r="B6" s="20">
        <v>1000039</v>
      </c>
      <c r="C6" s="20" t="s">
        <v>302</v>
      </c>
      <c r="D6" s="14" t="s">
        <v>18</v>
      </c>
      <c r="E6" s="21" t="str">
        <f t="array" ref="E6">IFERROR(IF(INDEX('de para abc'!$C:$C,MATCH($B6,'de para abc'!$A:$A,0))=0,"C",INDEX('de para abc'!$C:$C,MATCH($B6,'de para abc'!$A:$A,0))),IFERROR(IF(INDEX('de para abc'!$C:$C,MATCH($C6,'de para abc'!$B:$B,0))=0,"C",INDEX('de para abc'!$C:$C,MATCH($C6,'de para abc'!$B:$B,0))),"C"))</f>
        <v>A</v>
      </c>
      <c r="F6" s="44">
        <v>11</v>
      </c>
      <c r="H6" s="14" t="s">
        <v>69</v>
      </c>
      <c r="I6" s="14">
        <f>COUNTIF($A$5:$A1004, H6)</f>
        <v>19</v>
      </c>
      <c r="J6" s="14">
        <f>SUMIF($A$5:$A1004, H6, $F$5:$F1004)</f>
        <v>188</v>
      </c>
    </row>
    <row r="7" spans="1:10" x14ac:dyDescent="0.25">
      <c r="A7" s="14" t="s">
        <v>301</v>
      </c>
      <c r="B7" s="20">
        <v>1000033</v>
      </c>
      <c r="C7" s="20" t="s">
        <v>303</v>
      </c>
      <c r="D7" s="14" t="s">
        <v>18</v>
      </c>
      <c r="E7" s="21" t="str">
        <f t="array" ref="E7">IFERROR(IF(INDEX('de para abc'!$C:$C,MATCH($B7,'de para abc'!$A:$A,0))=0,"C",INDEX('de para abc'!$C:$C,MATCH($B7,'de para abc'!$A:$A,0))),IFERROR(IF(INDEX('de para abc'!$C:$C,MATCH($C7,'de para abc'!$B:$B,0))=0,"C",INDEX('de para abc'!$C:$C,MATCH($C7,'de para abc'!$B:$B,0))),"C"))</f>
        <v>A</v>
      </c>
      <c r="F7" s="44">
        <v>3</v>
      </c>
    </row>
    <row r="8" spans="1:10" x14ac:dyDescent="0.25">
      <c r="A8" s="14" t="s">
        <v>301</v>
      </c>
      <c r="B8" s="20">
        <v>1000032</v>
      </c>
      <c r="C8" s="20" t="s">
        <v>304</v>
      </c>
      <c r="D8" s="14" t="s">
        <v>18</v>
      </c>
      <c r="E8" s="21" t="str">
        <f t="array" ref="E8">IFERROR(IF(INDEX('de para abc'!$C:$C,MATCH($B8,'de para abc'!$A:$A,0))=0,"C",INDEX('de para abc'!$C:$C,MATCH($B8,'de para abc'!$A:$A,0))),IFERROR(IF(INDEX('de para abc'!$C:$C,MATCH($C8,'de para abc'!$B:$B,0))=0,"C",INDEX('de para abc'!$C:$C,MATCH($C8,'de para abc'!$B:$B,0))),"C"))</f>
        <v>A</v>
      </c>
      <c r="F8" s="44">
        <v>5</v>
      </c>
    </row>
    <row r="9" spans="1:10" x14ac:dyDescent="0.25">
      <c r="A9" s="14" t="s">
        <v>301</v>
      </c>
      <c r="B9" s="20">
        <v>1001306</v>
      </c>
      <c r="C9" s="20" t="s">
        <v>305</v>
      </c>
      <c r="D9" s="14" t="s">
        <v>18</v>
      </c>
      <c r="E9" s="21" t="str">
        <f t="array" ref="E9">IFERROR(IF(INDEX('de para abc'!$C:$C,MATCH($B9,'de para abc'!$A:$A,0))=0,"C",INDEX('de para abc'!$C:$C,MATCH($B9,'de para abc'!$A:$A,0))),IFERROR(IF(INDEX('de para abc'!$C:$C,MATCH($C9,'de para abc'!$B:$B,0))=0,"C",INDEX('de para abc'!$C:$C,MATCH($C9,'de para abc'!$B:$B,0))),"C"))</f>
        <v>A</v>
      </c>
      <c r="F9" s="44">
        <v>18</v>
      </c>
    </row>
    <row r="10" spans="1:10" x14ac:dyDescent="0.25">
      <c r="A10" s="14" t="s">
        <v>301</v>
      </c>
      <c r="B10" s="20">
        <v>1000481</v>
      </c>
      <c r="C10" s="20" t="s">
        <v>148</v>
      </c>
      <c r="D10" s="14" t="s">
        <v>18</v>
      </c>
      <c r="E10" s="21" t="str">
        <f t="array" ref="E10">IFERROR(IF(INDEX('de para abc'!$C:$C,MATCH($B10,'de para abc'!$A:$A,0))=0,"C",INDEX('de para abc'!$C:$C,MATCH($B10,'de para abc'!$A:$A,0))),IFERROR(IF(INDEX('de para abc'!$C:$C,MATCH($C10,'de para abc'!$B:$B,0))=0,"C",INDEX('de para abc'!$C:$C,MATCH($C10,'de para abc'!$B:$B,0))),"C"))</f>
        <v>B</v>
      </c>
      <c r="F10" s="44">
        <v>13</v>
      </c>
    </row>
    <row r="11" spans="1:10" x14ac:dyDescent="0.25">
      <c r="A11" s="14" t="s">
        <v>301</v>
      </c>
      <c r="B11" s="20">
        <v>1001718</v>
      </c>
      <c r="C11" s="20" t="s">
        <v>306</v>
      </c>
      <c r="D11" s="14" t="s">
        <v>18</v>
      </c>
      <c r="E11" s="21" t="str">
        <f t="array" ref="E11">IFERROR(IF(INDEX('de para abc'!$C:$C,MATCH($B11,'de para abc'!$A:$A,0))=0,"C",INDEX('de para abc'!$C:$C,MATCH($B11,'de para abc'!$A:$A,0))),IFERROR(IF(INDEX('de para abc'!$C:$C,MATCH($C11,'de para abc'!$B:$B,0))=0,"C",INDEX('de para abc'!$C:$C,MATCH($C11,'de para abc'!$B:$B,0))),"C"))</f>
        <v>A</v>
      </c>
      <c r="F11" s="44">
        <v>10</v>
      </c>
    </row>
    <row r="12" spans="1:10" x14ac:dyDescent="0.25">
      <c r="A12" s="14" t="s">
        <v>301</v>
      </c>
      <c r="B12" s="20">
        <v>1000037</v>
      </c>
      <c r="C12" s="20" t="s">
        <v>307</v>
      </c>
      <c r="D12" s="14" t="s">
        <v>18</v>
      </c>
      <c r="E12" s="21" t="str">
        <f t="array" ref="E12">IFERROR(IF(INDEX('de para abc'!$C:$C,MATCH($B12,'de para abc'!$A:$A,0))=0,"C",INDEX('de para abc'!$C:$C,MATCH($B12,'de para abc'!$A:$A,0))),IFERROR(IF(INDEX('de para abc'!$C:$C,MATCH($C12,'de para abc'!$B:$B,0))=0,"C",INDEX('de para abc'!$C:$C,MATCH($C12,'de para abc'!$B:$B,0))),"C"))</f>
        <v>A</v>
      </c>
      <c r="F12" s="44">
        <v>8</v>
      </c>
    </row>
    <row r="13" spans="1:10" x14ac:dyDescent="0.25">
      <c r="A13" s="14" t="s">
        <v>301</v>
      </c>
      <c r="B13" s="20">
        <v>1001299</v>
      </c>
      <c r="C13" s="20" t="s">
        <v>308</v>
      </c>
      <c r="D13" s="14" t="s">
        <v>18</v>
      </c>
      <c r="E13" s="21" t="str">
        <f t="array" ref="E13">IFERROR(IF(INDEX('de para abc'!$C:$C,MATCH($B13,'de para abc'!$A:$A,0))=0,"C",INDEX('de para abc'!$C:$C,MATCH($B13,'de para abc'!$A:$A,0))),IFERROR(IF(INDEX('de para abc'!$C:$C,MATCH($C13,'de para abc'!$B:$B,0))=0,"C",INDEX('de para abc'!$C:$C,MATCH($C13,'de para abc'!$B:$B,0))),"C"))</f>
        <v>A</v>
      </c>
      <c r="F13" s="44">
        <v>10</v>
      </c>
    </row>
    <row r="14" spans="1:10" x14ac:dyDescent="0.25">
      <c r="A14" s="14" t="s">
        <v>301</v>
      </c>
      <c r="B14" s="20">
        <v>1000198</v>
      </c>
      <c r="C14" s="20" t="s">
        <v>309</v>
      </c>
      <c r="D14" s="14" t="s">
        <v>18</v>
      </c>
      <c r="E14" s="21" t="str">
        <f t="array" ref="E14">IFERROR(IF(INDEX('de para abc'!$C:$C,MATCH($B14,'de para abc'!$A:$A,0))=0,"C",INDEX('de para abc'!$C:$C,MATCH($B14,'de para abc'!$A:$A,0))),IFERROR(IF(INDEX('de para abc'!$C:$C,MATCH($C14,'de para abc'!$B:$B,0))=0,"C",INDEX('de para abc'!$C:$C,MATCH($C14,'de para abc'!$B:$B,0))),"C"))</f>
        <v>A</v>
      </c>
      <c r="F14" s="44">
        <v>14</v>
      </c>
    </row>
    <row r="15" spans="1:10" x14ac:dyDescent="0.25">
      <c r="A15" s="14" t="s">
        <v>301</v>
      </c>
      <c r="B15" s="20">
        <v>1000197</v>
      </c>
      <c r="C15" s="20" t="s">
        <v>310</v>
      </c>
      <c r="D15" s="14" t="s">
        <v>18</v>
      </c>
      <c r="E15" s="21" t="str">
        <f t="array" ref="E15">IFERROR(IF(INDEX('de para abc'!$C:$C,MATCH($B15,'de para abc'!$A:$A,0))=0,"C",INDEX('de para abc'!$C:$C,MATCH($B15,'de para abc'!$A:$A,0))),IFERROR(IF(INDEX('de para abc'!$C:$C,MATCH($C15,'de para abc'!$B:$B,0))=0,"C",INDEX('de para abc'!$C:$C,MATCH($C15,'de para abc'!$B:$B,0))),"C"))</f>
        <v>A</v>
      </c>
      <c r="F15" s="44">
        <v>26</v>
      </c>
    </row>
    <row r="16" spans="1:10" x14ac:dyDescent="0.25">
      <c r="A16" s="14" t="s">
        <v>301</v>
      </c>
      <c r="B16" s="20">
        <v>1000196</v>
      </c>
      <c r="C16" s="20" t="s">
        <v>311</v>
      </c>
      <c r="D16" s="14" t="s">
        <v>18</v>
      </c>
      <c r="E16" s="21" t="str">
        <f t="array" ref="E16">IFERROR(IF(INDEX('de para abc'!$C:$C,MATCH($B16,'de para abc'!$A:$A,0))=0,"C",INDEX('de para abc'!$C:$C,MATCH($B16,'de para abc'!$A:$A,0))),IFERROR(IF(INDEX('de para abc'!$C:$C,MATCH($C16,'de para abc'!$B:$B,0))=0,"C",INDEX('de para abc'!$C:$C,MATCH($C16,'de para abc'!$B:$B,0))),"C"))</f>
        <v>A</v>
      </c>
      <c r="F16" s="44">
        <v>24</v>
      </c>
    </row>
    <row r="17" spans="1:6" x14ac:dyDescent="0.25">
      <c r="A17" s="14" t="s">
        <v>301</v>
      </c>
      <c r="B17" s="20">
        <v>1000185</v>
      </c>
      <c r="C17" s="20" t="s">
        <v>312</v>
      </c>
      <c r="D17" s="14" t="s">
        <v>18</v>
      </c>
      <c r="E17" s="21" t="str">
        <f t="array" ref="E17">IFERROR(IF(INDEX('de para abc'!$C:$C,MATCH($B17,'de para abc'!$A:$A,0))=0,"C",INDEX('de para abc'!$C:$C,MATCH($B17,'de para abc'!$A:$A,0))),IFERROR(IF(INDEX('de para abc'!$C:$C,MATCH($C17,'de para abc'!$B:$B,0))=0,"C",INDEX('de para abc'!$C:$C,MATCH($C17,'de para abc'!$B:$B,0))),"C"))</f>
        <v>A</v>
      </c>
      <c r="F17" s="44">
        <v>25</v>
      </c>
    </row>
    <row r="18" spans="1:6" x14ac:dyDescent="0.25">
      <c r="A18" s="14" t="s">
        <v>301</v>
      </c>
      <c r="B18" s="20">
        <v>1000184</v>
      </c>
      <c r="C18" s="20" t="s">
        <v>313</v>
      </c>
      <c r="D18" s="14" t="s">
        <v>18</v>
      </c>
      <c r="E18" s="21" t="str">
        <f t="array" ref="E18">IFERROR(IF(INDEX('de para abc'!$C:$C,MATCH($B18,'de para abc'!$A:$A,0))=0,"C",INDEX('de para abc'!$C:$C,MATCH($B18,'de para abc'!$A:$A,0))),IFERROR(IF(INDEX('de para abc'!$C:$C,MATCH($C18,'de para abc'!$B:$B,0))=0,"C",INDEX('de para abc'!$C:$C,MATCH($C18,'de para abc'!$B:$B,0))),"C"))</f>
        <v>A</v>
      </c>
      <c r="F18" s="44">
        <v>36</v>
      </c>
    </row>
    <row r="19" spans="1:6" x14ac:dyDescent="0.25">
      <c r="A19" s="14" t="s">
        <v>301</v>
      </c>
      <c r="B19" s="20">
        <v>1000183</v>
      </c>
      <c r="C19" s="20" t="s">
        <v>314</v>
      </c>
      <c r="D19" s="14" t="s">
        <v>18</v>
      </c>
      <c r="E19" s="21" t="str">
        <f t="array" ref="E19">IFERROR(IF(INDEX('de para abc'!$C:$C,MATCH($B19,'de para abc'!$A:$A,0))=0,"C",INDEX('de para abc'!$C:$C,MATCH($B19,'de para abc'!$A:$A,0))),IFERROR(IF(INDEX('de para abc'!$C:$C,MATCH($C19,'de para abc'!$B:$B,0))=0,"C",INDEX('de para abc'!$C:$C,MATCH($C19,'de para abc'!$B:$B,0))),"C"))</f>
        <v>A</v>
      </c>
      <c r="F19" s="44">
        <v>18</v>
      </c>
    </row>
    <row r="20" spans="1:6" x14ac:dyDescent="0.25">
      <c r="A20" s="14" t="s">
        <v>301</v>
      </c>
      <c r="B20" s="20">
        <v>1001736</v>
      </c>
      <c r="C20" s="20" t="s">
        <v>315</v>
      </c>
      <c r="D20" s="14" t="s">
        <v>18</v>
      </c>
      <c r="E20" s="21" t="str">
        <f t="array" ref="E20">IFERROR(IF(INDEX('de para abc'!$C:$C,MATCH($B20,'de para abc'!$A:$A,0))=0,"C",INDEX('de para abc'!$C:$C,MATCH($B20,'de para abc'!$A:$A,0))),IFERROR(IF(INDEX('de para abc'!$C:$C,MATCH($C20,'de para abc'!$B:$B,0))=0,"C",INDEX('de para abc'!$C:$C,MATCH($C20,'de para abc'!$B:$B,0))),"C"))</f>
        <v>A</v>
      </c>
      <c r="F20" s="44">
        <v>12</v>
      </c>
    </row>
    <row r="21" spans="1:6" x14ac:dyDescent="0.25">
      <c r="A21" s="14" t="s">
        <v>301</v>
      </c>
      <c r="B21" s="20"/>
      <c r="C21" s="20" t="s">
        <v>220</v>
      </c>
      <c r="D21" s="14" t="s">
        <v>18</v>
      </c>
      <c r="E21" s="21" t="str">
        <f t="array" ref="E21">IFERROR(IF(INDEX('de para abc'!$C:$C,MATCH($B21,'de para abc'!$A:$A,0))=0,"C",INDEX('de para abc'!$C:$C,MATCH($B21,'de para abc'!$A:$A,0))),IFERROR(IF(INDEX('de para abc'!$C:$C,MATCH($C21,'de para abc'!$B:$B,0))=0,"C",INDEX('de para abc'!$C:$C,MATCH($C21,'de para abc'!$B:$B,0))),"C"))</f>
        <v>C</v>
      </c>
      <c r="F21" s="44">
        <v>4</v>
      </c>
    </row>
    <row r="22" spans="1:6" x14ac:dyDescent="0.25">
      <c r="A22" s="14" t="s">
        <v>301</v>
      </c>
      <c r="B22" s="20"/>
      <c r="C22" s="20" t="s">
        <v>316</v>
      </c>
      <c r="D22" s="14" t="s">
        <v>18</v>
      </c>
      <c r="E22" s="21" t="str">
        <f t="array" ref="E22">IFERROR(IF(INDEX('de para abc'!$C:$C,MATCH($B22,'de para abc'!$A:$A,0))=0,"C",INDEX('de para abc'!$C:$C,MATCH($B22,'de para abc'!$A:$A,0))),IFERROR(IF(INDEX('de para abc'!$C:$C,MATCH($C22,'de para abc'!$B:$B,0))=0,"C",INDEX('de para abc'!$C:$C,MATCH($C22,'de para abc'!$B:$B,0))),"C"))</f>
        <v>C</v>
      </c>
      <c r="F22" s="44">
        <v>3</v>
      </c>
    </row>
    <row r="23" spans="1:6" x14ac:dyDescent="0.25">
      <c r="A23" s="14" t="s">
        <v>301</v>
      </c>
      <c r="B23" s="20"/>
      <c r="C23" s="20" t="s">
        <v>317</v>
      </c>
      <c r="D23" s="14" t="s">
        <v>18</v>
      </c>
      <c r="E23" s="21" t="str">
        <f t="array" ref="E23">IFERROR(IF(INDEX('de para abc'!$C:$C,MATCH($B23,'de para abc'!$A:$A,0))=0,"C",INDEX('de para abc'!$C:$C,MATCH($B23,'de para abc'!$A:$A,0))),IFERROR(IF(INDEX('de para abc'!$C:$C,MATCH($C23,'de para abc'!$B:$B,0))=0,"C",INDEX('de para abc'!$C:$C,MATCH($C23,'de para abc'!$B:$B,0))),"C"))</f>
        <v>C</v>
      </c>
      <c r="F23" s="44">
        <v>1</v>
      </c>
    </row>
    <row r="24" spans="1:6" ht="15.75" customHeight="1" x14ac:dyDescent="0.25">
      <c r="A24" s="14" t="s">
        <v>301</v>
      </c>
      <c r="B24" s="20">
        <v>1000256</v>
      </c>
      <c r="C24" s="20" t="s">
        <v>318</v>
      </c>
      <c r="D24" s="14" t="s">
        <v>18</v>
      </c>
      <c r="E24" s="21" t="str">
        <f t="array" ref="E24">IFERROR(IF(INDEX('de para abc'!$C:$C,MATCH($B24,'de para abc'!$A:$A,0))=0,"C",INDEX('de para abc'!$C:$C,MATCH($B24,'de para abc'!$A:$A,0))),IFERROR(IF(INDEX('de para abc'!$C:$C,MATCH($C24,'de para abc'!$B:$B,0))=0,"C",INDEX('de para abc'!$C:$C,MATCH($C24,'de para abc'!$B:$B,0))),"C"))</f>
        <v>B</v>
      </c>
      <c r="F24" s="44">
        <v>7</v>
      </c>
    </row>
    <row r="25" spans="1:6" ht="15.75" customHeight="1" x14ac:dyDescent="0.25">
      <c r="A25" s="14" t="s">
        <v>301</v>
      </c>
      <c r="B25" s="20">
        <v>1000348</v>
      </c>
      <c r="C25" s="20" t="s">
        <v>319</v>
      </c>
      <c r="D25" s="14" t="s">
        <v>18</v>
      </c>
      <c r="E25" s="21" t="str">
        <f t="array" ref="E25">IFERROR(IF(INDEX('de para abc'!$C:$C,MATCH($B25,'de para abc'!$A:$A,0))=0,"C",INDEX('de para abc'!$C:$C,MATCH($B25,'de para abc'!$A:$A,0))),IFERROR(IF(INDEX('de para abc'!$C:$C,MATCH($C25,'de para abc'!$B:$B,0))=0,"C",INDEX('de para abc'!$C:$C,MATCH($C25,'de para abc'!$B:$B,0))),"C"))</f>
        <v>A</v>
      </c>
      <c r="F25" s="44">
        <v>13</v>
      </c>
    </row>
    <row r="26" spans="1:6" ht="15.75" customHeight="1" x14ac:dyDescent="0.25">
      <c r="A26" s="14" t="s">
        <v>301</v>
      </c>
      <c r="B26" s="20">
        <v>1001455</v>
      </c>
      <c r="C26" s="20" t="s">
        <v>320</v>
      </c>
      <c r="D26" s="14" t="s">
        <v>18</v>
      </c>
      <c r="E26" s="21" t="str">
        <f t="array" ref="E26">IFERROR(IF(INDEX('de para abc'!$C:$C,MATCH($B26,'de para abc'!$A:$A,0))=0,"C",INDEX('de para abc'!$C:$C,MATCH($B26,'de para abc'!$A:$A,0))),IFERROR(IF(INDEX('de para abc'!$C:$C,MATCH($C26,'de para abc'!$B:$B,0))=0,"C",INDEX('de para abc'!$C:$C,MATCH($C26,'de para abc'!$B:$B,0))),"C"))</f>
        <v>A</v>
      </c>
      <c r="F26" s="44">
        <v>11</v>
      </c>
    </row>
    <row r="27" spans="1:6" ht="15.75" customHeight="1" x14ac:dyDescent="0.25">
      <c r="A27" s="14" t="s">
        <v>301</v>
      </c>
      <c r="B27" s="20"/>
      <c r="C27" s="20" t="s">
        <v>54</v>
      </c>
      <c r="D27" s="14" t="s">
        <v>18</v>
      </c>
      <c r="E27" s="21" t="str">
        <f t="array" ref="E27">IFERROR(IF(INDEX('de para abc'!$C:$C,MATCH($B27,'de para abc'!$A:$A,0))=0,"C",INDEX('de para abc'!$C:$C,MATCH($B27,'de para abc'!$A:$A,0))),IFERROR(IF(INDEX('de para abc'!$C:$C,MATCH($C27,'de para abc'!$B:$B,0))=0,"C",INDEX('de para abc'!$C:$C,MATCH($C27,'de para abc'!$B:$B,0))),"C"))</f>
        <v>A</v>
      </c>
      <c r="F27" s="44">
        <v>5</v>
      </c>
    </row>
    <row r="28" spans="1:6" ht="15.75" customHeight="1" x14ac:dyDescent="0.25">
      <c r="A28" s="14" t="s">
        <v>301</v>
      </c>
      <c r="B28" s="20">
        <v>1001660</v>
      </c>
      <c r="C28" s="20" t="s">
        <v>321</v>
      </c>
      <c r="D28" s="14" t="s">
        <v>18</v>
      </c>
      <c r="E28" s="21" t="str">
        <f t="array" ref="E28">IFERROR(IF(INDEX('de para abc'!$C:$C,MATCH($B28,'de para abc'!$A:$A,0))=0,"C",INDEX('de para abc'!$C:$C,MATCH($B28,'de para abc'!$A:$A,0))),IFERROR(IF(INDEX('de para abc'!$C:$C,MATCH($C28,'de para abc'!$B:$B,0))=0,"C",INDEX('de para abc'!$C:$C,MATCH($C28,'de para abc'!$B:$B,0))),"C"))</f>
        <v>B</v>
      </c>
      <c r="F28" s="44">
        <v>14</v>
      </c>
    </row>
    <row r="29" spans="1:6" ht="15.75" customHeight="1" x14ac:dyDescent="0.25">
      <c r="A29" s="14" t="s">
        <v>301</v>
      </c>
      <c r="B29" s="20">
        <v>1001307</v>
      </c>
      <c r="C29" s="20" t="s">
        <v>322</v>
      </c>
      <c r="D29" s="14" t="s">
        <v>18</v>
      </c>
      <c r="E29" s="21" t="str">
        <f t="array" ref="E29">IFERROR(IF(INDEX('de para abc'!$C:$C,MATCH($B29,'de para abc'!$A:$A,0))=0,"C",INDEX('de para abc'!$C:$C,MATCH($B29,'de para abc'!$A:$A,0))),IFERROR(IF(INDEX('de para abc'!$C:$C,MATCH($C29,'de para abc'!$B:$B,0))=0,"C",INDEX('de para abc'!$C:$C,MATCH($C29,'de para abc'!$B:$B,0))),"C"))</f>
        <v>A</v>
      </c>
      <c r="F29" s="44">
        <v>5</v>
      </c>
    </row>
    <row r="30" spans="1:6" ht="15.75" customHeight="1" x14ac:dyDescent="0.25">
      <c r="A30" s="14" t="s">
        <v>301</v>
      </c>
      <c r="B30" s="20">
        <v>1006116</v>
      </c>
      <c r="C30" s="20" t="s">
        <v>323</v>
      </c>
      <c r="D30" s="14" t="s">
        <v>18</v>
      </c>
      <c r="E30" s="21" t="str">
        <f t="array" ref="E30">IFERROR(IF(INDEX('de para abc'!$C:$C,MATCH($B30,'de para abc'!$A:$A,0))=0,"C",INDEX('de para abc'!$C:$C,MATCH($B30,'de para abc'!$A:$A,0))),IFERROR(IF(INDEX('de para abc'!$C:$C,MATCH($C30,'de para abc'!$B:$B,0))=0,"C",INDEX('de para abc'!$C:$C,MATCH($C30,'de para abc'!$B:$B,0))),"C"))</f>
        <v>B</v>
      </c>
      <c r="F30" s="44">
        <v>22</v>
      </c>
    </row>
    <row r="31" spans="1:6" ht="15.75" customHeight="1" x14ac:dyDescent="0.25">
      <c r="A31" s="14" t="s">
        <v>301</v>
      </c>
      <c r="B31" s="20">
        <v>1001707</v>
      </c>
      <c r="C31" s="20" t="s">
        <v>324</v>
      </c>
      <c r="D31" s="14" t="s">
        <v>18</v>
      </c>
      <c r="E31" s="21" t="str">
        <f t="array" ref="E31">IFERROR(IF(INDEX('de para abc'!$C:$C,MATCH($B31,'de para abc'!$A:$A,0))=0,"C",INDEX('de para abc'!$C:$C,MATCH($B31,'de para abc'!$A:$A,0))),IFERROR(IF(INDEX('de para abc'!$C:$C,MATCH($C31,'de para abc'!$B:$B,0))=0,"C",INDEX('de para abc'!$C:$C,MATCH($C31,'de para abc'!$B:$B,0))),"C"))</f>
        <v>B</v>
      </c>
      <c r="F31" s="44">
        <v>13</v>
      </c>
    </row>
    <row r="32" spans="1:6" ht="15.75" customHeight="1" x14ac:dyDescent="0.25">
      <c r="A32" s="14" t="s">
        <v>301</v>
      </c>
      <c r="B32" s="20">
        <v>1001146</v>
      </c>
      <c r="C32" s="20" t="s">
        <v>325</v>
      </c>
      <c r="D32" s="14" t="s">
        <v>18</v>
      </c>
      <c r="E32" s="21" t="str">
        <f t="array" ref="E32">IFERROR(IF(INDEX('de para abc'!$C:$C,MATCH($B32,'de para abc'!$A:$A,0))=0,"C",INDEX('de para abc'!$C:$C,MATCH($B32,'de para abc'!$A:$A,0))),IFERROR(IF(INDEX('de para abc'!$C:$C,MATCH($C32,'de para abc'!$B:$B,0))=0,"C",INDEX('de para abc'!$C:$C,MATCH($C32,'de para abc'!$B:$B,0))),"C"))</f>
        <v>B</v>
      </c>
      <c r="F32" s="44">
        <v>26</v>
      </c>
    </row>
    <row r="33" spans="1:6" ht="15.75" customHeight="1" x14ac:dyDescent="0.25">
      <c r="A33" s="14" t="s">
        <v>301</v>
      </c>
      <c r="B33" s="20">
        <v>1001741</v>
      </c>
      <c r="C33" s="20" t="s">
        <v>326</v>
      </c>
      <c r="D33" s="14" t="s">
        <v>18</v>
      </c>
      <c r="E33" s="21" t="str">
        <f t="array" ref="E33">IFERROR(IF(INDEX('de para abc'!$C:$C,MATCH($B33,'de para abc'!$A:$A,0))=0,"C",INDEX('de para abc'!$C:$C,MATCH($B33,'de para abc'!$A:$A,0))),IFERROR(IF(INDEX('de para abc'!$C:$C,MATCH($C33,'de para abc'!$B:$B,0))=0,"C",INDEX('de para abc'!$C:$C,MATCH($C33,'de para abc'!$B:$B,0))),"C"))</f>
        <v>A</v>
      </c>
      <c r="F33" s="44">
        <v>5</v>
      </c>
    </row>
    <row r="34" spans="1:6" ht="15.75" customHeight="1" x14ac:dyDescent="0.25">
      <c r="A34" s="14" t="s">
        <v>301</v>
      </c>
      <c r="B34" s="20"/>
      <c r="C34" s="20" t="s">
        <v>151</v>
      </c>
      <c r="D34" s="14" t="s">
        <v>18</v>
      </c>
      <c r="E34" s="21" t="str">
        <f t="array" ref="E34">IFERROR(IF(INDEX('de para abc'!$C:$C,MATCH($B34,'de para abc'!$A:$A,0))=0,"C",INDEX('de para abc'!$C:$C,MATCH($B34,'de para abc'!$A:$A,0))),IFERROR(IF(INDEX('de para abc'!$C:$C,MATCH($C34,'de para abc'!$B:$B,0))=0,"C",INDEX('de para abc'!$C:$C,MATCH($C34,'de para abc'!$B:$B,0))),"C"))</f>
        <v>A</v>
      </c>
      <c r="F34" s="44">
        <v>1</v>
      </c>
    </row>
    <row r="35" spans="1:6" ht="15.75" customHeight="1" x14ac:dyDescent="0.25">
      <c r="A35" s="14" t="s">
        <v>301</v>
      </c>
      <c r="B35" s="20">
        <v>1000224</v>
      </c>
      <c r="C35" s="20" t="s">
        <v>327</v>
      </c>
      <c r="D35" s="14" t="s">
        <v>273</v>
      </c>
      <c r="E35" s="21" t="str">
        <f t="array" ref="E35">IFERROR(IF(INDEX('de para abc'!$C:$C,MATCH($B35,'de para abc'!$A:$A,0))=0,"C",INDEX('de para abc'!$C:$C,MATCH($B35,'de para abc'!$A:$A,0))),IFERROR(IF(INDEX('de para abc'!$C:$C,MATCH($C35,'de para abc'!$B:$B,0))=0,"C",INDEX('de para abc'!$C:$C,MATCH($C35,'de para abc'!$B:$B,0))),"C"))</f>
        <v>A</v>
      </c>
      <c r="F35" s="44">
        <v>1</v>
      </c>
    </row>
    <row r="36" spans="1:6" ht="15.75" customHeight="1" x14ac:dyDescent="0.25">
      <c r="A36" s="14" t="s">
        <v>301</v>
      </c>
      <c r="B36" s="20">
        <v>1001264</v>
      </c>
      <c r="C36" s="20" t="s">
        <v>328</v>
      </c>
      <c r="D36" s="14" t="s">
        <v>18</v>
      </c>
      <c r="E36" s="21" t="str">
        <f t="array" ref="E36">IFERROR(IF(INDEX('de para abc'!$C:$C,MATCH($B36,'de para abc'!$A:$A,0))=0,"C",INDEX('de para abc'!$C:$C,MATCH($B36,'de para abc'!$A:$A,0))),IFERROR(IF(INDEX('de para abc'!$C:$C,MATCH($C36,'de para abc'!$B:$B,0))=0,"C",INDEX('de para abc'!$C:$C,MATCH($C36,'de para abc'!$B:$B,0))),"C"))</f>
        <v>A</v>
      </c>
      <c r="F36" s="44">
        <v>19</v>
      </c>
    </row>
    <row r="37" spans="1:6" ht="15.75" customHeight="1" x14ac:dyDescent="0.25">
      <c r="A37" s="14" t="s">
        <v>301</v>
      </c>
      <c r="B37" s="20">
        <v>1000065</v>
      </c>
      <c r="C37" s="20" t="s">
        <v>131</v>
      </c>
      <c r="D37" s="14" t="s">
        <v>18</v>
      </c>
      <c r="E37" s="21" t="str">
        <f t="array" ref="E37">IFERROR(IF(INDEX('de para abc'!$C:$C,MATCH($B37,'de para abc'!$A:$A,0))=0,"C",INDEX('de para abc'!$C:$C,MATCH($B37,'de para abc'!$A:$A,0))),IFERROR(IF(INDEX('de para abc'!$C:$C,MATCH($C37,'de para abc'!$B:$B,0))=0,"C",INDEX('de para abc'!$C:$C,MATCH($C37,'de para abc'!$B:$B,0))),"C"))</f>
        <v>A</v>
      </c>
      <c r="F37" s="44">
        <v>3</v>
      </c>
    </row>
    <row r="38" spans="1:6" ht="15.75" customHeight="1" x14ac:dyDescent="0.25">
      <c r="A38" s="14" t="s">
        <v>301</v>
      </c>
      <c r="B38" s="20"/>
      <c r="C38" s="20" t="s">
        <v>32</v>
      </c>
      <c r="D38" s="14" t="s">
        <v>18</v>
      </c>
      <c r="E38" s="21" t="str">
        <f t="array" ref="E38">IFERROR(IF(INDEX('de para abc'!$C:$C,MATCH($B38,'de para abc'!$A:$A,0))=0,"C",INDEX('de para abc'!$C:$C,MATCH($B38,'de para abc'!$A:$A,0))),IFERROR(IF(INDEX('de para abc'!$C:$C,MATCH($C38,'de para abc'!$B:$B,0))=0,"C",INDEX('de para abc'!$C:$C,MATCH($C38,'de para abc'!$B:$B,0))),"C"))</f>
        <v>A</v>
      </c>
      <c r="F38" s="44">
        <v>22</v>
      </c>
    </row>
    <row r="39" spans="1:6" ht="15.75" customHeight="1" x14ac:dyDescent="0.25">
      <c r="A39" s="14" t="s">
        <v>301</v>
      </c>
      <c r="B39" s="20">
        <v>100049</v>
      </c>
      <c r="C39" s="20" t="s">
        <v>48</v>
      </c>
      <c r="D39" s="14" t="s">
        <v>18</v>
      </c>
      <c r="E39" s="21" t="str">
        <f t="array" ref="E39">IFERROR(IF(INDEX('de para abc'!$C:$C,MATCH($B39,'de para abc'!$A:$A,0))=0,"C",INDEX('de para abc'!$C:$C,MATCH($B39,'de para abc'!$A:$A,0))),IFERROR(IF(INDEX('de para abc'!$C:$C,MATCH($C39,'de para abc'!$B:$B,0))=0,"C",INDEX('de para abc'!$C:$C,MATCH($C39,'de para abc'!$B:$B,0))),"C"))</f>
        <v>A</v>
      </c>
      <c r="F39" s="44">
        <v>2</v>
      </c>
    </row>
    <row r="40" spans="1:6" ht="15.75" customHeight="1" x14ac:dyDescent="0.25">
      <c r="A40" s="14" t="s">
        <v>301</v>
      </c>
      <c r="B40" s="20">
        <v>1000340</v>
      </c>
      <c r="C40" s="20" t="s">
        <v>329</v>
      </c>
      <c r="D40" s="14" t="s">
        <v>18</v>
      </c>
      <c r="E40" s="21" t="str">
        <f t="array" ref="E40">IFERROR(IF(INDEX('de para abc'!$C:$C,MATCH($B40,'de para abc'!$A:$A,0))=0,"C",INDEX('de para abc'!$C:$C,MATCH($B40,'de para abc'!$A:$A,0))),IFERROR(IF(INDEX('de para abc'!$C:$C,MATCH($C40,'de para abc'!$B:$B,0))=0,"C",INDEX('de para abc'!$C:$C,MATCH($C40,'de para abc'!$B:$B,0))),"C"))</f>
        <v>A</v>
      </c>
      <c r="F40" s="44">
        <v>14</v>
      </c>
    </row>
    <row r="41" spans="1:6" ht="15.75" customHeight="1" x14ac:dyDescent="0.25">
      <c r="A41" s="14" t="s">
        <v>301</v>
      </c>
      <c r="B41" s="20">
        <v>1000048</v>
      </c>
      <c r="C41" s="20" t="s">
        <v>330</v>
      </c>
      <c r="D41" s="14" t="s">
        <v>18</v>
      </c>
      <c r="E41" s="21" t="str">
        <f t="array" ref="E41">IFERROR(IF(INDEX('de para abc'!$C:$C,MATCH($B41,'de para abc'!$A:$A,0))=0,"C",INDEX('de para abc'!$C:$C,MATCH($B41,'de para abc'!$A:$A,0))),IFERROR(IF(INDEX('de para abc'!$C:$C,MATCH($C41,'de para abc'!$B:$B,0))=0,"C",INDEX('de para abc'!$C:$C,MATCH($C41,'de para abc'!$B:$B,0))),"C"))</f>
        <v>A</v>
      </c>
      <c r="F41" s="44">
        <v>22</v>
      </c>
    </row>
    <row r="42" spans="1:6" ht="15.75" customHeight="1" x14ac:dyDescent="0.25">
      <c r="A42" s="14" t="s">
        <v>301</v>
      </c>
      <c r="B42" s="20"/>
      <c r="C42" s="20" t="s">
        <v>331</v>
      </c>
      <c r="D42" s="14" t="s">
        <v>18</v>
      </c>
      <c r="E42" s="21" t="str">
        <f t="array" ref="E42">IFERROR(IF(INDEX('de para abc'!$C:$C,MATCH($B42,'de para abc'!$A:$A,0))=0,"C",INDEX('de para abc'!$C:$C,MATCH($B42,'de para abc'!$A:$A,0))),IFERROR(IF(INDEX('de para abc'!$C:$C,MATCH($C42,'de para abc'!$B:$B,0))=0,"C",INDEX('de para abc'!$C:$C,MATCH($C42,'de para abc'!$B:$B,0))),"C"))</f>
        <v>C</v>
      </c>
      <c r="F42" s="44">
        <v>7</v>
      </c>
    </row>
    <row r="43" spans="1:6" ht="15.75" customHeight="1" x14ac:dyDescent="0.25">
      <c r="A43" s="14" t="s">
        <v>301</v>
      </c>
      <c r="B43" s="20"/>
      <c r="C43" s="20" t="s">
        <v>332</v>
      </c>
      <c r="D43" s="14" t="s">
        <v>18</v>
      </c>
      <c r="E43" s="21" t="str">
        <f t="array" ref="E43">IFERROR(IF(INDEX('de para abc'!$C:$C,MATCH($B43,'de para abc'!$A:$A,0))=0,"C",INDEX('de para abc'!$C:$C,MATCH($B43,'de para abc'!$A:$A,0))),IFERROR(IF(INDEX('de para abc'!$C:$C,MATCH($C43,'de para abc'!$B:$B,0))=0,"C",INDEX('de para abc'!$C:$C,MATCH($C43,'de para abc'!$B:$B,0))),"C"))</f>
        <v>C</v>
      </c>
      <c r="F43" s="44">
        <v>1</v>
      </c>
    </row>
    <row r="44" spans="1:6" ht="15.75" customHeight="1" x14ac:dyDescent="0.25">
      <c r="A44" s="14" t="s">
        <v>301</v>
      </c>
      <c r="B44" s="20"/>
      <c r="C44" s="20" t="s">
        <v>333</v>
      </c>
      <c r="D44" s="14" t="s">
        <v>18</v>
      </c>
      <c r="E44" s="21" t="str">
        <f t="array" ref="E44">IFERROR(IF(INDEX('de para abc'!$C:$C,MATCH($B44,'de para abc'!$A:$A,0))=0,"C",INDEX('de para abc'!$C:$C,MATCH($B44,'de para abc'!$A:$A,0))),IFERROR(IF(INDEX('de para abc'!$C:$C,MATCH($C44,'de para abc'!$B:$B,0))=0,"C",INDEX('de para abc'!$C:$C,MATCH($C44,'de para abc'!$B:$B,0))),"C"))</f>
        <v>C</v>
      </c>
      <c r="F44" s="44">
        <v>2</v>
      </c>
    </row>
    <row r="45" spans="1:6" ht="15.75" customHeight="1" x14ac:dyDescent="0.25">
      <c r="A45" s="14" t="s">
        <v>301</v>
      </c>
      <c r="B45" s="20"/>
      <c r="C45" s="20" t="s">
        <v>334</v>
      </c>
      <c r="D45" s="14" t="s">
        <v>18</v>
      </c>
      <c r="E45" s="21" t="str">
        <f t="array" ref="E45">IFERROR(IF(INDEX('de para abc'!$C:$C,MATCH($B45,'de para abc'!$A:$A,0))=0,"C",INDEX('de para abc'!$C:$C,MATCH($B45,'de para abc'!$A:$A,0))),IFERROR(IF(INDEX('de para abc'!$C:$C,MATCH($C45,'de para abc'!$B:$B,0))=0,"C",INDEX('de para abc'!$C:$C,MATCH($C45,'de para abc'!$B:$B,0))),"C"))</f>
        <v>C</v>
      </c>
      <c r="F45" s="44">
        <v>3</v>
      </c>
    </row>
    <row r="46" spans="1:6" ht="15.75" customHeight="1" x14ac:dyDescent="0.25">
      <c r="A46" s="14" t="s">
        <v>301</v>
      </c>
      <c r="B46" s="20"/>
      <c r="C46" s="20" t="s">
        <v>335</v>
      </c>
      <c r="D46" s="14" t="s">
        <v>18</v>
      </c>
      <c r="E46" s="21" t="str">
        <f t="array" ref="E46">IFERROR(IF(INDEX('de para abc'!$C:$C,MATCH($B46,'de para abc'!$A:$A,0))=0,"C",INDEX('de para abc'!$C:$C,MATCH($B46,'de para abc'!$A:$A,0))),IFERROR(IF(INDEX('de para abc'!$C:$C,MATCH($C46,'de para abc'!$B:$B,0))=0,"C",INDEX('de para abc'!$C:$C,MATCH($C46,'de para abc'!$B:$B,0))),"C"))</f>
        <v>C</v>
      </c>
      <c r="F46" s="44">
        <v>3</v>
      </c>
    </row>
    <row r="47" spans="1:6" ht="15.75" customHeight="1" x14ac:dyDescent="0.25">
      <c r="A47" s="14" t="s">
        <v>301</v>
      </c>
      <c r="B47" s="20"/>
      <c r="C47" s="20" t="s">
        <v>336</v>
      </c>
      <c r="D47" s="14" t="s">
        <v>18</v>
      </c>
      <c r="E47" s="21" t="str">
        <f t="array" ref="E47">IFERROR(IF(INDEX('de para abc'!$C:$C,MATCH($B47,'de para abc'!$A:$A,0))=0,"C",INDEX('de para abc'!$C:$C,MATCH($B47,'de para abc'!$A:$A,0))),IFERROR(IF(INDEX('de para abc'!$C:$C,MATCH($C47,'de para abc'!$B:$B,0))=0,"C",INDEX('de para abc'!$C:$C,MATCH($C47,'de para abc'!$B:$B,0))),"C"))</f>
        <v>C</v>
      </c>
      <c r="F47" s="44">
        <v>7</v>
      </c>
    </row>
    <row r="48" spans="1:6" ht="15.75" customHeight="1" x14ac:dyDescent="0.25">
      <c r="A48" s="14" t="s">
        <v>301</v>
      </c>
      <c r="B48" s="20"/>
      <c r="C48" s="20" t="s">
        <v>337</v>
      </c>
      <c r="D48" s="14" t="s">
        <v>18</v>
      </c>
      <c r="E48" s="21" t="str">
        <f t="array" ref="E48">IFERROR(IF(INDEX('de para abc'!$C:$C,MATCH($B48,'de para abc'!$A:$A,0))=0,"C",INDEX('de para abc'!$C:$C,MATCH($B48,'de para abc'!$A:$A,0))),IFERROR(IF(INDEX('de para abc'!$C:$C,MATCH($C48,'de para abc'!$B:$B,0))=0,"C",INDEX('de para abc'!$C:$C,MATCH($C48,'de para abc'!$B:$B,0))),"C"))</f>
        <v>C</v>
      </c>
      <c r="F48" s="44">
        <v>1</v>
      </c>
    </row>
    <row r="49" spans="1:6" ht="15.75" customHeight="1" x14ac:dyDescent="0.25">
      <c r="A49" s="14" t="s">
        <v>301</v>
      </c>
      <c r="B49" s="20"/>
      <c r="C49" s="20" t="s">
        <v>338</v>
      </c>
      <c r="D49" s="14" t="s">
        <v>18</v>
      </c>
      <c r="E49" s="21" t="str">
        <f t="array" ref="E49">IFERROR(IF(INDEX('de para abc'!$C:$C,MATCH($B49,'de para abc'!$A:$A,0))=0,"C",INDEX('de para abc'!$C:$C,MATCH($B49,'de para abc'!$A:$A,0))),IFERROR(IF(INDEX('de para abc'!$C:$C,MATCH($C49,'de para abc'!$B:$B,0))=0,"C",INDEX('de para abc'!$C:$C,MATCH($C49,'de para abc'!$B:$B,0))),"C"))</f>
        <v>C</v>
      </c>
      <c r="F49" s="44">
        <v>1</v>
      </c>
    </row>
    <row r="50" spans="1:6" ht="15.75" customHeight="1" x14ac:dyDescent="0.25">
      <c r="A50" s="14" t="s">
        <v>301</v>
      </c>
      <c r="B50" s="20"/>
      <c r="C50" s="20" t="s">
        <v>339</v>
      </c>
      <c r="D50" s="14" t="s">
        <v>18</v>
      </c>
      <c r="E50" s="21" t="str">
        <f t="array" ref="E50">IFERROR(IF(INDEX('de para abc'!$C:$C,MATCH($B50,'de para abc'!$A:$A,0))=0,"C",INDEX('de para abc'!$C:$C,MATCH($B50,'de para abc'!$A:$A,0))),IFERROR(IF(INDEX('de para abc'!$C:$C,MATCH($C50,'de para abc'!$B:$B,0))=0,"C",INDEX('de para abc'!$C:$C,MATCH($C50,'de para abc'!$B:$B,0))),"C"))</f>
        <v>C</v>
      </c>
      <c r="F50" s="44">
        <v>1</v>
      </c>
    </row>
    <row r="51" spans="1:6" ht="15.75" customHeight="1" x14ac:dyDescent="0.25">
      <c r="A51" s="14" t="s">
        <v>301</v>
      </c>
      <c r="B51" s="20"/>
      <c r="C51" s="20" t="s">
        <v>340</v>
      </c>
      <c r="D51" s="14" t="s">
        <v>18</v>
      </c>
      <c r="E51" s="21" t="str">
        <f t="array" ref="E51">IFERROR(IF(INDEX('de para abc'!$C:$C,MATCH($B51,'de para abc'!$A:$A,0))=0,"C",INDEX('de para abc'!$C:$C,MATCH($B51,'de para abc'!$A:$A,0))),IFERROR(IF(INDEX('de para abc'!$C:$C,MATCH($C51,'de para abc'!$B:$B,0))=0,"C",INDEX('de para abc'!$C:$C,MATCH($C51,'de para abc'!$B:$B,0))),"C"))</f>
        <v>C</v>
      </c>
      <c r="F51" s="44">
        <v>12</v>
      </c>
    </row>
    <row r="52" spans="1:6" ht="15.75" customHeight="1" x14ac:dyDescent="0.25">
      <c r="A52" s="14" t="s">
        <v>301</v>
      </c>
      <c r="B52" s="20"/>
      <c r="C52" s="20" t="s">
        <v>341</v>
      </c>
      <c r="D52" s="14" t="s">
        <v>18</v>
      </c>
      <c r="E52" s="21" t="str">
        <f t="array" ref="E52">IFERROR(IF(INDEX('de para abc'!$C:$C,MATCH($B52,'de para abc'!$A:$A,0))=0,"C",INDEX('de para abc'!$C:$C,MATCH($B52,'de para abc'!$A:$A,0))),IFERROR(IF(INDEX('de para abc'!$C:$C,MATCH($C52,'de para abc'!$B:$B,0))=0,"C",INDEX('de para abc'!$C:$C,MATCH($C52,'de para abc'!$B:$B,0))),"C"))</f>
        <v>C</v>
      </c>
      <c r="F52" s="44">
        <v>10</v>
      </c>
    </row>
    <row r="53" spans="1:6" ht="15.75" customHeight="1" x14ac:dyDescent="0.25">
      <c r="A53" s="14" t="s">
        <v>301</v>
      </c>
      <c r="B53" s="20"/>
      <c r="C53" s="20" t="s">
        <v>342</v>
      </c>
      <c r="D53" s="14" t="s">
        <v>18</v>
      </c>
      <c r="E53" s="21" t="str">
        <f t="array" ref="E53">IFERROR(IF(INDEX('de para abc'!$C:$C,MATCH($B53,'de para abc'!$A:$A,0))=0,"C",INDEX('de para abc'!$C:$C,MATCH($B53,'de para abc'!$A:$A,0))),IFERROR(IF(INDEX('de para abc'!$C:$C,MATCH($C53,'de para abc'!$B:$B,0))=0,"C",INDEX('de para abc'!$C:$C,MATCH($C53,'de para abc'!$B:$B,0))),"C"))</f>
        <v>C</v>
      </c>
      <c r="F53" s="44">
        <v>3</v>
      </c>
    </row>
    <row r="54" spans="1:6" ht="15.75" customHeight="1" x14ac:dyDescent="0.25">
      <c r="A54" s="14" t="s">
        <v>301</v>
      </c>
      <c r="B54" s="20"/>
      <c r="C54" s="20" t="s">
        <v>343</v>
      </c>
      <c r="D54" s="14" t="s">
        <v>18</v>
      </c>
      <c r="E54" s="21" t="str">
        <f t="array" ref="E54">IFERROR(IF(INDEX('de para abc'!$C:$C,MATCH($B54,'de para abc'!$A:$A,0))=0,"C",INDEX('de para abc'!$C:$C,MATCH($B54,'de para abc'!$A:$A,0))),IFERROR(IF(INDEX('de para abc'!$C:$C,MATCH($C54,'de para abc'!$B:$B,0))=0,"C",INDEX('de para abc'!$C:$C,MATCH($C54,'de para abc'!$B:$B,0))),"C"))</f>
        <v>C</v>
      </c>
      <c r="F54" s="44">
        <v>1</v>
      </c>
    </row>
    <row r="55" spans="1:6" ht="15.75" customHeight="1" x14ac:dyDescent="0.25">
      <c r="A55" s="14" t="s">
        <v>301</v>
      </c>
      <c r="B55" s="20"/>
      <c r="C55" s="20" t="s">
        <v>344</v>
      </c>
      <c r="D55" s="14" t="s">
        <v>18</v>
      </c>
      <c r="E55" s="21" t="str">
        <f t="array" ref="E55">IFERROR(IF(INDEX('de para abc'!$C:$C,MATCH($B55,'de para abc'!$A:$A,0))=0,"C",INDEX('de para abc'!$C:$C,MATCH($B55,'de para abc'!$A:$A,0))),IFERROR(IF(INDEX('de para abc'!$C:$C,MATCH($C55,'de para abc'!$B:$B,0))=0,"C",INDEX('de para abc'!$C:$C,MATCH($C55,'de para abc'!$B:$B,0))),"C"))</f>
        <v>C</v>
      </c>
      <c r="F55" s="44">
        <v>3</v>
      </c>
    </row>
    <row r="56" spans="1:6" ht="15.75" customHeight="1" x14ac:dyDescent="0.25">
      <c r="A56" s="14" t="s">
        <v>301</v>
      </c>
      <c r="B56" s="20"/>
      <c r="C56" s="20" t="s">
        <v>345</v>
      </c>
      <c r="D56" s="14" t="s">
        <v>18</v>
      </c>
      <c r="E56" s="21" t="str">
        <f t="array" ref="E56">IFERROR(IF(INDEX('de para abc'!$C:$C,MATCH($B56,'de para abc'!$A:$A,0))=0,"C",INDEX('de para abc'!$C:$C,MATCH($B56,'de para abc'!$A:$A,0))),IFERROR(IF(INDEX('de para abc'!$C:$C,MATCH($C56,'de para abc'!$B:$B,0))=0,"C",INDEX('de para abc'!$C:$C,MATCH($C56,'de para abc'!$B:$B,0))),"C"))</f>
        <v>C</v>
      </c>
      <c r="F56" s="44">
        <v>2</v>
      </c>
    </row>
    <row r="57" spans="1:6" ht="15.75" customHeight="1" x14ac:dyDescent="0.25">
      <c r="A57" s="14" t="s">
        <v>301</v>
      </c>
      <c r="B57" s="20"/>
      <c r="C57" s="20" t="s">
        <v>346</v>
      </c>
      <c r="D57" s="14" t="s">
        <v>18</v>
      </c>
      <c r="E57" s="21" t="str">
        <f t="array" ref="E57">IFERROR(IF(INDEX('de para abc'!$C:$C,MATCH($B57,'de para abc'!$A:$A,0))=0,"C",INDEX('de para abc'!$C:$C,MATCH($B57,'de para abc'!$A:$A,0))),IFERROR(IF(INDEX('de para abc'!$C:$C,MATCH($C57,'de para abc'!$B:$B,0))=0,"C",INDEX('de para abc'!$C:$C,MATCH($C57,'de para abc'!$B:$B,0))),"C"))</f>
        <v>C</v>
      </c>
      <c r="F57" s="44">
        <v>1</v>
      </c>
    </row>
    <row r="58" spans="1:6" ht="15.75" customHeight="1" x14ac:dyDescent="0.25">
      <c r="A58" s="14" t="s">
        <v>301</v>
      </c>
      <c r="B58" s="20"/>
      <c r="C58" s="20" t="s">
        <v>347</v>
      </c>
      <c r="D58" s="14" t="s">
        <v>18</v>
      </c>
      <c r="E58" s="21" t="str">
        <f t="array" ref="E58">IFERROR(IF(INDEX('de para abc'!$C:$C,MATCH($B58,'de para abc'!$A:$A,0))=0,"C",INDEX('de para abc'!$C:$C,MATCH($B58,'de para abc'!$A:$A,0))),IFERROR(IF(INDEX('de para abc'!$C:$C,MATCH($C58,'de para abc'!$B:$B,0))=0,"C",INDEX('de para abc'!$C:$C,MATCH($C58,'de para abc'!$B:$B,0))),"C"))</f>
        <v>C</v>
      </c>
      <c r="F58" s="44">
        <v>1</v>
      </c>
    </row>
    <row r="59" spans="1:6" ht="15.75" customHeight="1" x14ac:dyDescent="0.25">
      <c r="A59" s="14" t="s">
        <v>301</v>
      </c>
      <c r="B59" s="20"/>
      <c r="C59" s="20" t="s">
        <v>347</v>
      </c>
      <c r="D59" s="14" t="s">
        <v>18</v>
      </c>
      <c r="E59" s="21" t="str">
        <f t="array" ref="E59">IFERROR(IF(INDEX('de para abc'!$C:$C,MATCH($B59,'de para abc'!$A:$A,0))=0,"C",INDEX('de para abc'!$C:$C,MATCH($B59,'de para abc'!$A:$A,0))),IFERROR(IF(INDEX('de para abc'!$C:$C,MATCH($C59,'de para abc'!$B:$B,0))=0,"C",INDEX('de para abc'!$C:$C,MATCH($C59,'de para abc'!$B:$B,0))),"C"))</f>
        <v>C</v>
      </c>
      <c r="F59" s="44">
        <v>1</v>
      </c>
    </row>
    <row r="60" spans="1:6" ht="15.75" customHeight="1" x14ac:dyDescent="0.25">
      <c r="A60" s="14" t="s">
        <v>301</v>
      </c>
      <c r="B60" s="20"/>
      <c r="C60" s="20" t="s">
        <v>348</v>
      </c>
      <c r="D60" s="14" t="s">
        <v>18</v>
      </c>
      <c r="E60" s="21" t="str">
        <f t="array" ref="E60">IFERROR(IF(INDEX('de para abc'!$C:$C,MATCH($B60,'de para abc'!$A:$A,0))=0,"C",INDEX('de para abc'!$C:$C,MATCH($B60,'de para abc'!$A:$A,0))),IFERROR(IF(INDEX('de para abc'!$C:$C,MATCH($C60,'de para abc'!$B:$B,0))=0,"C",INDEX('de para abc'!$C:$C,MATCH($C60,'de para abc'!$B:$B,0))),"C"))</f>
        <v>C</v>
      </c>
      <c r="F60" s="44">
        <v>1</v>
      </c>
    </row>
    <row r="61" spans="1:6" ht="15.75" customHeight="1" x14ac:dyDescent="0.25">
      <c r="A61" s="14" t="s">
        <v>301</v>
      </c>
      <c r="B61" s="20">
        <v>1000478</v>
      </c>
      <c r="C61" s="20" t="s">
        <v>68</v>
      </c>
      <c r="D61" s="14" t="s">
        <v>18</v>
      </c>
      <c r="E61" s="21" t="str">
        <f t="array" ref="E61">IFERROR(IF(INDEX('de para abc'!$C:$C,MATCH($B61,'de para abc'!$A:$A,0))=0,"C",INDEX('de para abc'!$C:$C,MATCH($B61,'de para abc'!$A:$A,0))),IFERROR(IF(INDEX('de para abc'!$C:$C,MATCH($C61,'de para abc'!$B:$B,0))=0,"C",INDEX('de para abc'!$C:$C,MATCH($C61,'de para abc'!$B:$B,0))),"C"))</f>
        <v>B</v>
      </c>
      <c r="F61" s="44">
        <v>1</v>
      </c>
    </row>
    <row r="62" spans="1:6" ht="15.75" customHeight="1" x14ac:dyDescent="0.25">
      <c r="A62" s="14" t="s">
        <v>301</v>
      </c>
      <c r="B62" s="20">
        <v>1000470</v>
      </c>
      <c r="C62" s="20" t="s">
        <v>67</v>
      </c>
      <c r="D62" s="14" t="s">
        <v>18</v>
      </c>
      <c r="E62" s="21" t="str">
        <f t="array" ref="E62">IFERROR(IF(INDEX('de para abc'!$C:$C,MATCH($B62,'de para abc'!$A:$A,0))=0,"C",INDEX('de para abc'!$C:$C,MATCH($B62,'de para abc'!$A:$A,0))),IFERROR(IF(INDEX('de para abc'!$C:$C,MATCH($C62,'de para abc'!$B:$B,0))=0,"C",INDEX('de para abc'!$C:$C,MATCH($C62,'de para abc'!$B:$B,0))),"C"))</f>
        <v>B</v>
      </c>
      <c r="F62" s="44">
        <v>2</v>
      </c>
    </row>
    <row r="63" spans="1:6" ht="15.75" customHeight="1" x14ac:dyDescent="0.25">
      <c r="A63" s="14" t="s">
        <v>301</v>
      </c>
      <c r="B63" s="20">
        <v>1000189</v>
      </c>
      <c r="C63" s="20" t="s">
        <v>63</v>
      </c>
      <c r="D63" s="14" t="s">
        <v>18</v>
      </c>
      <c r="E63" s="21" t="str">
        <f t="array" ref="E63">IFERROR(IF(INDEX('de para abc'!$C:$C,MATCH($B63,'de para abc'!$A:$A,0))=0,"C",INDEX('de para abc'!$C:$C,MATCH($B63,'de para abc'!$A:$A,0))),IFERROR(IF(INDEX('de para abc'!$C:$C,MATCH($C63,'de para abc'!$B:$B,0))=0,"C",INDEX('de para abc'!$C:$C,MATCH($C63,'de para abc'!$B:$B,0))),"C"))</f>
        <v>B</v>
      </c>
      <c r="F63" s="44">
        <v>2</v>
      </c>
    </row>
    <row r="64" spans="1:6" ht="15.75" customHeight="1" x14ac:dyDescent="0.25">
      <c r="A64" s="14" t="s">
        <v>301</v>
      </c>
      <c r="B64" s="20"/>
      <c r="C64" s="20" t="s">
        <v>349</v>
      </c>
      <c r="D64" s="14" t="s">
        <v>18</v>
      </c>
      <c r="E64" s="21" t="str">
        <f t="array" ref="E64">IFERROR(IF(INDEX('de para abc'!$C:$C,MATCH($B64,'de para abc'!$A:$A,0))=0,"C",INDEX('de para abc'!$C:$C,MATCH($B64,'de para abc'!$A:$A,0))),IFERROR(IF(INDEX('de para abc'!$C:$C,MATCH($C64,'de para abc'!$B:$B,0))=0,"C",INDEX('de para abc'!$C:$C,MATCH($C64,'de para abc'!$B:$B,0))),"C"))</f>
        <v>C</v>
      </c>
      <c r="F64" s="44">
        <v>4</v>
      </c>
    </row>
    <row r="65" spans="1:6" ht="15.75" customHeight="1" x14ac:dyDescent="0.25">
      <c r="A65" s="14" t="s">
        <v>301</v>
      </c>
      <c r="B65" s="20"/>
      <c r="C65" s="20" t="s">
        <v>350</v>
      </c>
      <c r="D65" s="14" t="s">
        <v>18</v>
      </c>
      <c r="E65" s="21" t="str">
        <f t="array" ref="E65">IFERROR(IF(INDEX('de para abc'!$C:$C,MATCH($B65,'de para abc'!$A:$A,0))=0,"C",INDEX('de para abc'!$C:$C,MATCH($B65,'de para abc'!$A:$A,0))),IFERROR(IF(INDEX('de para abc'!$C:$C,MATCH($C65,'de para abc'!$B:$B,0))=0,"C",INDEX('de para abc'!$C:$C,MATCH($C65,'de para abc'!$B:$B,0))),"C"))</f>
        <v>C</v>
      </c>
      <c r="F65" s="44">
        <v>2</v>
      </c>
    </row>
    <row r="66" spans="1:6" ht="15.75" customHeight="1" x14ac:dyDescent="0.25">
      <c r="A66" s="14" t="s">
        <v>301</v>
      </c>
      <c r="B66" s="20">
        <v>1000171</v>
      </c>
      <c r="C66" s="20" t="s">
        <v>351</v>
      </c>
      <c r="D66" s="14" t="s">
        <v>18</v>
      </c>
      <c r="E66" s="21" t="str">
        <f t="array" ref="E66">IFERROR(IF(INDEX('de para abc'!$C:$C,MATCH($B66,'de para abc'!$A:$A,0))=0,"C",INDEX('de para abc'!$C:$C,MATCH($B66,'de para abc'!$A:$A,0))),IFERROR(IF(INDEX('de para abc'!$C:$C,MATCH($C66,'de para abc'!$B:$B,0))=0,"C",INDEX('de para abc'!$C:$C,MATCH($C66,'de para abc'!$B:$B,0))),"C"))</f>
        <v>B</v>
      </c>
      <c r="F66" s="44">
        <v>2</v>
      </c>
    </row>
    <row r="67" spans="1:6" ht="15.75" customHeight="1" x14ac:dyDescent="0.25">
      <c r="A67" s="14" t="s">
        <v>301</v>
      </c>
      <c r="B67" s="20">
        <v>1000167</v>
      </c>
      <c r="C67" s="20" t="s">
        <v>352</v>
      </c>
      <c r="D67" s="14" t="s">
        <v>18</v>
      </c>
      <c r="E67" s="21" t="str">
        <f t="array" ref="E67">IFERROR(IF(INDEX('de para abc'!$C:$C,MATCH($B67,'de para abc'!$A:$A,0))=0,"C",INDEX('de para abc'!$C:$C,MATCH($B67,'de para abc'!$A:$A,0))),IFERROR(IF(INDEX('de para abc'!$C:$C,MATCH($C67,'de para abc'!$B:$B,0))=0,"C",INDEX('de para abc'!$C:$C,MATCH($C67,'de para abc'!$B:$B,0))),"C"))</f>
        <v>B</v>
      </c>
      <c r="F67" s="44">
        <v>2</v>
      </c>
    </row>
    <row r="68" spans="1:6" ht="15.75" customHeight="1" x14ac:dyDescent="0.25">
      <c r="A68" s="14" t="s">
        <v>301</v>
      </c>
      <c r="B68" s="20"/>
      <c r="C68" s="20" t="s">
        <v>353</v>
      </c>
      <c r="D68" s="14" t="s">
        <v>18</v>
      </c>
      <c r="E68" s="21" t="str">
        <f t="array" ref="E68">IFERROR(IF(INDEX('de para abc'!$C:$C,MATCH($B68,'de para abc'!$A:$A,0))=0,"C",INDEX('de para abc'!$C:$C,MATCH($B68,'de para abc'!$A:$A,0))),IFERROR(IF(INDEX('de para abc'!$C:$C,MATCH($C68,'de para abc'!$B:$B,0))=0,"C",INDEX('de para abc'!$C:$C,MATCH($C68,'de para abc'!$B:$B,0))),"C"))</f>
        <v>C</v>
      </c>
      <c r="F68" s="44">
        <v>1</v>
      </c>
    </row>
    <row r="69" spans="1:6" ht="15.75" customHeight="1" x14ac:dyDescent="0.25">
      <c r="A69" s="14" t="s">
        <v>301</v>
      </c>
      <c r="B69" s="20"/>
      <c r="C69" s="20" t="s">
        <v>354</v>
      </c>
      <c r="D69" s="14" t="s">
        <v>18</v>
      </c>
      <c r="E69" s="21" t="str">
        <f t="array" ref="E69">IFERROR(IF(INDEX('de para abc'!$C:$C,MATCH($B69,'de para abc'!$A:$A,0))=0,"C",INDEX('de para abc'!$C:$C,MATCH($B69,'de para abc'!$A:$A,0))),IFERROR(IF(INDEX('de para abc'!$C:$C,MATCH($C69,'de para abc'!$B:$B,0))=0,"C",INDEX('de para abc'!$C:$C,MATCH($C69,'de para abc'!$B:$B,0))),"C"))</f>
        <v>C</v>
      </c>
      <c r="F69" s="44">
        <v>2</v>
      </c>
    </row>
    <row r="70" spans="1:6" ht="15.75" customHeight="1" x14ac:dyDescent="0.25">
      <c r="A70" s="14" t="s">
        <v>301</v>
      </c>
      <c r="B70" s="22">
        <v>1000363</v>
      </c>
      <c r="C70" s="23" t="s">
        <v>160</v>
      </c>
      <c r="D70" s="14" t="s">
        <v>18</v>
      </c>
      <c r="E70" s="21" t="str">
        <f t="array" ref="E70">IFERROR(IF(INDEX('de para abc'!$C:$C,MATCH($B70,'de para abc'!$A:$A,0))=0,"C",INDEX('de para abc'!$C:$C,MATCH($B70,'de para abc'!$A:$A,0))),IFERROR(IF(INDEX('de para abc'!$C:$C,MATCH($C70,'de para abc'!$B:$B,0))=0,"C",INDEX('de para abc'!$C:$C,MATCH($C70,'de para abc'!$B:$B,0))),"C"))</f>
        <v>A</v>
      </c>
      <c r="F70" s="44">
        <v>9</v>
      </c>
    </row>
    <row r="71" spans="1:6" ht="15.75" customHeight="1" x14ac:dyDescent="0.25">
      <c r="A71" s="14" t="s">
        <v>301</v>
      </c>
      <c r="B71" s="22">
        <v>1001476</v>
      </c>
      <c r="C71" s="23" t="s">
        <v>165</v>
      </c>
      <c r="D71" s="14" t="s">
        <v>18</v>
      </c>
      <c r="E71" s="21" t="str">
        <f t="array" ref="E71">IFERROR(IF(INDEX('de para abc'!$C:$C,MATCH($B71,'de para abc'!$A:$A,0))=0,"C",INDEX('de para abc'!$C:$C,MATCH($B71,'de para abc'!$A:$A,0))),IFERROR(IF(INDEX('de para abc'!$C:$C,MATCH($C71,'de para abc'!$B:$B,0))=0,"C",INDEX('de para abc'!$C:$C,MATCH($C71,'de para abc'!$B:$B,0))),"C"))</f>
        <v>A</v>
      </c>
      <c r="F71" s="44">
        <v>10</v>
      </c>
    </row>
    <row r="72" spans="1:6" ht="15.75" customHeight="1" x14ac:dyDescent="0.25">
      <c r="A72" s="14" t="s">
        <v>301</v>
      </c>
      <c r="B72" s="24">
        <v>1001241</v>
      </c>
      <c r="C72" s="25" t="s">
        <v>205</v>
      </c>
      <c r="D72" s="14" t="s">
        <v>18</v>
      </c>
      <c r="E72" s="21" t="str">
        <f t="array" ref="E72">IFERROR(IF(INDEX('de para abc'!$C:$C,MATCH($B72,'de para abc'!$A:$A,0))=0,"C",INDEX('de para abc'!$C:$C,MATCH($B72,'de para abc'!$A:$A,0))),IFERROR(IF(INDEX('de para abc'!$C:$C,MATCH($C72,'de para abc'!$B:$B,0))=0,"C",INDEX('de para abc'!$C:$C,MATCH($C72,'de para abc'!$B:$B,0))),"C"))</f>
        <v>B</v>
      </c>
      <c r="F72" s="44">
        <v>1</v>
      </c>
    </row>
    <row r="73" spans="1:6" ht="15.75" customHeight="1" x14ac:dyDescent="0.25">
      <c r="A73" s="14" t="s">
        <v>69</v>
      </c>
      <c r="B73" s="21"/>
      <c r="C73" s="20" t="s">
        <v>355</v>
      </c>
      <c r="D73" s="14" t="s">
        <v>18</v>
      </c>
      <c r="E73" s="21" t="str">
        <f t="array" ref="E73">IFERROR(IF(INDEX('de para abc'!$C:$C,MATCH($B73,'de para abc'!$A:$A,0))=0,"C",INDEX('de para abc'!$C:$C,MATCH($B73,'de para abc'!$A:$A,0))),IFERROR(IF(INDEX('de para abc'!$C:$C,MATCH($C73,'de para abc'!$B:$B,0))=0,"C",INDEX('de para abc'!$C:$C,MATCH($C73,'de para abc'!$B:$B,0))),"C"))</f>
        <v>C</v>
      </c>
      <c r="F73" s="44">
        <v>3</v>
      </c>
    </row>
    <row r="74" spans="1:6" ht="15.75" customHeight="1" x14ac:dyDescent="0.25">
      <c r="A74" s="14" t="s">
        <v>69</v>
      </c>
      <c r="B74" s="21"/>
      <c r="C74" s="20" t="s">
        <v>356</v>
      </c>
      <c r="D74" s="14" t="s">
        <v>18</v>
      </c>
      <c r="E74" s="21" t="str">
        <f t="array" ref="E74">IFERROR(IF(INDEX('de para abc'!$C:$C,MATCH($B74,'de para abc'!$A:$A,0))=0,"C",INDEX('de para abc'!$C:$C,MATCH($B74,'de para abc'!$A:$A,0))),IFERROR(IF(INDEX('de para abc'!$C:$C,MATCH($C74,'de para abc'!$B:$B,0))=0,"C",INDEX('de para abc'!$C:$C,MATCH($C74,'de para abc'!$B:$B,0))),"C"))</f>
        <v>C</v>
      </c>
      <c r="F74" s="44">
        <v>13</v>
      </c>
    </row>
    <row r="75" spans="1:6" ht="15.75" customHeight="1" x14ac:dyDescent="0.25">
      <c r="A75" s="14" t="s">
        <v>69</v>
      </c>
      <c r="B75" s="21"/>
      <c r="C75" s="20" t="s">
        <v>357</v>
      </c>
      <c r="D75" s="14" t="s">
        <v>18</v>
      </c>
      <c r="E75" s="21" t="str">
        <f t="array" ref="E75">IFERROR(IF(INDEX('de para abc'!$C:$C,MATCH($B75,'de para abc'!$A:$A,0))=0,"C",INDEX('de para abc'!$C:$C,MATCH($B75,'de para abc'!$A:$A,0))),IFERROR(IF(INDEX('de para abc'!$C:$C,MATCH($C75,'de para abc'!$B:$B,0))=0,"C",INDEX('de para abc'!$C:$C,MATCH($C75,'de para abc'!$B:$B,0))),"C"))</f>
        <v>C</v>
      </c>
      <c r="F75" s="44">
        <v>4</v>
      </c>
    </row>
    <row r="76" spans="1:6" ht="15.75" customHeight="1" x14ac:dyDescent="0.25">
      <c r="A76" s="14" t="s">
        <v>69</v>
      </c>
      <c r="B76" s="21"/>
      <c r="C76" s="20" t="s">
        <v>358</v>
      </c>
      <c r="D76" s="14" t="s">
        <v>18</v>
      </c>
      <c r="E76" s="21" t="str">
        <f t="array" ref="E76">IFERROR(IF(INDEX('de para abc'!$C:$C,MATCH($B76,'de para abc'!$A:$A,0))=0,"C",INDEX('de para abc'!$C:$C,MATCH($B76,'de para abc'!$A:$A,0))),IFERROR(IF(INDEX('de para abc'!$C:$C,MATCH($C76,'de para abc'!$B:$B,0))=0,"C",INDEX('de para abc'!$C:$C,MATCH($C76,'de para abc'!$B:$B,0))),"C"))</f>
        <v>C</v>
      </c>
      <c r="F76" s="44">
        <v>21</v>
      </c>
    </row>
    <row r="77" spans="1:6" ht="15.75" customHeight="1" x14ac:dyDescent="0.25">
      <c r="A77" s="14" t="s">
        <v>69</v>
      </c>
      <c r="B77" s="21"/>
      <c r="C77" s="20" t="s">
        <v>359</v>
      </c>
      <c r="D77" s="14" t="s">
        <v>18</v>
      </c>
      <c r="E77" s="21" t="str">
        <f t="array" ref="E77">IFERROR(IF(INDEX('de para abc'!$C:$C,MATCH($B77,'de para abc'!$A:$A,0))=0,"C",INDEX('de para abc'!$C:$C,MATCH($B77,'de para abc'!$A:$A,0))),IFERROR(IF(INDEX('de para abc'!$C:$C,MATCH($C77,'de para abc'!$B:$B,0))=0,"C",INDEX('de para abc'!$C:$C,MATCH($C77,'de para abc'!$B:$B,0))),"C"))</f>
        <v>C</v>
      </c>
      <c r="F77" s="44">
        <v>21</v>
      </c>
    </row>
    <row r="78" spans="1:6" ht="15.75" customHeight="1" x14ac:dyDescent="0.25">
      <c r="A78" s="14" t="s">
        <v>69</v>
      </c>
      <c r="B78" s="21"/>
      <c r="C78" s="20" t="s">
        <v>360</v>
      </c>
      <c r="D78" s="14" t="s">
        <v>273</v>
      </c>
      <c r="E78" s="21" t="str">
        <f t="array" ref="E78">IFERROR(IF(INDEX('de para abc'!$C:$C,MATCH($B78,'de para abc'!$A:$A,0))=0,"C",INDEX('de para abc'!$C:$C,MATCH($B78,'de para abc'!$A:$A,0))),IFERROR(IF(INDEX('de para abc'!$C:$C,MATCH($C78,'de para abc'!$B:$B,0))=0,"C",INDEX('de para abc'!$C:$C,MATCH($C78,'de para abc'!$B:$B,0))),"C"))</f>
        <v>C</v>
      </c>
      <c r="F78" s="44">
        <v>5</v>
      </c>
    </row>
    <row r="79" spans="1:6" ht="15.75" customHeight="1" x14ac:dyDescent="0.25">
      <c r="A79" s="14" t="s">
        <v>69</v>
      </c>
      <c r="B79" s="21"/>
      <c r="C79" s="20" t="s">
        <v>361</v>
      </c>
      <c r="D79" s="14" t="s">
        <v>18</v>
      </c>
      <c r="E79" s="21" t="str">
        <f t="array" ref="E79">IFERROR(IF(INDEX('de para abc'!$C:$C,MATCH($B79,'de para abc'!$A:$A,0))=0,"C",INDEX('de para abc'!$C:$C,MATCH($B79,'de para abc'!$A:$A,0))),IFERROR(IF(INDEX('de para abc'!$C:$C,MATCH($C79,'de para abc'!$B:$B,0))=0,"C",INDEX('de para abc'!$C:$C,MATCH($C79,'de para abc'!$B:$B,0))),"C"))</f>
        <v>C</v>
      </c>
      <c r="F79" s="44">
        <v>7</v>
      </c>
    </row>
    <row r="80" spans="1:6" ht="15.75" customHeight="1" x14ac:dyDescent="0.25">
      <c r="A80" s="14" t="s">
        <v>69</v>
      </c>
      <c r="B80" s="21"/>
      <c r="C80" s="20" t="s">
        <v>362</v>
      </c>
      <c r="D80" s="14" t="s">
        <v>18</v>
      </c>
      <c r="E80" s="21" t="str">
        <f t="array" ref="E80">IFERROR(IF(INDEX('de para abc'!$C:$C,MATCH($B80,'de para abc'!$A:$A,0))=0,"C",INDEX('de para abc'!$C:$C,MATCH($B80,'de para abc'!$A:$A,0))),IFERROR(IF(INDEX('de para abc'!$C:$C,MATCH($C80,'de para abc'!$B:$B,0))=0,"C",INDEX('de para abc'!$C:$C,MATCH($C80,'de para abc'!$B:$B,0))),"C"))</f>
        <v>C</v>
      </c>
      <c r="F80" s="44">
        <v>6</v>
      </c>
    </row>
    <row r="81" spans="1:6" ht="15.75" customHeight="1" x14ac:dyDescent="0.25">
      <c r="A81" s="14" t="s">
        <v>69</v>
      </c>
      <c r="B81" s="21"/>
      <c r="C81" s="20" t="s">
        <v>363</v>
      </c>
      <c r="D81" s="14" t="s">
        <v>18</v>
      </c>
      <c r="E81" s="21" t="str">
        <f t="array" ref="E81">IFERROR(IF(INDEX('de para abc'!$C:$C,MATCH($B81,'de para abc'!$A:$A,0))=0,"C",INDEX('de para abc'!$C:$C,MATCH($B81,'de para abc'!$A:$A,0))),IFERROR(IF(INDEX('de para abc'!$C:$C,MATCH($C81,'de para abc'!$B:$B,0))=0,"C",INDEX('de para abc'!$C:$C,MATCH($C81,'de para abc'!$B:$B,0))),"C"))</f>
        <v>C</v>
      </c>
      <c r="F81" s="44">
        <v>4</v>
      </c>
    </row>
    <row r="82" spans="1:6" ht="15.75" customHeight="1" x14ac:dyDescent="0.25">
      <c r="A82" s="14" t="s">
        <v>69</v>
      </c>
      <c r="B82" s="21"/>
      <c r="C82" s="20" t="s">
        <v>364</v>
      </c>
      <c r="D82" s="14" t="s">
        <v>18</v>
      </c>
      <c r="E82" s="21" t="str">
        <f t="array" ref="E82">IFERROR(IF(INDEX('de para abc'!$C:$C,MATCH($B82,'de para abc'!$A:$A,0))=0,"C",INDEX('de para abc'!$C:$C,MATCH($B82,'de para abc'!$A:$A,0))),IFERROR(IF(INDEX('de para abc'!$C:$C,MATCH($C82,'de para abc'!$B:$B,0))=0,"C",INDEX('de para abc'!$C:$C,MATCH($C82,'de para abc'!$B:$B,0))),"C"))</f>
        <v>C</v>
      </c>
      <c r="F82" s="44">
        <v>9</v>
      </c>
    </row>
    <row r="83" spans="1:6" ht="15.75" customHeight="1" x14ac:dyDescent="0.25">
      <c r="A83" s="14" t="s">
        <v>69</v>
      </c>
      <c r="B83" s="21"/>
      <c r="C83" s="20" t="s">
        <v>365</v>
      </c>
      <c r="D83" s="14" t="s">
        <v>71</v>
      </c>
      <c r="E83" s="21" t="str">
        <f t="array" ref="E83">IFERROR(IF(INDEX('de para abc'!$C:$C,MATCH($B83,'de para abc'!$A:$A,0))=0,"C",INDEX('de para abc'!$C:$C,MATCH($B83,'de para abc'!$A:$A,0))),IFERROR(IF(INDEX('de para abc'!$C:$C,MATCH($C83,'de para abc'!$B:$B,0))=0,"C",INDEX('de para abc'!$C:$C,MATCH($C83,'de para abc'!$B:$B,0))),"C"))</f>
        <v>C</v>
      </c>
      <c r="F83" s="44">
        <v>5</v>
      </c>
    </row>
    <row r="84" spans="1:6" ht="15.75" customHeight="1" x14ac:dyDescent="0.25">
      <c r="A84" s="14" t="s">
        <v>69</v>
      </c>
      <c r="B84" s="21"/>
      <c r="C84" s="20" t="s">
        <v>366</v>
      </c>
      <c r="D84" s="14" t="s">
        <v>71</v>
      </c>
      <c r="E84" s="21" t="str">
        <f t="array" ref="E84">IFERROR(IF(INDEX('de para abc'!$C:$C,MATCH($B84,'de para abc'!$A:$A,0))=0,"C",INDEX('de para abc'!$C:$C,MATCH($B84,'de para abc'!$A:$A,0))),IFERROR(IF(INDEX('de para abc'!$C:$C,MATCH($C84,'de para abc'!$B:$B,0))=0,"C",INDEX('de para abc'!$C:$C,MATCH($C84,'de para abc'!$B:$B,0))),"C"))</f>
        <v>C</v>
      </c>
      <c r="F84" s="44">
        <v>7</v>
      </c>
    </row>
    <row r="85" spans="1:6" ht="15.75" customHeight="1" x14ac:dyDescent="0.25">
      <c r="A85" s="14" t="s">
        <v>69</v>
      </c>
      <c r="B85" s="21"/>
      <c r="C85" s="20" t="s">
        <v>367</v>
      </c>
      <c r="D85" s="14" t="s">
        <v>18</v>
      </c>
      <c r="E85" s="21" t="str">
        <f t="array" ref="E85">IFERROR(IF(INDEX('de para abc'!$C:$C,MATCH($B85,'de para abc'!$A:$A,0))=0,"C",INDEX('de para abc'!$C:$C,MATCH($B85,'de para abc'!$A:$A,0))),IFERROR(IF(INDEX('de para abc'!$C:$C,MATCH($C85,'de para abc'!$B:$B,0))=0,"C",INDEX('de para abc'!$C:$C,MATCH($C85,'de para abc'!$B:$B,0))),"C"))</f>
        <v>C</v>
      </c>
      <c r="F85" s="44">
        <v>28</v>
      </c>
    </row>
    <row r="86" spans="1:6" ht="15.75" customHeight="1" x14ac:dyDescent="0.25">
      <c r="A86" s="14" t="s">
        <v>69</v>
      </c>
      <c r="B86" s="21"/>
      <c r="C86" s="20" t="s">
        <v>368</v>
      </c>
      <c r="D86" s="14" t="s">
        <v>18</v>
      </c>
      <c r="E86" s="21" t="str">
        <f t="array" ref="E86">IFERROR(IF(INDEX('de para abc'!$C:$C,MATCH($B86,'de para abc'!$A:$A,0))=0,"C",INDEX('de para abc'!$C:$C,MATCH($B86,'de para abc'!$A:$A,0))),IFERROR(IF(INDEX('de para abc'!$C:$C,MATCH($C86,'de para abc'!$B:$B,0))=0,"C",INDEX('de para abc'!$C:$C,MATCH($C86,'de para abc'!$B:$B,0))),"C"))</f>
        <v>C</v>
      </c>
      <c r="F86" s="44">
        <v>6</v>
      </c>
    </row>
    <row r="87" spans="1:6" ht="15.75" customHeight="1" x14ac:dyDescent="0.25">
      <c r="A87" s="14" t="s">
        <v>69</v>
      </c>
      <c r="B87" s="21"/>
      <c r="C87" s="20" t="s">
        <v>369</v>
      </c>
      <c r="D87" s="14" t="s">
        <v>18</v>
      </c>
      <c r="E87" s="21" t="str">
        <f t="array" ref="E87">IFERROR(IF(INDEX('de para abc'!$C:$C,MATCH($B87,'de para abc'!$A:$A,0))=0,"C",INDEX('de para abc'!$C:$C,MATCH($B87,'de para abc'!$A:$A,0))),IFERROR(IF(INDEX('de para abc'!$C:$C,MATCH($C87,'de para abc'!$B:$B,0))=0,"C",INDEX('de para abc'!$C:$C,MATCH($C87,'de para abc'!$B:$B,0))),"C"))</f>
        <v>C</v>
      </c>
      <c r="F87" s="44">
        <v>8</v>
      </c>
    </row>
    <row r="88" spans="1:6" ht="15.75" customHeight="1" x14ac:dyDescent="0.25">
      <c r="A88" s="14" t="s">
        <v>69</v>
      </c>
      <c r="B88" s="21"/>
      <c r="C88" s="20" t="s">
        <v>370</v>
      </c>
      <c r="D88" s="14" t="s">
        <v>18</v>
      </c>
      <c r="E88" s="21" t="str">
        <f t="array" ref="E88">IFERROR(IF(INDEX('de para abc'!$C:$C,MATCH($B88,'de para abc'!$A:$A,0))=0,"C",INDEX('de para abc'!$C:$C,MATCH($B88,'de para abc'!$A:$A,0))),IFERROR(IF(INDEX('de para abc'!$C:$C,MATCH($C88,'de para abc'!$B:$B,0))=0,"C",INDEX('de para abc'!$C:$C,MATCH($C88,'de para abc'!$B:$B,0))),"C"))</f>
        <v>C</v>
      </c>
      <c r="F88" s="44">
        <v>1</v>
      </c>
    </row>
    <row r="89" spans="1:6" ht="15.75" customHeight="1" x14ac:dyDescent="0.25">
      <c r="A89" s="14" t="s">
        <v>69</v>
      </c>
      <c r="B89" s="21"/>
      <c r="C89" s="20" t="s">
        <v>371</v>
      </c>
      <c r="D89" s="14" t="s">
        <v>18</v>
      </c>
      <c r="E89" s="21" t="str">
        <f t="array" ref="E89">IFERROR(IF(INDEX('de para abc'!$C:$C,MATCH($B89,'de para abc'!$A:$A,0))=0,"C",INDEX('de para abc'!$C:$C,MATCH($B89,'de para abc'!$A:$A,0))),IFERROR(IF(INDEX('de para abc'!$C:$C,MATCH($C89,'de para abc'!$B:$B,0))=0,"C",INDEX('de para abc'!$C:$C,MATCH($C89,'de para abc'!$B:$B,0))),"C"))</f>
        <v>C</v>
      </c>
      <c r="F89" s="44">
        <v>14</v>
      </c>
    </row>
    <row r="90" spans="1:6" ht="15.75" customHeight="1" x14ac:dyDescent="0.25">
      <c r="A90" s="14" t="s">
        <v>69</v>
      </c>
      <c r="B90" s="21"/>
      <c r="C90" s="20" t="s">
        <v>372</v>
      </c>
      <c r="D90" s="14" t="s">
        <v>18</v>
      </c>
      <c r="E90" s="21" t="str">
        <f t="array" ref="E90">IFERROR(IF(INDEX('de para abc'!$C:$C,MATCH($B90,'de para abc'!$A:$A,0))=0,"C",INDEX('de para abc'!$C:$C,MATCH($B90,'de para abc'!$A:$A,0))),IFERROR(IF(INDEX('de para abc'!$C:$C,MATCH($C90,'de para abc'!$B:$B,0))=0,"C",INDEX('de para abc'!$C:$C,MATCH($C90,'de para abc'!$B:$B,0))),"C"))</f>
        <v>C</v>
      </c>
      <c r="F90" s="44">
        <v>13</v>
      </c>
    </row>
    <row r="91" spans="1:6" ht="15.75" customHeight="1" x14ac:dyDescent="0.25">
      <c r="A91" s="14" t="s">
        <v>69</v>
      </c>
      <c r="B91" s="21"/>
      <c r="C91" s="20" t="s">
        <v>373</v>
      </c>
      <c r="D91" s="14" t="s">
        <v>18</v>
      </c>
      <c r="E91" s="21" t="str">
        <f t="array" ref="E91">IFERROR(IF(INDEX('de para abc'!$C:$C,MATCH($B91,'de para abc'!$A:$A,0))=0,"C",INDEX('de para abc'!$C:$C,MATCH($B91,'de para abc'!$A:$A,0))),IFERROR(IF(INDEX('de para abc'!$C:$C,MATCH($C91,'de para abc'!$B:$B,0))=0,"C",INDEX('de para abc'!$C:$C,MATCH($C91,'de para abc'!$B:$B,0))),"C"))</f>
        <v>C</v>
      </c>
      <c r="F91" s="44">
        <v>13</v>
      </c>
    </row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791"/>
  <sheetViews>
    <sheetView zoomScale="73" workbookViewId="0">
      <pane ySplit="4" topLeftCell="A227" activePane="bottomLeft" state="frozen"/>
      <selection pane="bottomLeft" activeCell="G246" sqref="G246"/>
    </sheetView>
  </sheetViews>
  <sheetFormatPr defaultColWidth="14.42578125" defaultRowHeight="15" customHeight="1" x14ac:dyDescent="0.25"/>
  <cols>
    <col min="3" max="3" width="51.85546875" customWidth="1"/>
    <col min="5" max="5" width="16" customWidth="1"/>
  </cols>
  <sheetData>
    <row r="1" spans="1:10" ht="15" customHeight="1" x14ac:dyDescent="0.3">
      <c r="A1" s="1" t="s">
        <v>3443</v>
      </c>
      <c r="D1" s="26"/>
      <c r="E1" s="26"/>
      <c r="F1" s="26"/>
    </row>
    <row r="2" spans="1:10" x14ac:dyDescent="0.25">
      <c r="A2" s="2" t="s">
        <v>3444</v>
      </c>
      <c r="D2" s="26"/>
      <c r="E2" s="26"/>
      <c r="F2" s="26"/>
    </row>
    <row r="3" spans="1:10" x14ac:dyDescent="0.25">
      <c r="A3" s="26"/>
      <c r="B3" s="26"/>
      <c r="C3" s="26"/>
      <c r="D3" s="26"/>
      <c r="E3" s="26"/>
      <c r="F3" s="26"/>
    </row>
    <row r="4" spans="1:10" x14ac:dyDescent="0.25">
      <c r="A4" s="47" t="s">
        <v>2</v>
      </c>
      <c r="B4" s="48" t="s">
        <v>3</v>
      </c>
      <c r="C4" s="48" t="s">
        <v>4</v>
      </c>
      <c r="D4" s="48" t="s">
        <v>5</v>
      </c>
      <c r="E4" s="48" t="s">
        <v>128</v>
      </c>
      <c r="F4" s="49" t="s">
        <v>7</v>
      </c>
      <c r="H4" s="31" t="s">
        <v>2</v>
      </c>
      <c r="I4" s="31" t="s">
        <v>192</v>
      </c>
      <c r="J4" s="31" t="s">
        <v>7</v>
      </c>
    </row>
    <row r="5" spans="1:10" x14ac:dyDescent="0.25">
      <c r="A5" s="45" t="s">
        <v>301</v>
      </c>
      <c r="B5" s="34" t="s">
        <v>374</v>
      </c>
      <c r="C5" s="32" t="s">
        <v>375</v>
      </c>
      <c r="D5" s="33" t="s">
        <v>18</v>
      </c>
      <c r="E5" s="33" t="str">
        <f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f>
        <v>C</v>
      </c>
      <c r="F5" s="46">
        <v>0</v>
      </c>
      <c r="H5" s="14" t="s">
        <v>301</v>
      </c>
      <c r="I5" s="35">
        <f>COUNTIF($A$5:$A$252,H5)</f>
        <v>164</v>
      </c>
      <c r="J5" s="35">
        <f>SUMIF($A$5:$A$252,H5,$F$5:$F$252)</f>
        <v>1111</v>
      </c>
    </row>
    <row r="6" spans="1:10" x14ac:dyDescent="0.25">
      <c r="A6" s="45" t="s">
        <v>301</v>
      </c>
      <c r="B6" s="34">
        <v>1000021</v>
      </c>
      <c r="C6" s="32" t="s">
        <v>376</v>
      </c>
      <c r="D6" s="33" t="s">
        <v>10</v>
      </c>
      <c r="E6" s="33" t="str">
        <f>IFERROR(IF(INDEX('de para abc'!$C:$C,MATCH($B6,'de para abc'!$A:$A,0))=0,"C",INDEX('de para abc'!$C:$C,MATCH($B6,'de para abc'!$A:$A,0))),IFERROR(IF(INDEX('de para abc'!$C:$C,MATCH($C6,'de para abc'!$B:$B,0))=0,"C",INDEX('de para abc'!$C:$C,MATCH($C6,'de para abc'!$B:$B,0))),"C"))</f>
        <v>C</v>
      </c>
      <c r="F6" s="46">
        <v>4</v>
      </c>
      <c r="H6" t="s">
        <v>69</v>
      </c>
      <c r="I6" s="36">
        <f>COUNTIF($A$5:$A$252,H6)</f>
        <v>84</v>
      </c>
      <c r="J6" s="36">
        <f>SUMIF($A$5:$A$252,H6,$F$5:$F$252)</f>
        <v>1872</v>
      </c>
    </row>
    <row r="7" spans="1:10" x14ac:dyDescent="0.25">
      <c r="A7" s="45" t="s">
        <v>301</v>
      </c>
      <c r="B7" s="34">
        <v>1006884</v>
      </c>
      <c r="C7" s="32" t="s">
        <v>377</v>
      </c>
      <c r="D7" s="33" t="s">
        <v>18</v>
      </c>
      <c r="E7" s="33" t="str">
        <f>IFERROR(IF(INDEX('de para abc'!$C:$C,MATCH($B7,'de para abc'!$A:$A,0))=0,"C",INDEX('de para abc'!$C:$C,MATCH($B7,'de para abc'!$A:$A,0))),IFERROR(IF(INDEX('de para abc'!$C:$C,MATCH($C7,'de para abc'!$B:$B,0))=0,"C",INDEX('de para abc'!$C:$C,MATCH($C7,'de para abc'!$B:$B,0))),"C"))</f>
        <v>C</v>
      </c>
      <c r="F7" s="46">
        <v>0</v>
      </c>
      <c r="H7" t="s">
        <v>194</v>
      </c>
      <c r="I7" s="36">
        <f>SUM(I5:I6)</f>
        <v>248</v>
      </c>
      <c r="J7" s="36">
        <f>SUM(J5:J6)</f>
        <v>2983</v>
      </c>
    </row>
    <row r="8" spans="1:10" x14ac:dyDescent="0.25">
      <c r="A8" s="45" t="s">
        <v>301</v>
      </c>
      <c r="B8" s="34">
        <v>1006882</v>
      </c>
      <c r="C8" s="32" t="s">
        <v>378</v>
      </c>
      <c r="D8" s="33" t="s">
        <v>18</v>
      </c>
      <c r="E8" s="33" t="str">
        <f>IFERROR(IF(INDEX('de para abc'!$C:$C,MATCH($B8,'de para abc'!$A:$A,0))=0,"C",INDEX('de para abc'!$C:$C,MATCH($B8,'de para abc'!$A:$A,0))),IFERROR(IF(INDEX('de para abc'!$C:$C,MATCH($C8,'de para abc'!$B:$B,0))=0,"C",INDEX('de para abc'!$C:$C,MATCH($C8,'de para abc'!$B:$B,0))),"C"))</f>
        <v>C</v>
      </c>
      <c r="F8" s="46">
        <v>0</v>
      </c>
    </row>
    <row r="9" spans="1:10" x14ac:dyDescent="0.25">
      <c r="A9" s="45" t="s">
        <v>301</v>
      </c>
      <c r="B9" s="34">
        <v>1006885</v>
      </c>
      <c r="C9" s="32" t="s">
        <v>379</v>
      </c>
      <c r="D9" s="33" t="s">
        <v>18</v>
      </c>
      <c r="E9" s="33" t="str">
        <f>IFERROR(IF(INDEX('de para abc'!$C:$C,MATCH($B9,'de para abc'!$A:$A,0))=0,"C",INDEX('de para abc'!$C:$C,MATCH($B9,'de para abc'!$A:$A,0))),IFERROR(IF(INDEX('de para abc'!$C:$C,MATCH($C9,'de para abc'!$B:$B,0))=0,"C",INDEX('de para abc'!$C:$C,MATCH($C9,'de para abc'!$B:$B,0))),"C"))</f>
        <v>C</v>
      </c>
      <c r="F9" s="46">
        <v>0</v>
      </c>
    </row>
    <row r="10" spans="1:10" x14ac:dyDescent="0.25">
      <c r="A10" s="45" t="s">
        <v>301</v>
      </c>
      <c r="B10" s="34">
        <v>1006883</v>
      </c>
      <c r="C10" s="32" t="s">
        <v>380</v>
      </c>
      <c r="D10" s="33" t="s">
        <v>18</v>
      </c>
      <c r="E10" s="33" t="str">
        <f>IFERROR(IF(INDEX('de para abc'!$C:$C,MATCH($B10,'de para abc'!$A:$A,0))=0,"C",INDEX('de para abc'!$C:$C,MATCH($B10,'de para abc'!$A:$A,0))),IFERROR(IF(INDEX('de para abc'!$C:$C,MATCH($C10,'de para abc'!$B:$B,0))=0,"C",INDEX('de para abc'!$C:$C,MATCH($C10,'de para abc'!$B:$B,0))),"C"))</f>
        <v>C</v>
      </c>
      <c r="F10" s="46">
        <v>0</v>
      </c>
    </row>
    <row r="11" spans="1:10" x14ac:dyDescent="0.25">
      <c r="A11" s="45" t="s">
        <v>301</v>
      </c>
      <c r="B11" s="34">
        <v>1000032</v>
      </c>
      <c r="C11" s="32" t="s">
        <v>9</v>
      </c>
      <c r="D11" s="33" t="s">
        <v>10</v>
      </c>
      <c r="E11" s="33" t="str">
        <f>IFERROR(IF(INDEX('de para abc'!$C:$C,MATCH($B11,'de para abc'!$A:$A,0))=0,"C",INDEX('de para abc'!$C:$C,MATCH($B11,'de para abc'!$A:$A,0))),IFERROR(IF(INDEX('de para abc'!$C:$C,MATCH($C11,'de para abc'!$B:$B,0))=0,"C",INDEX('de para abc'!$C:$C,MATCH($C11,'de para abc'!$B:$B,0))),"C"))</f>
        <v>A</v>
      </c>
      <c r="F11" s="46">
        <v>29</v>
      </c>
    </row>
    <row r="12" spans="1:10" x14ac:dyDescent="0.25">
      <c r="A12" s="45" t="s">
        <v>301</v>
      </c>
      <c r="B12" s="34">
        <v>1000033</v>
      </c>
      <c r="C12" s="32" t="s">
        <v>12</v>
      </c>
      <c r="D12" s="33" t="s">
        <v>10</v>
      </c>
      <c r="E12" s="33" t="str">
        <f>IFERROR(IF(INDEX('de para abc'!$C:$C,MATCH($B12,'de para abc'!$A:$A,0))=0,"C",INDEX('de para abc'!$C:$C,MATCH($B12,'de para abc'!$A:$A,0))),IFERROR(IF(INDEX('de para abc'!$C:$C,MATCH($C12,'de para abc'!$B:$B,0))=0,"C",INDEX('de para abc'!$C:$C,MATCH($C12,'de para abc'!$B:$B,0))),"C"))</f>
        <v>A</v>
      </c>
      <c r="F12" s="46">
        <v>7</v>
      </c>
    </row>
    <row r="13" spans="1:10" x14ac:dyDescent="0.25">
      <c r="A13" s="45" t="s">
        <v>301</v>
      </c>
      <c r="B13" s="34">
        <v>1000035</v>
      </c>
      <c r="C13" s="32" t="s">
        <v>381</v>
      </c>
      <c r="D13" s="33" t="s">
        <v>18</v>
      </c>
      <c r="E13" s="33" t="str">
        <f>IFERROR(IF(INDEX('de para abc'!$C:$C,MATCH($B13,'de para abc'!$A:$A,0))=0,"C",INDEX('de para abc'!$C:$C,MATCH($B13,'de para abc'!$A:$A,0))),IFERROR(IF(INDEX('de para abc'!$C:$C,MATCH($C13,'de para abc'!$B:$B,0))=0,"C",INDEX('de para abc'!$C:$C,MATCH($C13,'de para abc'!$B:$B,0))),"C"))</f>
        <v>B</v>
      </c>
      <c r="F13" s="46">
        <v>0</v>
      </c>
    </row>
    <row r="14" spans="1:10" x14ac:dyDescent="0.25">
      <c r="A14" s="45" t="s">
        <v>301</v>
      </c>
      <c r="B14" s="34">
        <v>1000037</v>
      </c>
      <c r="C14" s="32" t="s">
        <v>46</v>
      </c>
      <c r="D14" s="33" t="s">
        <v>10</v>
      </c>
      <c r="E14" s="33" t="str">
        <f>IFERROR(IF(INDEX('de para abc'!$C:$C,MATCH($B14,'de para abc'!$A:$A,0))=0,"C",INDEX('de para abc'!$C:$C,MATCH($B14,'de para abc'!$A:$A,0))),IFERROR(IF(INDEX('de para abc'!$C:$C,MATCH($C14,'de para abc'!$B:$B,0))=0,"C",INDEX('de para abc'!$C:$C,MATCH($C14,'de para abc'!$B:$B,0))),"C"))</f>
        <v>A</v>
      </c>
      <c r="F14" s="46">
        <v>59</v>
      </c>
    </row>
    <row r="15" spans="1:10" x14ac:dyDescent="0.25">
      <c r="A15" s="45" t="s">
        <v>301</v>
      </c>
      <c r="B15" s="34">
        <v>9000010</v>
      </c>
      <c r="C15" s="32" t="s">
        <v>46</v>
      </c>
      <c r="D15" s="33" t="s">
        <v>18</v>
      </c>
      <c r="E15" s="33" t="str">
        <f>IFERROR(IF(INDEX('de para abc'!$C:$C,MATCH($B15,'de para abc'!$A:$A,0))=0,"C",INDEX('de para abc'!$C:$C,MATCH($B15,'de para abc'!$A:$A,0))),IFERROR(IF(INDEX('de para abc'!$C:$C,MATCH($C15,'de para abc'!$B:$B,0))=0,"C",INDEX('de para abc'!$C:$C,MATCH($C15,'de para abc'!$B:$B,0))),"C"))</f>
        <v>C</v>
      </c>
      <c r="F15" s="46">
        <v>59</v>
      </c>
    </row>
    <row r="16" spans="1:10" x14ac:dyDescent="0.25">
      <c r="A16" s="45" t="s">
        <v>301</v>
      </c>
      <c r="B16" s="34">
        <v>1001260</v>
      </c>
      <c r="C16" s="32" t="s">
        <v>382</v>
      </c>
      <c r="D16" s="33" t="s">
        <v>18</v>
      </c>
      <c r="E16" s="33" t="str">
        <f>IFERROR(IF(INDEX('de para abc'!$C:$C,MATCH($B16,'de para abc'!$A:$A,0))=0,"C",INDEX('de para abc'!$C:$C,MATCH($B16,'de para abc'!$A:$A,0))),IFERROR(IF(INDEX('de para abc'!$C:$C,MATCH($C16,'de para abc'!$B:$B,0))=0,"C",INDEX('de para abc'!$C:$C,MATCH($C16,'de para abc'!$B:$B,0))),"C"))</f>
        <v>C</v>
      </c>
      <c r="F16" s="46">
        <v>3</v>
      </c>
    </row>
    <row r="17" spans="1:6" x14ac:dyDescent="0.25">
      <c r="A17" s="45" t="s">
        <v>301</v>
      </c>
      <c r="B17" s="34">
        <v>1000039</v>
      </c>
      <c r="C17" s="32" t="s">
        <v>16</v>
      </c>
      <c r="D17" s="33" t="s">
        <v>10</v>
      </c>
      <c r="E17" s="33" t="str">
        <f>IFERROR(IF(INDEX('de para abc'!$C:$C,MATCH($B17,'de para abc'!$A:$A,0))=0,"C",INDEX('de para abc'!$C:$C,MATCH($B17,'de para abc'!$A:$A,0))),IFERROR(IF(INDEX('de para abc'!$C:$C,MATCH($C17,'de para abc'!$B:$B,0))=0,"C",INDEX('de para abc'!$C:$C,MATCH($C17,'de para abc'!$B:$B,0))),"C"))</f>
        <v>A</v>
      </c>
      <c r="F17" s="46">
        <v>26</v>
      </c>
    </row>
    <row r="18" spans="1:6" x14ac:dyDescent="0.25">
      <c r="A18" s="45" t="s">
        <v>301</v>
      </c>
      <c r="B18" s="34">
        <v>30030829</v>
      </c>
      <c r="C18" s="32" t="s">
        <v>383</v>
      </c>
      <c r="D18" s="33" t="s">
        <v>10</v>
      </c>
      <c r="E18" s="33" t="str">
        <f>IFERROR(IF(INDEX('de para abc'!$C:$C,MATCH($B18,'de para abc'!$A:$A,0))=0,"C",INDEX('de para abc'!$C:$C,MATCH($B18,'de para abc'!$A:$A,0))),IFERROR(IF(INDEX('de para abc'!$C:$C,MATCH($C18,'de para abc'!$B:$B,0))=0,"C",INDEX('de para abc'!$C:$C,MATCH($C18,'de para abc'!$B:$B,0))),"C"))</f>
        <v>C</v>
      </c>
      <c r="F18" s="46">
        <v>2</v>
      </c>
    </row>
    <row r="19" spans="1:6" x14ac:dyDescent="0.25">
      <c r="A19" s="45" t="s">
        <v>301</v>
      </c>
      <c r="B19" s="34">
        <v>1001029</v>
      </c>
      <c r="C19" s="32" t="s">
        <v>384</v>
      </c>
      <c r="D19" s="33" t="s">
        <v>18</v>
      </c>
      <c r="E19" s="33" t="str">
        <f>IFERROR(IF(INDEX('de para abc'!$C:$C,MATCH($B19,'de para abc'!$A:$A,0))=0,"C",INDEX('de para abc'!$C:$C,MATCH($B19,'de para abc'!$A:$A,0))),IFERROR(IF(INDEX('de para abc'!$C:$C,MATCH($C19,'de para abc'!$B:$B,0))=0,"C",INDEX('de para abc'!$C:$C,MATCH($C19,'de para abc'!$B:$B,0))),"C"))</f>
        <v>C</v>
      </c>
      <c r="F19" s="46">
        <v>0</v>
      </c>
    </row>
    <row r="20" spans="1:6" x14ac:dyDescent="0.25">
      <c r="A20" s="45" t="s">
        <v>301</v>
      </c>
      <c r="B20" s="34">
        <v>1000043</v>
      </c>
      <c r="C20" s="32" t="s">
        <v>385</v>
      </c>
      <c r="D20" s="33" t="s">
        <v>18</v>
      </c>
      <c r="E20" s="33" t="str">
        <f>IFERROR(IF(INDEX('de para abc'!$C:$C,MATCH($B20,'de para abc'!$A:$A,0))=0,"C",INDEX('de para abc'!$C:$C,MATCH($B20,'de para abc'!$A:$A,0))),IFERROR(IF(INDEX('de para abc'!$C:$C,MATCH($C20,'de para abc'!$B:$B,0))=0,"C",INDEX('de para abc'!$C:$C,MATCH($C20,'de para abc'!$B:$B,0))),"C"))</f>
        <v>C</v>
      </c>
      <c r="F20" s="46">
        <v>11</v>
      </c>
    </row>
    <row r="21" spans="1:6" x14ac:dyDescent="0.25">
      <c r="A21" s="45" t="s">
        <v>301</v>
      </c>
      <c r="B21" s="34">
        <v>1000049</v>
      </c>
      <c r="C21" s="32" t="s">
        <v>48</v>
      </c>
      <c r="D21" s="33" t="s">
        <v>10</v>
      </c>
      <c r="E21" s="33" t="str">
        <f>IFERROR(IF(INDEX('de para abc'!$C:$C,MATCH($B21,'de para abc'!$A:$A,0))=0,"C",INDEX('de para abc'!$C:$C,MATCH($B21,'de para abc'!$A:$A,0))),IFERROR(IF(INDEX('de para abc'!$C:$C,MATCH($C21,'de para abc'!$B:$B,0))=0,"C",INDEX('de para abc'!$C:$C,MATCH($C21,'de para abc'!$B:$B,0))),"C"))</f>
        <v>A</v>
      </c>
      <c r="F21" s="46">
        <v>23</v>
      </c>
    </row>
    <row r="22" spans="1:6" x14ac:dyDescent="0.25">
      <c r="A22" s="45" t="s">
        <v>301</v>
      </c>
      <c r="B22" s="34">
        <v>1001110</v>
      </c>
      <c r="C22" s="32" t="s">
        <v>386</v>
      </c>
      <c r="D22" s="33" t="s">
        <v>10</v>
      </c>
      <c r="E22" s="33" t="str">
        <f>IFERROR(IF(INDEX('de para abc'!$C:$C,MATCH($B22,'de para abc'!$A:$A,0))=0,"C",INDEX('de para abc'!$C:$C,MATCH($B22,'de para abc'!$A:$A,0))),IFERROR(IF(INDEX('de para abc'!$C:$C,MATCH($C22,'de para abc'!$B:$B,0))=0,"C",INDEX('de para abc'!$C:$C,MATCH($C22,'de para abc'!$B:$B,0))),"C"))</f>
        <v>B</v>
      </c>
      <c r="F22" s="46">
        <v>23</v>
      </c>
    </row>
    <row r="23" spans="1:6" x14ac:dyDescent="0.25">
      <c r="A23" s="45" t="s">
        <v>301</v>
      </c>
      <c r="B23" s="34">
        <v>1000657</v>
      </c>
      <c r="C23" s="32" t="s">
        <v>387</v>
      </c>
      <c r="D23" s="33" t="s">
        <v>10</v>
      </c>
      <c r="E23" s="33" t="str">
        <f>IFERROR(IF(INDEX('de para abc'!$C:$C,MATCH($B23,'de para abc'!$A:$A,0))=0,"C",INDEX('de para abc'!$C:$C,MATCH($B23,'de para abc'!$A:$A,0))),IFERROR(IF(INDEX('de para abc'!$C:$C,MATCH($C23,'de para abc'!$B:$B,0))=0,"C",INDEX('de para abc'!$C:$C,MATCH($C23,'de para abc'!$B:$B,0))),"C"))</f>
        <v>C</v>
      </c>
      <c r="F23" s="46">
        <v>10</v>
      </c>
    </row>
    <row r="24" spans="1:6" x14ac:dyDescent="0.25">
      <c r="A24" s="45" t="s">
        <v>301</v>
      </c>
      <c r="B24" s="34">
        <v>1001262</v>
      </c>
      <c r="C24" s="32" t="s">
        <v>388</v>
      </c>
      <c r="D24" s="33" t="s">
        <v>18</v>
      </c>
      <c r="E24" s="33" t="str">
        <f>IFERROR(IF(INDEX('de para abc'!$C:$C,MATCH($B24,'de para abc'!$A:$A,0))=0,"C",INDEX('de para abc'!$C:$C,MATCH($B24,'de para abc'!$A:$A,0))),IFERROR(IF(INDEX('de para abc'!$C:$C,MATCH($C24,'de para abc'!$B:$B,0))=0,"C",INDEX('de para abc'!$C:$C,MATCH($C24,'de para abc'!$B:$B,0))),"C"))</f>
        <v>B</v>
      </c>
      <c r="F24" s="46">
        <v>6</v>
      </c>
    </row>
    <row r="25" spans="1:6" x14ac:dyDescent="0.25">
      <c r="A25" s="45" t="s">
        <v>301</v>
      </c>
      <c r="B25" s="34">
        <v>1000065</v>
      </c>
      <c r="C25" s="32" t="s">
        <v>131</v>
      </c>
      <c r="D25" s="33" t="s">
        <v>10</v>
      </c>
      <c r="E25" s="33" t="str">
        <f>IFERROR(IF(INDEX('de para abc'!$C:$C,MATCH($B25,'de para abc'!$A:$A,0))=0,"C",INDEX('de para abc'!$C:$C,MATCH($B25,'de para abc'!$A:$A,0))),IFERROR(IF(INDEX('de para abc'!$C:$C,MATCH($C25,'de para abc'!$B:$B,0))=0,"C",INDEX('de para abc'!$C:$C,MATCH($C25,'de para abc'!$B:$B,0))),"C"))</f>
        <v>A</v>
      </c>
      <c r="F25" s="46">
        <v>33</v>
      </c>
    </row>
    <row r="26" spans="1:6" x14ac:dyDescent="0.25">
      <c r="A26" s="45" t="s">
        <v>301</v>
      </c>
      <c r="B26" s="34">
        <v>1001307</v>
      </c>
      <c r="C26" s="32" t="s">
        <v>389</v>
      </c>
      <c r="D26" s="33" t="s">
        <v>18</v>
      </c>
      <c r="E26" s="33" t="str">
        <f>IFERROR(IF(INDEX('de para abc'!$C:$C,MATCH($B26,'de para abc'!$A:$A,0))=0,"C",INDEX('de para abc'!$C:$C,MATCH($B26,'de para abc'!$A:$A,0))),IFERROR(IF(INDEX('de para abc'!$C:$C,MATCH($C26,'de para abc'!$B:$B,0))=0,"C",INDEX('de para abc'!$C:$C,MATCH($C26,'de para abc'!$B:$B,0))),"C"))</f>
        <v>A</v>
      </c>
      <c r="F26" s="46">
        <v>45</v>
      </c>
    </row>
    <row r="27" spans="1:6" x14ac:dyDescent="0.25">
      <c r="A27" s="45" t="s">
        <v>301</v>
      </c>
      <c r="B27" s="34">
        <v>1000066</v>
      </c>
      <c r="C27" s="32" t="s">
        <v>390</v>
      </c>
      <c r="D27" s="33" t="s">
        <v>18</v>
      </c>
      <c r="E27" s="33" t="str">
        <f>IFERROR(IF(INDEX('de para abc'!$C:$C,MATCH($B27,'de para abc'!$A:$A,0))=0,"C",INDEX('de para abc'!$C:$C,MATCH($B27,'de para abc'!$A:$A,0))),IFERROR(IF(INDEX('de para abc'!$C:$C,MATCH($C27,'de para abc'!$B:$B,0))=0,"C",INDEX('de para abc'!$C:$C,MATCH($C27,'de para abc'!$B:$B,0))),"C"))</f>
        <v>C</v>
      </c>
      <c r="F27" s="46">
        <v>2</v>
      </c>
    </row>
    <row r="28" spans="1:6" x14ac:dyDescent="0.25">
      <c r="A28" s="45" t="s">
        <v>301</v>
      </c>
      <c r="B28" s="34">
        <v>1001430</v>
      </c>
      <c r="C28" s="32" t="s">
        <v>391</v>
      </c>
      <c r="D28" s="33" t="s">
        <v>18</v>
      </c>
      <c r="E28" s="33" t="str">
        <f>IFERROR(IF(INDEX('de para abc'!$C:$C,MATCH($B28,'de para abc'!$A:$A,0))=0,"C",INDEX('de para abc'!$C:$C,MATCH($B28,'de para abc'!$A:$A,0))),IFERROR(IF(INDEX('de para abc'!$C:$C,MATCH($C28,'de para abc'!$B:$B,0))=0,"C",INDEX('de para abc'!$C:$C,MATCH($C28,'de para abc'!$B:$B,0))),"C"))</f>
        <v>C</v>
      </c>
      <c r="F28" s="46">
        <v>1</v>
      </c>
    </row>
    <row r="29" spans="1:6" x14ac:dyDescent="0.25">
      <c r="A29" s="45" t="s">
        <v>301</v>
      </c>
      <c r="B29" s="34">
        <v>1001686</v>
      </c>
      <c r="C29" s="32" t="s">
        <v>392</v>
      </c>
      <c r="D29" s="33" t="s">
        <v>18</v>
      </c>
      <c r="E29" s="33" t="str">
        <f>IFERROR(IF(INDEX('de para abc'!$C:$C,MATCH($B29,'de para abc'!$A:$A,0))=0,"C",INDEX('de para abc'!$C:$C,MATCH($B29,'de para abc'!$A:$A,0))),IFERROR(IF(INDEX('de para abc'!$C:$C,MATCH($C29,'de para abc'!$B:$B,0))=0,"C",INDEX('de para abc'!$C:$C,MATCH($C29,'de para abc'!$B:$B,0))),"C"))</f>
        <v>C</v>
      </c>
      <c r="F29" s="46">
        <v>0</v>
      </c>
    </row>
    <row r="30" spans="1:6" x14ac:dyDescent="0.25">
      <c r="A30" s="45" t="s">
        <v>301</v>
      </c>
      <c r="B30" s="34">
        <v>1001680</v>
      </c>
      <c r="C30" s="32" t="s">
        <v>135</v>
      </c>
      <c r="D30" s="33" t="s">
        <v>10</v>
      </c>
      <c r="E30" s="33" t="str">
        <f>IFERROR(IF(INDEX('de para abc'!$C:$C,MATCH($B30,'de para abc'!$A:$A,0))=0,"C",INDEX('de para abc'!$C:$C,MATCH($B30,'de para abc'!$A:$A,0))),IFERROR(IF(INDEX('de para abc'!$C:$C,MATCH($C30,'de para abc'!$B:$B,0))=0,"C",INDEX('de para abc'!$C:$C,MATCH($C30,'de para abc'!$B:$B,0))),"C"))</f>
        <v>A</v>
      </c>
      <c r="F30" s="46">
        <v>0</v>
      </c>
    </row>
    <row r="31" spans="1:6" x14ac:dyDescent="0.25">
      <c r="A31" s="45" t="s">
        <v>301</v>
      </c>
      <c r="B31" s="34">
        <v>1001941</v>
      </c>
      <c r="C31" s="32" t="s">
        <v>58</v>
      </c>
      <c r="D31" s="33" t="s">
        <v>18</v>
      </c>
      <c r="E31" s="33" t="str">
        <f>IFERROR(IF(INDEX('de para abc'!$C:$C,MATCH($B31,'de para abc'!$A:$A,0))=0,"C",INDEX('de para abc'!$C:$C,MATCH($B31,'de para abc'!$A:$A,0))),IFERROR(IF(INDEX('de para abc'!$C:$C,MATCH($C31,'de para abc'!$B:$B,0))=0,"C",INDEX('de para abc'!$C:$C,MATCH($C31,'de para abc'!$B:$B,0))),"C"))</f>
        <v>A</v>
      </c>
      <c r="F31" s="46">
        <v>0</v>
      </c>
    </row>
    <row r="32" spans="1:6" x14ac:dyDescent="0.25">
      <c r="A32" s="45" t="s">
        <v>301</v>
      </c>
      <c r="B32" s="34">
        <v>1002144</v>
      </c>
      <c r="C32" s="32" t="s">
        <v>393</v>
      </c>
      <c r="D32" s="33" t="s">
        <v>18</v>
      </c>
      <c r="E32" s="33" t="str">
        <f>IFERROR(IF(INDEX('de para abc'!$C:$C,MATCH($B32,'de para abc'!$A:$A,0))=0,"C",INDEX('de para abc'!$C:$C,MATCH($B32,'de para abc'!$A:$A,0))),IFERROR(IF(INDEX('de para abc'!$C:$C,MATCH($C32,'de para abc'!$B:$B,0))=0,"C",INDEX('de para abc'!$C:$C,MATCH($C32,'de para abc'!$B:$B,0))),"C"))</f>
        <v>C</v>
      </c>
      <c r="F32" s="46">
        <v>0</v>
      </c>
    </row>
    <row r="33" spans="1:6" x14ac:dyDescent="0.25">
      <c r="A33" s="45" t="s">
        <v>301</v>
      </c>
      <c r="B33" s="34">
        <v>1001185</v>
      </c>
      <c r="C33" s="32" t="s">
        <v>394</v>
      </c>
      <c r="D33" s="33" t="s">
        <v>18</v>
      </c>
      <c r="E33" s="33" t="str">
        <f>IFERROR(IF(INDEX('de para abc'!$C:$C,MATCH($B33,'de para abc'!$A:$A,0))=0,"C",INDEX('de para abc'!$C:$C,MATCH($B33,'de para abc'!$A:$A,0))),IFERROR(IF(INDEX('de para abc'!$C:$C,MATCH($C33,'de para abc'!$B:$B,0))=0,"C",INDEX('de para abc'!$C:$C,MATCH($C33,'de para abc'!$B:$B,0))),"C"))</f>
        <v>C</v>
      </c>
      <c r="F33" s="46">
        <v>10</v>
      </c>
    </row>
    <row r="34" spans="1:6" x14ac:dyDescent="0.25">
      <c r="A34" s="45" t="s">
        <v>301</v>
      </c>
      <c r="B34" s="34">
        <v>1001667</v>
      </c>
      <c r="C34" s="32" t="s">
        <v>26</v>
      </c>
      <c r="D34" s="33" t="s">
        <v>18</v>
      </c>
      <c r="E34" s="33" t="str">
        <f>IFERROR(IF(INDEX('de para abc'!$C:$C,MATCH($B34,'de para abc'!$A:$A,0))=0,"C",INDEX('de para abc'!$C:$C,MATCH($B34,'de para abc'!$A:$A,0))),IFERROR(IF(INDEX('de para abc'!$C:$C,MATCH($C34,'de para abc'!$B:$B,0))=0,"C",INDEX('de para abc'!$C:$C,MATCH($C34,'de para abc'!$B:$B,0))),"C"))</f>
        <v>A</v>
      </c>
      <c r="F34" s="46">
        <v>65</v>
      </c>
    </row>
    <row r="35" spans="1:6" x14ac:dyDescent="0.25">
      <c r="A35" s="45" t="s">
        <v>301</v>
      </c>
      <c r="B35" s="34">
        <v>1001122</v>
      </c>
      <c r="C35" s="32" t="s">
        <v>140</v>
      </c>
      <c r="D35" s="33" t="s">
        <v>10</v>
      </c>
      <c r="E35" s="33" t="str">
        <f>IFERROR(IF(INDEX('de para abc'!$C:$C,MATCH($B35,'de para abc'!$A:$A,0))=0,"C",INDEX('de para abc'!$C:$C,MATCH($B35,'de para abc'!$A:$A,0))),IFERROR(IF(INDEX('de para abc'!$C:$C,MATCH($C35,'de para abc'!$B:$B,0))=0,"C",INDEX('de para abc'!$C:$C,MATCH($C35,'de para abc'!$B:$B,0))),"C"))</f>
        <v>A</v>
      </c>
      <c r="F35" s="46">
        <v>50</v>
      </c>
    </row>
    <row r="36" spans="1:6" x14ac:dyDescent="0.25">
      <c r="A36" s="45" t="s">
        <v>301</v>
      </c>
      <c r="B36" s="34">
        <v>1000137</v>
      </c>
      <c r="C36" s="32" t="s">
        <v>395</v>
      </c>
      <c r="D36" s="33" t="s">
        <v>18</v>
      </c>
      <c r="E36" s="33" t="str">
        <f>IFERROR(IF(INDEX('de para abc'!$C:$C,MATCH($B36,'de para abc'!$A:$A,0))=0,"C",INDEX('de para abc'!$C:$C,MATCH($B36,'de para abc'!$A:$A,0))),IFERROR(IF(INDEX('de para abc'!$C:$C,MATCH($C36,'de para abc'!$B:$B,0))=0,"C",INDEX('de para abc'!$C:$C,MATCH($C36,'de para abc'!$B:$B,0))),"C"))</f>
        <v>C</v>
      </c>
      <c r="F36" s="46">
        <v>0</v>
      </c>
    </row>
    <row r="37" spans="1:6" x14ac:dyDescent="0.25">
      <c r="A37" s="45" t="s">
        <v>301</v>
      </c>
      <c r="B37" s="34">
        <v>1000713</v>
      </c>
      <c r="C37" s="32" t="s">
        <v>396</v>
      </c>
      <c r="D37" s="33" t="s">
        <v>10</v>
      </c>
      <c r="E37" s="33" t="str">
        <f>IFERROR(IF(INDEX('de para abc'!$C:$C,MATCH($B37,'de para abc'!$A:$A,0))=0,"C",INDEX('de para abc'!$C:$C,MATCH($B37,'de para abc'!$A:$A,0))),IFERROR(IF(INDEX('de para abc'!$C:$C,MATCH($C37,'de para abc'!$B:$B,0))=0,"C",INDEX('de para abc'!$C:$C,MATCH($C37,'de para abc'!$B:$B,0))),"C"))</f>
        <v>C</v>
      </c>
      <c r="F37" s="46">
        <v>3</v>
      </c>
    </row>
    <row r="38" spans="1:6" x14ac:dyDescent="0.25">
      <c r="A38" s="45" t="s">
        <v>301</v>
      </c>
      <c r="B38" s="34">
        <v>1000149</v>
      </c>
      <c r="C38" s="32" t="s">
        <v>397</v>
      </c>
      <c r="D38" s="33" t="s">
        <v>18</v>
      </c>
      <c r="E38" s="33" t="str">
        <f>IFERROR(IF(INDEX('de para abc'!$C:$C,MATCH($B38,'de para abc'!$A:$A,0))=0,"C",INDEX('de para abc'!$C:$C,MATCH($B38,'de para abc'!$A:$A,0))),IFERROR(IF(INDEX('de para abc'!$C:$C,MATCH($C38,'de para abc'!$B:$B,0))=0,"C",INDEX('de para abc'!$C:$C,MATCH($C38,'de para abc'!$B:$B,0))),"C"))</f>
        <v>C</v>
      </c>
      <c r="F38" s="46">
        <v>9</v>
      </c>
    </row>
    <row r="39" spans="1:6" x14ac:dyDescent="0.25">
      <c r="A39" s="45" t="s">
        <v>301</v>
      </c>
      <c r="B39" s="34">
        <v>1000150</v>
      </c>
      <c r="C39" s="32" t="s">
        <v>398</v>
      </c>
      <c r="D39" s="33" t="s">
        <v>10</v>
      </c>
      <c r="E39" s="33" t="str">
        <f>IFERROR(IF(INDEX('de para abc'!$C:$C,MATCH($B39,'de para abc'!$A:$A,0))=0,"C",INDEX('de para abc'!$C:$C,MATCH($B39,'de para abc'!$A:$A,0))),IFERROR(IF(INDEX('de para abc'!$C:$C,MATCH($C39,'de para abc'!$B:$B,0))=0,"C",INDEX('de para abc'!$C:$C,MATCH($C39,'de para abc'!$B:$B,0))),"C"))</f>
        <v>C</v>
      </c>
      <c r="F39" s="46">
        <v>2</v>
      </c>
    </row>
    <row r="40" spans="1:6" x14ac:dyDescent="0.25">
      <c r="A40" s="45" t="s">
        <v>301</v>
      </c>
      <c r="B40" s="34">
        <v>1000834</v>
      </c>
      <c r="C40" s="32" t="s">
        <v>399</v>
      </c>
      <c r="D40" s="33" t="s">
        <v>18</v>
      </c>
      <c r="E40" s="33" t="str">
        <f>IFERROR(IF(INDEX('de para abc'!$C:$C,MATCH($B40,'de para abc'!$A:$A,0))=0,"C",INDEX('de para abc'!$C:$C,MATCH($B40,'de para abc'!$A:$A,0))),IFERROR(IF(INDEX('de para abc'!$C:$C,MATCH($C40,'de para abc'!$B:$B,0))=0,"C",INDEX('de para abc'!$C:$C,MATCH($C40,'de para abc'!$B:$B,0))),"C"))</f>
        <v>C</v>
      </c>
      <c r="F40" s="46">
        <v>0</v>
      </c>
    </row>
    <row r="41" spans="1:6" x14ac:dyDescent="0.25">
      <c r="A41" s="45" t="s">
        <v>301</v>
      </c>
      <c r="B41" s="34">
        <v>1000163</v>
      </c>
      <c r="C41" s="32" t="s">
        <v>400</v>
      </c>
      <c r="D41" s="33" t="s">
        <v>10</v>
      </c>
      <c r="E41" s="33" t="str">
        <f>IFERROR(IF(INDEX('de para abc'!$C:$C,MATCH($B41,'de para abc'!$A:$A,0))=0,"C",INDEX('de para abc'!$C:$C,MATCH($B41,'de para abc'!$A:$A,0))),IFERROR(IF(INDEX('de para abc'!$C:$C,MATCH($C41,'de para abc'!$B:$B,0))=0,"C",INDEX('de para abc'!$C:$C,MATCH($C41,'de para abc'!$B:$B,0))),"C"))</f>
        <v>C</v>
      </c>
      <c r="F41" s="46">
        <v>6</v>
      </c>
    </row>
    <row r="42" spans="1:6" x14ac:dyDescent="0.25">
      <c r="A42" s="45" t="s">
        <v>301</v>
      </c>
      <c r="B42" s="34">
        <v>1006833</v>
      </c>
      <c r="C42" s="32" t="s">
        <v>401</v>
      </c>
      <c r="D42" s="33" t="s">
        <v>10</v>
      </c>
      <c r="E42" s="33" t="str">
        <f>IFERROR(IF(INDEX('de para abc'!$C:$C,MATCH($B42,'de para abc'!$A:$A,0))=0,"C",INDEX('de para abc'!$C:$C,MATCH($B42,'de para abc'!$A:$A,0))),IFERROR(IF(INDEX('de para abc'!$C:$C,MATCH($C42,'de para abc'!$B:$B,0))=0,"C",INDEX('de para abc'!$C:$C,MATCH($C42,'de para abc'!$B:$B,0))),"C"))</f>
        <v>C</v>
      </c>
      <c r="F42" s="46">
        <v>1</v>
      </c>
    </row>
    <row r="43" spans="1:6" x14ac:dyDescent="0.25">
      <c r="A43" s="45" t="s">
        <v>301</v>
      </c>
      <c r="B43" s="34">
        <v>1006850</v>
      </c>
      <c r="C43" s="32" t="s">
        <v>402</v>
      </c>
      <c r="D43" s="33" t="s">
        <v>10</v>
      </c>
      <c r="E43" s="33" t="str">
        <f>IFERROR(IF(INDEX('de para abc'!$C:$C,MATCH($B43,'de para abc'!$A:$A,0))=0,"C",INDEX('de para abc'!$C:$C,MATCH($B43,'de para abc'!$A:$A,0))),IFERROR(IF(INDEX('de para abc'!$C:$C,MATCH($C43,'de para abc'!$B:$B,0))=0,"C",INDEX('de para abc'!$C:$C,MATCH($C43,'de para abc'!$B:$B,0))),"C"))</f>
        <v>C</v>
      </c>
      <c r="F43" s="46">
        <v>0</v>
      </c>
    </row>
    <row r="44" spans="1:6" x14ac:dyDescent="0.25">
      <c r="A44" s="45" t="s">
        <v>301</v>
      </c>
      <c r="B44" s="34">
        <v>100120</v>
      </c>
      <c r="C44" s="32" t="s">
        <v>403</v>
      </c>
      <c r="D44" s="33" t="s">
        <v>18</v>
      </c>
      <c r="E44" s="33" t="str">
        <f>IFERROR(IF(INDEX('de para abc'!$C:$C,MATCH($B44,'de para abc'!$A:$A,0))=0,"C",INDEX('de para abc'!$C:$C,MATCH($B44,'de para abc'!$A:$A,0))),IFERROR(IF(INDEX('de para abc'!$C:$C,MATCH($C44,'de para abc'!$B:$B,0))=0,"C",INDEX('de para abc'!$C:$C,MATCH($C44,'de para abc'!$B:$B,0))),"C"))</f>
        <v>C</v>
      </c>
      <c r="F44" s="46">
        <v>0</v>
      </c>
    </row>
    <row r="45" spans="1:6" x14ac:dyDescent="0.25">
      <c r="A45" s="45" t="s">
        <v>301</v>
      </c>
      <c r="B45" s="34">
        <v>1006835</v>
      </c>
      <c r="C45" s="32" t="s">
        <v>404</v>
      </c>
      <c r="D45" s="33" t="s">
        <v>10</v>
      </c>
      <c r="E45" s="33" t="str">
        <f>IFERROR(IF(INDEX('de para abc'!$C:$C,MATCH($B45,'de para abc'!$A:$A,0))=0,"C",INDEX('de para abc'!$C:$C,MATCH($B45,'de para abc'!$A:$A,0))),IFERROR(IF(INDEX('de para abc'!$C:$C,MATCH($C45,'de para abc'!$B:$B,0))=0,"C",INDEX('de para abc'!$C:$C,MATCH($C45,'de para abc'!$B:$B,0))),"C"))</f>
        <v>C</v>
      </c>
      <c r="F45" s="46">
        <v>0</v>
      </c>
    </row>
    <row r="46" spans="1:6" x14ac:dyDescent="0.25">
      <c r="A46" s="45" t="s">
        <v>301</v>
      </c>
      <c r="B46" s="34">
        <v>1006836</v>
      </c>
      <c r="C46" s="32" t="s">
        <v>405</v>
      </c>
      <c r="D46" s="33" t="s">
        <v>10</v>
      </c>
      <c r="E46" s="33" t="str">
        <f>IFERROR(IF(INDEX('de para abc'!$C:$C,MATCH($B46,'de para abc'!$A:$A,0))=0,"C",INDEX('de para abc'!$C:$C,MATCH($B46,'de para abc'!$A:$A,0))),IFERROR(IF(INDEX('de para abc'!$C:$C,MATCH($C46,'de para abc'!$B:$B,0))=0,"C",INDEX('de para abc'!$C:$C,MATCH($C46,'de para abc'!$B:$B,0))),"C"))</f>
        <v>C</v>
      </c>
      <c r="F46" s="46">
        <v>12</v>
      </c>
    </row>
    <row r="47" spans="1:6" x14ac:dyDescent="0.25">
      <c r="A47" s="45" t="s">
        <v>301</v>
      </c>
      <c r="B47" s="34">
        <v>1006837</v>
      </c>
      <c r="C47" s="32" t="s">
        <v>406</v>
      </c>
      <c r="D47" s="33" t="s">
        <v>10</v>
      </c>
      <c r="E47" s="33" t="str">
        <f>IFERROR(IF(INDEX('de para abc'!$C:$C,MATCH($B47,'de para abc'!$A:$A,0))=0,"C",INDEX('de para abc'!$C:$C,MATCH($B47,'de para abc'!$A:$A,0))),IFERROR(IF(INDEX('de para abc'!$C:$C,MATCH($C47,'de para abc'!$B:$B,0))=0,"C",INDEX('de para abc'!$C:$C,MATCH($C47,'de para abc'!$B:$B,0))),"C"))</f>
        <v>C</v>
      </c>
      <c r="F47" s="46">
        <v>1</v>
      </c>
    </row>
    <row r="48" spans="1:6" x14ac:dyDescent="0.25">
      <c r="A48" s="45" t="s">
        <v>301</v>
      </c>
      <c r="B48" s="34">
        <v>1006838</v>
      </c>
      <c r="C48" s="32" t="s">
        <v>407</v>
      </c>
      <c r="D48" s="33" t="s">
        <v>10</v>
      </c>
      <c r="E48" s="33" t="str">
        <f>IFERROR(IF(INDEX('de para abc'!$C:$C,MATCH($B48,'de para abc'!$A:$A,0))=0,"C",INDEX('de para abc'!$C:$C,MATCH($B48,'de para abc'!$A:$A,0))),IFERROR(IF(INDEX('de para abc'!$C:$C,MATCH($C48,'de para abc'!$B:$B,0))=0,"C",INDEX('de para abc'!$C:$C,MATCH($C48,'de para abc'!$B:$B,0))),"C"))</f>
        <v>C</v>
      </c>
      <c r="F48" s="46">
        <v>2</v>
      </c>
    </row>
    <row r="49" spans="1:6" x14ac:dyDescent="0.25">
      <c r="A49" s="45" t="s">
        <v>301</v>
      </c>
      <c r="B49" s="34">
        <v>1006827</v>
      </c>
      <c r="C49" s="32" t="s">
        <v>408</v>
      </c>
      <c r="D49" s="33" t="s">
        <v>10</v>
      </c>
      <c r="E49" s="33" t="str">
        <f>IFERROR(IF(INDEX('de para abc'!$C:$C,MATCH($B49,'de para abc'!$A:$A,0))=0,"C",INDEX('de para abc'!$C:$C,MATCH($B49,'de para abc'!$A:$A,0))),IFERROR(IF(INDEX('de para abc'!$C:$C,MATCH($C49,'de para abc'!$B:$B,0))=0,"C",INDEX('de para abc'!$C:$C,MATCH($C49,'de para abc'!$B:$B,0))),"C"))</f>
        <v>C</v>
      </c>
      <c r="F49" s="46">
        <v>0</v>
      </c>
    </row>
    <row r="50" spans="1:6" x14ac:dyDescent="0.25">
      <c r="A50" s="45" t="s">
        <v>301</v>
      </c>
      <c r="B50" s="34">
        <v>1006828</v>
      </c>
      <c r="C50" s="32" t="s">
        <v>409</v>
      </c>
      <c r="D50" s="33" t="s">
        <v>10</v>
      </c>
      <c r="E50" s="33" t="str">
        <f>IFERROR(IF(INDEX('de para abc'!$C:$C,MATCH($B50,'de para abc'!$A:$A,0))=0,"C",INDEX('de para abc'!$C:$C,MATCH($B50,'de para abc'!$A:$A,0))),IFERROR(IF(INDEX('de para abc'!$C:$C,MATCH($C50,'de para abc'!$B:$B,0))=0,"C",INDEX('de para abc'!$C:$C,MATCH($C50,'de para abc'!$B:$B,0))),"C"))</f>
        <v>C</v>
      </c>
      <c r="F50" s="46">
        <v>10</v>
      </c>
    </row>
    <row r="51" spans="1:6" x14ac:dyDescent="0.25">
      <c r="A51" s="45" t="s">
        <v>301</v>
      </c>
      <c r="B51" s="34">
        <v>1002103</v>
      </c>
      <c r="C51" s="32" t="s">
        <v>410</v>
      </c>
      <c r="D51" s="33" t="s">
        <v>10</v>
      </c>
      <c r="E51" s="33" t="str">
        <f>IFERROR(IF(INDEX('de para abc'!$C:$C,MATCH($B51,'de para abc'!$A:$A,0))=0,"C",INDEX('de para abc'!$C:$C,MATCH($B51,'de para abc'!$A:$A,0))),IFERROR(IF(INDEX('de para abc'!$C:$C,MATCH($C51,'de para abc'!$B:$B,0))=0,"C",INDEX('de para abc'!$C:$C,MATCH($C51,'de para abc'!$B:$B,0))),"C"))</f>
        <v>C</v>
      </c>
      <c r="F51" s="46">
        <v>5</v>
      </c>
    </row>
    <row r="52" spans="1:6" x14ac:dyDescent="0.25">
      <c r="A52" s="45" t="s">
        <v>301</v>
      </c>
      <c r="B52" s="34">
        <v>1000838</v>
      </c>
      <c r="C52" s="32" t="s">
        <v>411</v>
      </c>
      <c r="D52" s="33" t="s">
        <v>18</v>
      </c>
      <c r="E52" s="33" t="str">
        <f>IFERROR(IF(INDEX('de para abc'!$C:$C,MATCH($B52,'de para abc'!$A:$A,0))=0,"C",INDEX('de para abc'!$C:$C,MATCH($B52,'de para abc'!$A:$A,0))),IFERROR(IF(INDEX('de para abc'!$C:$C,MATCH($C52,'de para abc'!$B:$B,0))=0,"C",INDEX('de para abc'!$C:$C,MATCH($C52,'de para abc'!$B:$B,0))),"C"))</f>
        <v>C</v>
      </c>
      <c r="F52" s="46">
        <v>0</v>
      </c>
    </row>
    <row r="53" spans="1:6" x14ac:dyDescent="0.25">
      <c r="A53" s="45" t="s">
        <v>301</v>
      </c>
      <c r="B53" s="34">
        <v>1000167</v>
      </c>
      <c r="C53" s="32" t="s">
        <v>412</v>
      </c>
      <c r="D53" s="33" t="s">
        <v>10</v>
      </c>
      <c r="E53" s="33" t="str">
        <f>IFERROR(IF(INDEX('de para abc'!$C:$C,MATCH($B53,'de para abc'!$A:$A,0))=0,"C",INDEX('de para abc'!$C:$C,MATCH($B53,'de para abc'!$A:$A,0))),IFERROR(IF(INDEX('de para abc'!$C:$C,MATCH($C53,'de para abc'!$B:$B,0))=0,"C",INDEX('de para abc'!$C:$C,MATCH($C53,'de para abc'!$B:$B,0))),"C"))</f>
        <v>B</v>
      </c>
      <c r="F53" s="46">
        <v>2</v>
      </c>
    </row>
    <row r="54" spans="1:6" x14ac:dyDescent="0.25">
      <c r="A54" s="45" t="s">
        <v>301</v>
      </c>
      <c r="B54" s="34">
        <v>1000837</v>
      </c>
      <c r="C54" s="32" t="s">
        <v>413</v>
      </c>
      <c r="D54" s="33" t="s">
        <v>18</v>
      </c>
      <c r="E54" s="33" t="str">
        <f>IFERROR(IF(INDEX('de para abc'!$C:$C,MATCH($B54,'de para abc'!$A:$A,0))=0,"C",INDEX('de para abc'!$C:$C,MATCH($B54,'de para abc'!$A:$A,0))),IFERROR(IF(INDEX('de para abc'!$C:$C,MATCH($C54,'de para abc'!$B:$B,0))=0,"C",INDEX('de para abc'!$C:$C,MATCH($C54,'de para abc'!$B:$B,0))),"C"))</f>
        <v>C</v>
      </c>
      <c r="F54" s="46">
        <v>0</v>
      </c>
    </row>
    <row r="55" spans="1:6" x14ac:dyDescent="0.25">
      <c r="A55" s="45" t="s">
        <v>301</v>
      </c>
      <c r="B55" s="34">
        <v>1000553</v>
      </c>
      <c r="C55" s="32" t="s">
        <v>414</v>
      </c>
      <c r="D55" s="33" t="s">
        <v>10</v>
      </c>
      <c r="E55" s="33" t="str">
        <f>IFERROR(IF(INDEX('de para abc'!$C:$C,MATCH($B55,'de para abc'!$A:$A,0))=0,"C",INDEX('de para abc'!$C:$C,MATCH($B55,'de para abc'!$A:$A,0))),IFERROR(IF(INDEX('de para abc'!$C:$C,MATCH($C55,'de para abc'!$B:$B,0))=0,"C",INDEX('de para abc'!$C:$C,MATCH($C55,'de para abc'!$B:$B,0))),"C"))</f>
        <v>C</v>
      </c>
      <c r="F55" s="46">
        <v>0</v>
      </c>
    </row>
    <row r="56" spans="1:6" x14ac:dyDescent="0.25">
      <c r="A56" s="45" t="s">
        <v>301</v>
      </c>
      <c r="B56" s="34">
        <v>1000169</v>
      </c>
      <c r="C56" s="32" t="s">
        <v>415</v>
      </c>
      <c r="D56" s="33" t="s">
        <v>10</v>
      </c>
      <c r="E56" s="33" t="str">
        <f>IFERROR(IF(INDEX('de para abc'!$C:$C,MATCH($B56,'de para abc'!$A:$A,0))=0,"C",INDEX('de para abc'!$C:$C,MATCH($B56,'de para abc'!$A:$A,0))),IFERROR(IF(INDEX('de para abc'!$C:$C,MATCH($C56,'de para abc'!$B:$B,0))=0,"C",INDEX('de para abc'!$C:$C,MATCH($C56,'de para abc'!$B:$B,0))),"C"))</f>
        <v>C</v>
      </c>
      <c r="F56" s="46">
        <v>7</v>
      </c>
    </row>
    <row r="57" spans="1:6" x14ac:dyDescent="0.25">
      <c r="A57" s="45" t="s">
        <v>301</v>
      </c>
      <c r="B57" s="34">
        <v>1006829</v>
      </c>
      <c r="C57" s="32" t="s">
        <v>416</v>
      </c>
      <c r="D57" s="33" t="s">
        <v>10</v>
      </c>
      <c r="E57" s="33" t="str">
        <f>IFERROR(IF(INDEX('de para abc'!$C:$C,MATCH($B57,'de para abc'!$A:$A,0))=0,"C",INDEX('de para abc'!$C:$C,MATCH($B57,'de para abc'!$A:$A,0))),IFERROR(IF(INDEX('de para abc'!$C:$C,MATCH($C57,'de para abc'!$B:$B,0))=0,"C",INDEX('de para abc'!$C:$C,MATCH($C57,'de para abc'!$B:$B,0))),"C"))</f>
        <v>C</v>
      </c>
      <c r="F57" s="46">
        <v>8</v>
      </c>
    </row>
    <row r="58" spans="1:6" x14ac:dyDescent="0.25">
      <c r="A58" s="45" t="s">
        <v>301</v>
      </c>
      <c r="B58" s="34">
        <v>1006839</v>
      </c>
      <c r="C58" s="32" t="s">
        <v>417</v>
      </c>
      <c r="D58" s="33" t="s">
        <v>10</v>
      </c>
      <c r="E58" s="33" t="str">
        <f>IFERROR(IF(INDEX('de para abc'!$C:$C,MATCH($B58,'de para abc'!$A:$A,0))=0,"C",INDEX('de para abc'!$C:$C,MATCH($B58,'de para abc'!$A:$A,0))),IFERROR(IF(INDEX('de para abc'!$C:$C,MATCH($C58,'de para abc'!$B:$B,0))=0,"C",INDEX('de para abc'!$C:$C,MATCH($C58,'de para abc'!$B:$B,0))),"C"))</f>
        <v>C</v>
      </c>
      <c r="F58" s="46">
        <v>7</v>
      </c>
    </row>
    <row r="59" spans="1:6" x14ac:dyDescent="0.25">
      <c r="A59" s="45" t="s">
        <v>301</v>
      </c>
      <c r="B59" s="34">
        <v>1001677</v>
      </c>
      <c r="C59" s="32" t="s">
        <v>418</v>
      </c>
      <c r="D59" s="33" t="s">
        <v>18</v>
      </c>
      <c r="E59" s="33" t="str">
        <f>IFERROR(IF(INDEX('de para abc'!$C:$C,MATCH($B59,'de para abc'!$A:$A,0))=0,"C",INDEX('de para abc'!$C:$C,MATCH($B59,'de para abc'!$A:$A,0))),IFERROR(IF(INDEX('de para abc'!$C:$C,MATCH($C59,'de para abc'!$B:$B,0))=0,"C",INDEX('de para abc'!$C:$C,MATCH($C59,'de para abc'!$B:$B,0))),"C"))</f>
        <v>C</v>
      </c>
      <c r="F59" s="46">
        <v>10</v>
      </c>
    </row>
    <row r="60" spans="1:6" x14ac:dyDescent="0.25">
      <c r="A60" s="45" t="s">
        <v>301</v>
      </c>
      <c r="B60" s="34">
        <v>1006950</v>
      </c>
      <c r="C60" s="32" t="s">
        <v>419</v>
      </c>
      <c r="D60" s="33" t="s">
        <v>18</v>
      </c>
      <c r="E60" s="33" t="str">
        <f>IFERROR(IF(INDEX('de para abc'!$C:$C,MATCH($B60,'de para abc'!$A:$A,0))=0,"C",INDEX('de para abc'!$C:$C,MATCH($B60,'de para abc'!$A:$A,0))),IFERROR(IF(INDEX('de para abc'!$C:$C,MATCH($C60,'de para abc'!$B:$B,0))=0,"C",INDEX('de para abc'!$C:$C,MATCH($C60,'de para abc'!$B:$B,0))),"C"))</f>
        <v>C</v>
      </c>
      <c r="F60" s="46">
        <v>0</v>
      </c>
    </row>
    <row r="61" spans="1:6" x14ac:dyDescent="0.25">
      <c r="A61" s="45" t="s">
        <v>301</v>
      </c>
      <c r="B61" s="34">
        <v>1001293</v>
      </c>
      <c r="C61" s="32" t="s">
        <v>420</v>
      </c>
      <c r="D61" s="33" t="s">
        <v>18</v>
      </c>
      <c r="E61" s="33" t="str">
        <f>IFERROR(IF(INDEX('de para abc'!$C:$C,MATCH($B61,'de para abc'!$A:$A,0))=0,"C",INDEX('de para abc'!$C:$C,MATCH($B61,'de para abc'!$A:$A,0))),IFERROR(IF(INDEX('de para abc'!$C:$C,MATCH($C61,'de para abc'!$B:$B,0))=0,"C",INDEX('de para abc'!$C:$C,MATCH($C61,'de para abc'!$B:$B,0))),"C"))</f>
        <v>C</v>
      </c>
      <c r="F61" s="46">
        <v>1</v>
      </c>
    </row>
    <row r="62" spans="1:6" x14ac:dyDescent="0.25">
      <c r="A62" s="45" t="s">
        <v>301</v>
      </c>
      <c r="B62" s="34">
        <v>1000170</v>
      </c>
      <c r="C62" s="32" t="s">
        <v>61</v>
      </c>
      <c r="D62" s="33" t="s">
        <v>10</v>
      </c>
      <c r="E62" s="33" t="str">
        <f>IFERROR(IF(INDEX('de para abc'!$C:$C,MATCH($B62,'de para abc'!$A:$A,0))=0,"C",INDEX('de para abc'!$C:$C,MATCH($B62,'de para abc'!$A:$A,0))),IFERROR(IF(INDEX('de para abc'!$C:$C,MATCH($C62,'de para abc'!$B:$B,0))=0,"C",INDEX('de para abc'!$C:$C,MATCH($C62,'de para abc'!$B:$B,0))),"C"))</f>
        <v>C</v>
      </c>
      <c r="F62" s="46">
        <v>4</v>
      </c>
    </row>
    <row r="63" spans="1:6" x14ac:dyDescent="0.25">
      <c r="A63" s="45" t="s">
        <v>301</v>
      </c>
      <c r="B63" s="34">
        <v>1006831</v>
      </c>
      <c r="C63" s="32" t="s">
        <v>421</v>
      </c>
      <c r="D63" s="33" t="s">
        <v>10</v>
      </c>
      <c r="E63" s="33" t="str">
        <f>IFERROR(IF(INDEX('de para abc'!$C:$C,MATCH($B63,'de para abc'!$A:$A,0))=0,"C",INDEX('de para abc'!$C:$C,MATCH($B63,'de para abc'!$A:$A,0))),IFERROR(IF(INDEX('de para abc'!$C:$C,MATCH($C63,'de para abc'!$B:$B,0))=0,"C",INDEX('de para abc'!$C:$C,MATCH($C63,'de para abc'!$B:$B,0))),"C"))</f>
        <v>C</v>
      </c>
      <c r="F63" s="46">
        <v>4</v>
      </c>
    </row>
    <row r="64" spans="1:6" x14ac:dyDescent="0.25">
      <c r="A64" s="45" t="s">
        <v>301</v>
      </c>
      <c r="B64" s="34">
        <v>1001676</v>
      </c>
      <c r="C64" s="32" t="s">
        <v>421</v>
      </c>
      <c r="D64" s="33" t="s">
        <v>18</v>
      </c>
      <c r="E64" s="33" t="str">
        <f>IFERROR(IF(INDEX('de para abc'!$C:$C,MATCH($B64,'de para abc'!$A:$A,0))=0,"C",INDEX('de para abc'!$C:$C,MATCH($B64,'de para abc'!$A:$A,0))),IFERROR(IF(INDEX('de para abc'!$C:$C,MATCH($C64,'de para abc'!$B:$B,0))=0,"C",INDEX('de para abc'!$C:$C,MATCH($C64,'de para abc'!$B:$B,0))),"C"))</f>
        <v>C</v>
      </c>
      <c r="F64" s="46">
        <v>4</v>
      </c>
    </row>
    <row r="65" spans="1:6" x14ac:dyDescent="0.25">
      <c r="A65" s="45" t="s">
        <v>301</v>
      </c>
      <c r="B65" s="34">
        <v>1006832</v>
      </c>
      <c r="C65" s="32" t="s">
        <v>422</v>
      </c>
      <c r="D65" s="33" t="s">
        <v>10</v>
      </c>
      <c r="E65" s="33" t="str">
        <f>IFERROR(IF(INDEX('de para abc'!$C:$C,MATCH($B65,'de para abc'!$A:$A,0))=0,"C",INDEX('de para abc'!$C:$C,MATCH($B65,'de para abc'!$A:$A,0))),IFERROR(IF(INDEX('de para abc'!$C:$C,MATCH($C65,'de para abc'!$B:$B,0))=0,"C",INDEX('de para abc'!$C:$C,MATCH($C65,'de para abc'!$B:$B,0))),"C"))</f>
        <v>C</v>
      </c>
      <c r="F65" s="46">
        <v>11</v>
      </c>
    </row>
    <row r="66" spans="1:6" x14ac:dyDescent="0.25">
      <c r="A66" s="45" t="s">
        <v>301</v>
      </c>
      <c r="B66" s="34">
        <v>1000171</v>
      </c>
      <c r="C66" s="32" t="s">
        <v>62</v>
      </c>
      <c r="D66" s="33" t="s">
        <v>10</v>
      </c>
      <c r="E66" s="33" t="str">
        <f>IFERROR(IF(INDEX('de para abc'!$C:$C,MATCH($B66,'de para abc'!$A:$A,0))=0,"C",INDEX('de para abc'!$C:$C,MATCH($B66,'de para abc'!$A:$A,0))),IFERROR(IF(INDEX('de para abc'!$C:$C,MATCH($C66,'de para abc'!$B:$B,0))=0,"C",INDEX('de para abc'!$C:$C,MATCH($C66,'de para abc'!$B:$B,0))),"C"))</f>
        <v>B</v>
      </c>
      <c r="F66" s="46">
        <v>0</v>
      </c>
    </row>
    <row r="67" spans="1:6" x14ac:dyDescent="0.25">
      <c r="A67" s="45" t="s">
        <v>301</v>
      </c>
      <c r="B67" s="34">
        <v>1001218</v>
      </c>
      <c r="C67" s="32" t="s">
        <v>423</v>
      </c>
      <c r="D67" s="33" t="s">
        <v>18</v>
      </c>
      <c r="E67" s="33" t="str">
        <f>IFERROR(IF(INDEX('de para abc'!$C:$C,MATCH($B67,'de para abc'!$A:$A,0))=0,"C",INDEX('de para abc'!$C:$C,MATCH($B67,'de para abc'!$A:$A,0))),IFERROR(IF(INDEX('de para abc'!$C:$C,MATCH($C67,'de para abc'!$B:$B,0))=0,"C",INDEX('de para abc'!$C:$C,MATCH($C67,'de para abc'!$B:$B,0))),"C"))</f>
        <v>C</v>
      </c>
      <c r="F67" s="46">
        <v>0</v>
      </c>
    </row>
    <row r="68" spans="1:6" x14ac:dyDescent="0.25">
      <c r="A68" s="45" t="s">
        <v>301</v>
      </c>
      <c r="B68" s="34">
        <v>1006952</v>
      </c>
      <c r="C68" s="32" t="s">
        <v>424</v>
      </c>
      <c r="D68" s="33" t="s">
        <v>18</v>
      </c>
      <c r="E68" s="33" t="str">
        <f>IFERROR(IF(INDEX('de para abc'!$C:$C,MATCH($B68,'de para abc'!$A:$A,0))=0,"C",INDEX('de para abc'!$C:$C,MATCH($B68,'de para abc'!$A:$A,0))),IFERROR(IF(INDEX('de para abc'!$C:$C,MATCH($C68,'de para abc'!$B:$B,0))=0,"C",INDEX('de para abc'!$C:$C,MATCH($C68,'de para abc'!$B:$B,0))),"C"))</f>
        <v>C</v>
      </c>
      <c r="F68" s="46">
        <v>0</v>
      </c>
    </row>
    <row r="69" spans="1:6" x14ac:dyDescent="0.25">
      <c r="A69" s="45" t="s">
        <v>301</v>
      </c>
      <c r="B69" s="34">
        <v>1006951</v>
      </c>
      <c r="C69" s="32" t="s">
        <v>425</v>
      </c>
      <c r="D69" s="33" t="s">
        <v>18</v>
      </c>
      <c r="E69" s="33" t="str">
        <f>IFERROR(IF(INDEX('de para abc'!$C:$C,MATCH($B69,'de para abc'!$A:$A,0))=0,"C",INDEX('de para abc'!$C:$C,MATCH($B69,'de para abc'!$A:$A,0))),IFERROR(IF(INDEX('de para abc'!$C:$C,MATCH($C69,'de para abc'!$B:$B,0))=0,"C",INDEX('de para abc'!$C:$C,MATCH($C69,'de para abc'!$B:$B,0))),"C"))</f>
        <v>C</v>
      </c>
      <c r="F69" s="46">
        <v>0</v>
      </c>
    </row>
    <row r="70" spans="1:6" x14ac:dyDescent="0.25">
      <c r="A70" s="45" t="s">
        <v>301</v>
      </c>
      <c r="B70" s="34">
        <v>1000174</v>
      </c>
      <c r="C70" s="32" t="s">
        <v>426</v>
      </c>
      <c r="D70" s="33" t="s">
        <v>10</v>
      </c>
      <c r="E70" s="33" t="str">
        <f>IFERROR(IF(INDEX('de para abc'!$C:$C,MATCH($B70,'de para abc'!$A:$A,0))=0,"C",INDEX('de para abc'!$C:$C,MATCH($B70,'de para abc'!$A:$A,0))),IFERROR(IF(INDEX('de para abc'!$C:$C,MATCH($C70,'de para abc'!$B:$B,0))=0,"C",INDEX('de para abc'!$C:$C,MATCH($C70,'de para abc'!$B:$B,0))),"C"))</f>
        <v>C</v>
      </c>
      <c r="F70" s="46">
        <v>0</v>
      </c>
    </row>
    <row r="71" spans="1:6" x14ac:dyDescent="0.25">
      <c r="A71" s="45" t="s">
        <v>301</v>
      </c>
      <c r="B71" s="34">
        <v>1006843</v>
      </c>
      <c r="C71" s="32" t="s">
        <v>427</v>
      </c>
      <c r="D71" s="33" t="s">
        <v>10</v>
      </c>
      <c r="E71" s="33" t="str">
        <f>IFERROR(IF(INDEX('de para abc'!$C:$C,MATCH($B71,'de para abc'!$A:$A,0))=0,"C",INDEX('de para abc'!$C:$C,MATCH($B71,'de para abc'!$A:$A,0))),IFERROR(IF(INDEX('de para abc'!$C:$C,MATCH($C71,'de para abc'!$B:$B,0))=0,"C",INDEX('de para abc'!$C:$C,MATCH($C71,'de para abc'!$B:$B,0))),"C"))</f>
        <v>C</v>
      </c>
      <c r="F71" s="46">
        <v>0</v>
      </c>
    </row>
    <row r="72" spans="1:6" x14ac:dyDescent="0.25">
      <c r="A72" s="45" t="s">
        <v>301</v>
      </c>
      <c r="B72" s="34">
        <v>1006844</v>
      </c>
      <c r="C72" s="32" t="s">
        <v>428</v>
      </c>
      <c r="D72" s="33" t="s">
        <v>10</v>
      </c>
      <c r="E72" s="33" t="str">
        <f>IFERROR(IF(INDEX('de para abc'!$C:$C,MATCH($B72,'de para abc'!$A:$A,0))=0,"C",INDEX('de para abc'!$C:$C,MATCH($B72,'de para abc'!$A:$A,0))),IFERROR(IF(INDEX('de para abc'!$C:$C,MATCH($C72,'de para abc'!$B:$B,0))=0,"C",INDEX('de para abc'!$C:$C,MATCH($C72,'de para abc'!$B:$B,0))),"C"))</f>
        <v>C</v>
      </c>
      <c r="F72" s="46">
        <v>0</v>
      </c>
    </row>
    <row r="73" spans="1:6" x14ac:dyDescent="0.25">
      <c r="A73" s="45" t="s">
        <v>301</v>
      </c>
      <c r="B73" s="34">
        <v>1006845</v>
      </c>
      <c r="C73" s="32" t="s">
        <v>429</v>
      </c>
      <c r="D73" s="33" t="s">
        <v>10</v>
      </c>
      <c r="E73" s="33" t="str">
        <f>IFERROR(IF(INDEX('de para abc'!$C:$C,MATCH($B73,'de para abc'!$A:$A,0))=0,"C",INDEX('de para abc'!$C:$C,MATCH($B73,'de para abc'!$A:$A,0))),IFERROR(IF(INDEX('de para abc'!$C:$C,MATCH($C73,'de para abc'!$B:$B,0))=0,"C",INDEX('de para abc'!$C:$C,MATCH($C73,'de para abc'!$B:$B,0))),"C"))</f>
        <v>C</v>
      </c>
      <c r="F73" s="46">
        <v>0</v>
      </c>
    </row>
    <row r="74" spans="1:6" x14ac:dyDescent="0.25">
      <c r="A74" s="45" t="s">
        <v>301</v>
      </c>
      <c r="B74" s="34">
        <v>1006846</v>
      </c>
      <c r="C74" s="32" t="s">
        <v>430</v>
      </c>
      <c r="D74" s="33" t="s">
        <v>10</v>
      </c>
      <c r="E74" s="33" t="str">
        <f>IFERROR(IF(INDEX('de para abc'!$C:$C,MATCH($B74,'de para abc'!$A:$A,0))=0,"C",INDEX('de para abc'!$C:$C,MATCH($B74,'de para abc'!$A:$A,0))),IFERROR(IF(INDEX('de para abc'!$C:$C,MATCH($C74,'de para abc'!$B:$B,0))=0,"C",INDEX('de para abc'!$C:$C,MATCH($C74,'de para abc'!$B:$B,0))),"C"))</f>
        <v>C</v>
      </c>
      <c r="F74" s="46">
        <v>0</v>
      </c>
    </row>
    <row r="75" spans="1:6" x14ac:dyDescent="0.25">
      <c r="A75" s="45" t="s">
        <v>301</v>
      </c>
      <c r="B75" s="34">
        <v>1000182</v>
      </c>
      <c r="C75" s="32" t="s">
        <v>431</v>
      </c>
      <c r="D75" s="33" t="s">
        <v>10</v>
      </c>
      <c r="E75" s="33" t="str">
        <f>IFERROR(IF(INDEX('de para abc'!$C:$C,MATCH($B75,'de para abc'!$A:$A,0))=0,"C",INDEX('de para abc'!$C:$C,MATCH($B75,'de para abc'!$A:$A,0))),IFERROR(IF(INDEX('de para abc'!$C:$C,MATCH($C75,'de para abc'!$B:$B,0))=0,"C",INDEX('de para abc'!$C:$C,MATCH($C75,'de para abc'!$B:$B,0))),"C"))</f>
        <v>C</v>
      </c>
      <c r="F75" s="46">
        <v>22</v>
      </c>
    </row>
    <row r="76" spans="1:6" x14ac:dyDescent="0.25">
      <c r="A76" s="45" t="s">
        <v>301</v>
      </c>
      <c r="B76" s="34">
        <v>1000183</v>
      </c>
      <c r="C76" s="32" t="s">
        <v>51</v>
      </c>
      <c r="D76" s="33" t="s">
        <v>18</v>
      </c>
      <c r="E76" s="33" t="str">
        <f>IFERROR(IF(INDEX('de para abc'!$C:$C,MATCH($B76,'de para abc'!$A:$A,0))=0,"C",INDEX('de para abc'!$C:$C,MATCH($B76,'de para abc'!$A:$A,0))),IFERROR(IF(INDEX('de para abc'!$C:$C,MATCH($C76,'de para abc'!$B:$B,0))=0,"C",INDEX('de para abc'!$C:$C,MATCH($C76,'de para abc'!$B:$B,0))),"C"))</f>
        <v>A</v>
      </c>
      <c r="F76" s="46">
        <v>7</v>
      </c>
    </row>
    <row r="77" spans="1:6" x14ac:dyDescent="0.25">
      <c r="A77" s="45" t="s">
        <v>301</v>
      </c>
      <c r="B77" s="34">
        <v>1000184</v>
      </c>
      <c r="C77" s="32" t="s">
        <v>28</v>
      </c>
      <c r="D77" s="33" t="s">
        <v>18</v>
      </c>
      <c r="E77" s="33" t="str">
        <f>IFERROR(IF(INDEX('de para abc'!$C:$C,MATCH($B77,'de para abc'!$A:$A,0))=0,"C",INDEX('de para abc'!$C:$C,MATCH($B77,'de para abc'!$A:$A,0))),IFERROR(IF(INDEX('de para abc'!$C:$C,MATCH($C77,'de para abc'!$B:$B,0))=0,"C",INDEX('de para abc'!$C:$C,MATCH($C77,'de para abc'!$B:$B,0))),"C"))</f>
        <v>A</v>
      </c>
      <c r="F77" s="46">
        <v>25</v>
      </c>
    </row>
    <row r="78" spans="1:6" x14ac:dyDescent="0.25">
      <c r="A78" s="45" t="s">
        <v>301</v>
      </c>
      <c r="B78" s="34">
        <v>1000185</v>
      </c>
      <c r="C78" s="32" t="s">
        <v>52</v>
      </c>
      <c r="D78" s="33" t="s">
        <v>18</v>
      </c>
      <c r="E78" s="33" t="str">
        <f>IFERROR(IF(INDEX('de para abc'!$C:$C,MATCH($B78,'de para abc'!$A:$A,0))=0,"C",INDEX('de para abc'!$C:$C,MATCH($B78,'de para abc'!$A:$A,0))),IFERROR(IF(INDEX('de para abc'!$C:$C,MATCH($C78,'de para abc'!$B:$B,0))=0,"C",INDEX('de para abc'!$C:$C,MATCH($C78,'de para abc'!$B:$B,0))),"C"))</f>
        <v>A</v>
      </c>
      <c r="F78" s="46">
        <v>25</v>
      </c>
    </row>
    <row r="79" spans="1:6" x14ac:dyDescent="0.25">
      <c r="A79" s="45" t="s">
        <v>301</v>
      </c>
      <c r="B79" s="34">
        <v>100879</v>
      </c>
      <c r="C79" s="32" t="s">
        <v>432</v>
      </c>
      <c r="D79" s="33" t="s">
        <v>18</v>
      </c>
      <c r="E79" s="33" t="str">
        <f>IFERROR(IF(INDEX('de para abc'!$C:$C,MATCH($B79,'de para abc'!$A:$A,0))=0,"C",INDEX('de para abc'!$C:$C,MATCH($B79,'de para abc'!$A:$A,0))),IFERROR(IF(INDEX('de para abc'!$C:$C,MATCH($C79,'de para abc'!$B:$B,0))=0,"C",INDEX('de para abc'!$C:$C,MATCH($C79,'de para abc'!$B:$B,0))),"C"))</f>
        <v>C</v>
      </c>
      <c r="F79" s="46">
        <v>3</v>
      </c>
    </row>
    <row r="80" spans="1:6" x14ac:dyDescent="0.25">
      <c r="A80" s="45" t="s">
        <v>301</v>
      </c>
      <c r="B80" s="34">
        <v>1000190</v>
      </c>
      <c r="C80" s="32" t="s">
        <v>433</v>
      </c>
      <c r="D80" s="33" t="s">
        <v>18</v>
      </c>
      <c r="E80" s="33" t="str">
        <f>IFERROR(IF(INDEX('de para abc'!$C:$C,MATCH($B80,'de para abc'!$A:$A,0))=0,"C",INDEX('de para abc'!$C:$C,MATCH($B80,'de para abc'!$A:$A,0))),IFERROR(IF(INDEX('de para abc'!$C:$C,MATCH($C80,'de para abc'!$B:$B,0))=0,"C",INDEX('de para abc'!$C:$C,MATCH($C80,'de para abc'!$B:$B,0))),"C"))</f>
        <v>C</v>
      </c>
      <c r="F80" s="46">
        <v>0</v>
      </c>
    </row>
    <row r="81" spans="1:6" x14ac:dyDescent="0.25">
      <c r="A81" s="45" t="s">
        <v>301</v>
      </c>
      <c r="B81" s="34">
        <v>1000195</v>
      </c>
      <c r="C81" s="32" t="s">
        <v>32</v>
      </c>
      <c r="D81" s="33" t="s">
        <v>10</v>
      </c>
      <c r="E81" s="33" t="str">
        <f>IFERROR(IF(INDEX('de para abc'!$C:$C,MATCH($B81,'de para abc'!$A:$A,0))=0,"C",INDEX('de para abc'!$C:$C,MATCH($B81,'de para abc'!$A:$A,0))),IFERROR(IF(INDEX('de para abc'!$C:$C,MATCH($C81,'de para abc'!$B:$B,0))=0,"C",INDEX('de para abc'!$C:$C,MATCH($C81,'de para abc'!$B:$B,0))),"C"))</f>
        <v>A</v>
      </c>
      <c r="F81" s="46">
        <v>0</v>
      </c>
    </row>
    <row r="82" spans="1:6" x14ac:dyDescent="0.25">
      <c r="A82" s="45" t="s">
        <v>301</v>
      </c>
      <c r="B82" s="34">
        <v>1006847</v>
      </c>
      <c r="C82" s="32" t="s">
        <v>434</v>
      </c>
      <c r="D82" s="33" t="s">
        <v>10</v>
      </c>
      <c r="E82" s="33" t="str">
        <f>IFERROR(IF(INDEX('de para abc'!$C:$C,MATCH($B82,'de para abc'!$A:$A,0))=0,"C",INDEX('de para abc'!$C:$C,MATCH($B82,'de para abc'!$A:$A,0))),IFERROR(IF(INDEX('de para abc'!$C:$C,MATCH($C82,'de para abc'!$B:$B,0))=0,"C",INDEX('de para abc'!$C:$C,MATCH($C82,'de para abc'!$B:$B,0))),"C"))</f>
        <v>C</v>
      </c>
      <c r="F82" s="46">
        <v>0</v>
      </c>
    </row>
    <row r="83" spans="1:6" x14ac:dyDescent="0.25">
      <c r="A83" s="45" t="s">
        <v>301</v>
      </c>
      <c r="B83" s="34">
        <v>1006848</v>
      </c>
      <c r="C83" s="32" t="s">
        <v>435</v>
      </c>
      <c r="D83" s="33" t="s">
        <v>10</v>
      </c>
      <c r="E83" s="33" t="str">
        <f>IFERROR(IF(INDEX('de para abc'!$C:$C,MATCH($B83,'de para abc'!$A:$A,0))=0,"C",INDEX('de para abc'!$C:$C,MATCH($B83,'de para abc'!$A:$A,0))),IFERROR(IF(INDEX('de para abc'!$C:$C,MATCH($C83,'de para abc'!$B:$B,0))=0,"C",INDEX('de para abc'!$C:$C,MATCH($C83,'de para abc'!$B:$B,0))),"C"))</f>
        <v>C</v>
      </c>
      <c r="F83" s="46">
        <v>0</v>
      </c>
    </row>
    <row r="84" spans="1:6" x14ac:dyDescent="0.25">
      <c r="A84" s="45" t="s">
        <v>301</v>
      </c>
      <c r="B84" s="34">
        <v>1006849</v>
      </c>
      <c r="C84" s="32" t="s">
        <v>436</v>
      </c>
      <c r="D84" s="33" t="s">
        <v>10</v>
      </c>
      <c r="E84" s="33" t="str">
        <f>IFERROR(IF(INDEX('de para abc'!$C:$C,MATCH($B84,'de para abc'!$A:$A,0))=0,"C",INDEX('de para abc'!$C:$C,MATCH($B84,'de para abc'!$A:$A,0))),IFERROR(IF(INDEX('de para abc'!$C:$C,MATCH($C84,'de para abc'!$B:$B,0))=0,"C",INDEX('de para abc'!$C:$C,MATCH($C84,'de para abc'!$B:$B,0))),"C"))</f>
        <v>C</v>
      </c>
      <c r="F84" s="46">
        <v>0</v>
      </c>
    </row>
    <row r="85" spans="1:6" x14ac:dyDescent="0.25">
      <c r="A85" s="45" t="s">
        <v>301</v>
      </c>
      <c r="B85" s="34">
        <v>1001787</v>
      </c>
      <c r="C85" s="32" t="s">
        <v>437</v>
      </c>
      <c r="D85" s="33" t="s">
        <v>18</v>
      </c>
      <c r="E85" s="33" t="str">
        <f>IFERROR(IF(INDEX('de para abc'!$C:$C,MATCH($B85,'de para abc'!$A:$A,0))=0,"C",INDEX('de para abc'!$C:$C,MATCH($B85,'de para abc'!$A:$A,0))),IFERROR(IF(INDEX('de para abc'!$C:$C,MATCH($C85,'de para abc'!$B:$B,0))=0,"C",INDEX('de para abc'!$C:$C,MATCH($C85,'de para abc'!$B:$B,0))),"C"))</f>
        <v>C</v>
      </c>
      <c r="F85" s="46">
        <v>0</v>
      </c>
    </row>
    <row r="86" spans="1:6" x14ac:dyDescent="0.25">
      <c r="A86" s="45" t="s">
        <v>301</v>
      </c>
      <c r="B86" s="34">
        <v>1002334</v>
      </c>
      <c r="C86" s="32" t="s">
        <v>438</v>
      </c>
      <c r="D86" s="33" t="s">
        <v>18</v>
      </c>
      <c r="E86" s="33" t="str">
        <f>IFERROR(IF(INDEX('de para abc'!$C:$C,MATCH($B86,'de para abc'!$A:$A,0))=0,"C",INDEX('de para abc'!$C:$C,MATCH($B86,'de para abc'!$A:$A,0))),IFERROR(IF(INDEX('de para abc'!$C:$C,MATCH($C86,'de para abc'!$B:$B,0))=0,"C",INDEX('de para abc'!$C:$C,MATCH($C86,'de para abc'!$B:$B,0))),"C"))</f>
        <v>C</v>
      </c>
      <c r="F86" s="46">
        <v>30</v>
      </c>
    </row>
    <row r="87" spans="1:6" x14ac:dyDescent="0.25">
      <c r="A87" s="45" t="s">
        <v>301</v>
      </c>
      <c r="B87" s="34">
        <v>1000196</v>
      </c>
      <c r="C87" s="32" t="s">
        <v>64</v>
      </c>
      <c r="D87" s="33" t="s">
        <v>18</v>
      </c>
      <c r="E87" s="33" t="str">
        <f>IFERROR(IF(INDEX('de para abc'!$C:$C,MATCH($B87,'de para abc'!$A:$A,0))=0,"C",INDEX('de para abc'!$C:$C,MATCH($B87,'de para abc'!$A:$A,0))),IFERROR(IF(INDEX('de para abc'!$C:$C,MATCH($C87,'de para abc'!$B:$B,0))=0,"C",INDEX('de para abc'!$C:$C,MATCH($C87,'de para abc'!$B:$B,0))),"C"))</f>
        <v>A</v>
      </c>
      <c r="F87" s="46">
        <v>28</v>
      </c>
    </row>
    <row r="88" spans="1:6" x14ac:dyDescent="0.25">
      <c r="A88" s="45" t="s">
        <v>301</v>
      </c>
      <c r="B88" s="34">
        <v>1000197</v>
      </c>
      <c r="C88" s="32" t="s">
        <v>53</v>
      </c>
      <c r="D88" s="33" t="s">
        <v>18</v>
      </c>
      <c r="E88" s="33" t="str">
        <f>IFERROR(IF(INDEX('de para abc'!$C:$C,MATCH($B88,'de para abc'!$A:$A,0))=0,"C",INDEX('de para abc'!$C:$C,MATCH($B88,'de para abc'!$A:$A,0))),IFERROR(IF(INDEX('de para abc'!$C:$C,MATCH($C88,'de para abc'!$B:$B,0))=0,"C",INDEX('de para abc'!$C:$C,MATCH($C88,'de para abc'!$B:$B,0))),"C"))</f>
        <v>A</v>
      </c>
      <c r="F88" s="46">
        <v>42</v>
      </c>
    </row>
    <row r="89" spans="1:6" x14ac:dyDescent="0.25">
      <c r="A89" s="45" t="s">
        <v>301</v>
      </c>
      <c r="B89" s="34">
        <v>1000198</v>
      </c>
      <c r="C89" s="32" t="s">
        <v>65</v>
      </c>
      <c r="D89" s="33" t="s">
        <v>18</v>
      </c>
      <c r="E89" s="33" t="str">
        <f>IFERROR(IF(INDEX('de para abc'!$C:$C,MATCH($B89,'de para abc'!$A:$A,0))=0,"C",INDEX('de para abc'!$C:$C,MATCH($B89,'de para abc'!$A:$A,0))),IFERROR(IF(INDEX('de para abc'!$C:$C,MATCH($C89,'de para abc'!$B:$B,0))=0,"C",INDEX('de para abc'!$C:$C,MATCH($C89,'de para abc'!$B:$B,0))),"C"))</f>
        <v>A</v>
      </c>
      <c r="F89" s="46">
        <v>49</v>
      </c>
    </row>
    <row r="90" spans="1:6" x14ac:dyDescent="0.25">
      <c r="A90" s="45" t="s">
        <v>301</v>
      </c>
      <c r="B90" s="34">
        <v>1000205</v>
      </c>
      <c r="C90" s="32" t="s">
        <v>144</v>
      </c>
      <c r="D90" s="33" t="s">
        <v>10</v>
      </c>
      <c r="E90" s="33" t="str">
        <f>IFERROR(IF(INDEX('de para abc'!$C:$C,MATCH($B90,'de para abc'!$A:$A,0))=0,"C",INDEX('de para abc'!$C:$C,MATCH($B90,'de para abc'!$A:$A,0))),IFERROR(IF(INDEX('de para abc'!$C:$C,MATCH($C90,'de para abc'!$B:$B,0))=0,"C",INDEX('de para abc'!$C:$C,MATCH($C90,'de para abc'!$B:$B,0))),"C"))</f>
        <v>C</v>
      </c>
      <c r="F90" s="46">
        <v>1</v>
      </c>
    </row>
    <row r="91" spans="1:6" x14ac:dyDescent="0.25">
      <c r="A91" s="45" t="s">
        <v>301</v>
      </c>
      <c r="B91" s="34">
        <v>1001045</v>
      </c>
      <c r="C91" s="32" t="s">
        <v>145</v>
      </c>
      <c r="D91" s="33" t="s">
        <v>10</v>
      </c>
      <c r="E91" s="33" t="str">
        <f>IFERROR(IF(INDEX('de para abc'!$C:$C,MATCH($B91,'de para abc'!$A:$A,0))=0,"C",INDEX('de para abc'!$C:$C,MATCH($B91,'de para abc'!$A:$A,0))),IFERROR(IF(INDEX('de para abc'!$C:$C,MATCH($C91,'de para abc'!$B:$B,0))=0,"C",INDEX('de para abc'!$C:$C,MATCH($C91,'de para abc'!$B:$B,0))),"C"))</f>
        <v>A</v>
      </c>
      <c r="F91" s="46">
        <v>5</v>
      </c>
    </row>
    <row r="92" spans="1:6" x14ac:dyDescent="0.25">
      <c r="A92" s="45" t="s">
        <v>301</v>
      </c>
      <c r="B92" s="34">
        <v>30001280</v>
      </c>
      <c r="C92" s="32" t="s">
        <v>439</v>
      </c>
      <c r="D92" s="33" t="s">
        <v>18</v>
      </c>
      <c r="E92" s="33" t="str">
        <f>IFERROR(IF(INDEX('de para abc'!$C:$C,MATCH($B92,'de para abc'!$A:$A,0))=0,"C",INDEX('de para abc'!$C:$C,MATCH($B92,'de para abc'!$A:$A,0))),IFERROR(IF(INDEX('de para abc'!$C:$C,MATCH($C92,'de para abc'!$B:$B,0))=0,"C",INDEX('de para abc'!$C:$C,MATCH($C92,'de para abc'!$B:$B,0))),"C"))</f>
        <v>C</v>
      </c>
      <c r="F92" s="46">
        <v>1</v>
      </c>
    </row>
    <row r="93" spans="1:6" x14ac:dyDescent="0.25">
      <c r="A93" s="45" t="s">
        <v>301</v>
      </c>
      <c r="B93" s="34">
        <v>2000456</v>
      </c>
      <c r="C93" s="32" t="s">
        <v>440</v>
      </c>
      <c r="D93" s="33"/>
      <c r="E93" s="33" t="str">
        <f>IFERROR(IF(INDEX('de para abc'!$C:$C,MATCH($B93,'de para abc'!$A:$A,0))=0,"C",INDEX('de para abc'!$C:$C,MATCH($B93,'de para abc'!$A:$A,0))),IFERROR(IF(INDEX('de para abc'!$C:$C,MATCH($C93,'de para abc'!$B:$B,0))=0,"C",INDEX('de para abc'!$C:$C,MATCH($C93,'de para abc'!$B:$B,0))),"C"))</f>
        <v>C</v>
      </c>
      <c r="F93" s="46">
        <v>0</v>
      </c>
    </row>
    <row r="94" spans="1:6" x14ac:dyDescent="0.25">
      <c r="A94" s="45" t="s">
        <v>301</v>
      </c>
      <c r="B94" s="34">
        <v>1000207</v>
      </c>
      <c r="C94" s="32" t="s">
        <v>441</v>
      </c>
      <c r="D94" s="33" t="s">
        <v>10</v>
      </c>
      <c r="E94" s="33" t="str">
        <f>IFERROR(IF(INDEX('de para abc'!$C:$C,MATCH($B94,'de para abc'!$A:$A,0))=0,"C",INDEX('de para abc'!$C:$C,MATCH($B94,'de para abc'!$A:$A,0))),IFERROR(IF(INDEX('de para abc'!$C:$C,MATCH($C94,'de para abc'!$B:$B,0))=0,"C",INDEX('de para abc'!$C:$C,MATCH($C94,'de para abc'!$B:$B,0))),"C"))</f>
        <v>C</v>
      </c>
      <c r="F94" s="46">
        <v>5</v>
      </c>
    </row>
    <row r="95" spans="1:6" x14ac:dyDescent="0.25">
      <c r="A95" s="45" t="s">
        <v>301</v>
      </c>
      <c r="B95" s="34">
        <v>1000224</v>
      </c>
      <c r="C95" s="32" t="s">
        <v>146</v>
      </c>
      <c r="D95" s="33" t="s">
        <v>18</v>
      </c>
      <c r="E95" s="33" t="str">
        <f>IFERROR(IF(INDEX('de para abc'!$C:$C,MATCH($B95,'de para abc'!$A:$A,0))=0,"C",INDEX('de para abc'!$C:$C,MATCH($B95,'de para abc'!$A:$A,0))),IFERROR(IF(INDEX('de para abc'!$C:$C,MATCH($C95,'de para abc'!$B:$B,0))=0,"C",INDEX('de para abc'!$C:$C,MATCH($C95,'de para abc'!$B:$B,0))),"C"))</f>
        <v>A</v>
      </c>
      <c r="F95" s="46">
        <v>3</v>
      </c>
    </row>
    <row r="96" spans="1:6" x14ac:dyDescent="0.25">
      <c r="A96" s="45" t="s">
        <v>301</v>
      </c>
      <c r="B96" s="34">
        <v>1000607</v>
      </c>
      <c r="C96" s="32" t="s">
        <v>442</v>
      </c>
      <c r="D96" s="33" t="s">
        <v>18</v>
      </c>
      <c r="E96" s="33" t="str">
        <f>IFERROR(IF(INDEX('de para abc'!$C:$C,MATCH($B96,'de para abc'!$A:$A,0))=0,"C",INDEX('de para abc'!$C:$C,MATCH($B96,'de para abc'!$A:$A,0))),IFERROR(IF(INDEX('de para abc'!$C:$C,MATCH($C96,'de para abc'!$B:$B,0))=0,"C",INDEX('de para abc'!$C:$C,MATCH($C96,'de para abc'!$B:$B,0))),"C"))</f>
        <v>C</v>
      </c>
      <c r="F96" s="46">
        <v>11</v>
      </c>
    </row>
    <row r="97" spans="1:6" x14ac:dyDescent="0.25">
      <c r="A97" s="45" t="s">
        <v>301</v>
      </c>
      <c r="B97" s="34">
        <v>1001299</v>
      </c>
      <c r="C97" s="32" t="s">
        <v>149</v>
      </c>
      <c r="D97" s="33" t="s">
        <v>18</v>
      </c>
      <c r="E97" s="33" t="str">
        <f>IFERROR(IF(INDEX('de para abc'!$C:$C,MATCH($B97,'de para abc'!$A:$A,0))=0,"C",INDEX('de para abc'!$C:$C,MATCH($B97,'de para abc'!$A:$A,0))),IFERROR(IF(INDEX('de para abc'!$C:$C,MATCH($C97,'de para abc'!$B:$B,0))=0,"C",INDEX('de para abc'!$C:$C,MATCH($C97,'de para abc'!$B:$B,0))),"C"))</f>
        <v>A</v>
      </c>
      <c r="F97" s="46">
        <v>60</v>
      </c>
    </row>
    <row r="98" spans="1:6" x14ac:dyDescent="0.25">
      <c r="A98" s="45" t="s">
        <v>301</v>
      </c>
      <c r="B98" s="34">
        <v>1000658</v>
      </c>
      <c r="C98" s="32" t="s">
        <v>443</v>
      </c>
      <c r="D98" s="33" t="s">
        <v>10</v>
      </c>
      <c r="E98" s="33" t="str">
        <f>IFERROR(IF(INDEX('de para abc'!$C:$C,MATCH($B98,'de para abc'!$A:$A,0))=0,"C",INDEX('de para abc'!$C:$C,MATCH($B98,'de para abc'!$A:$A,0))),IFERROR(IF(INDEX('de para abc'!$C:$C,MATCH($C98,'de para abc'!$B:$B,0))=0,"C",INDEX('de para abc'!$C:$C,MATCH($C98,'de para abc'!$B:$B,0))),"C"))</f>
        <v>C</v>
      </c>
      <c r="F98" s="46">
        <v>6</v>
      </c>
    </row>
    <row r="99" spans="1:6" x14ac:dyDescent="0.25">
      <c r="A99" s="45" t="s">
        <v>301</v>
      </c>
      <c r="B99" s="34">
        <v>100878</v>
      </c>
      <c r="C99" s="32" t="s">
        <v>444</v>
      </c>
      <c r="D99" s="33" t="s">
        <v>10</v>
      </c>
      <c r="E99" s="33" t="str">
        <f>IFERROR(IF(INDEX('de para abc'!$C:$C,MATCH($B99,'de para abc'!$A:$A,0))=0,"C",INDEX('de para abc'!$C:$C,MATCH($B99,'de para abc'!$A:$A,0))),IFERROR(IF(INDEX('de para abc'!$C:$C,MATCH($C99,'de para abc'!$B:$B,0))=0,"C",INDEX('de para abc'!$C:$C,MATCH($C99,'de para abc'!$B:$B,0))),"C"))</f>
        <v>C</v>
      </c>
      <c r="F99" s="46">
        <v>1</v>
      </c>
    </row>
    <row r="100" spans="1:6" x14ac:dyDescent="0.25">
      <c r="A100" s="45" t="s">
        <v>301</v>
      </c>
      <c r="B100" s="34">
        <v>1000241</v>
      </c>
      <c r="C100" s="32" t="s">
        <v>445</v>
      </c>
      <c r="D100" s="33" t="s">
        <v>10</v>
      </c>
      <c r="E100" s="33" t="str">
        <f>IFERROR(IF(INDEX('de para abc'!$C:$C,MATCH($B100,'de para abc'!$A:$A,0))=0,"C",INDEX('de para abc'!$C:$C,MATCH($B100,'de para abc'!$A:$A,0))),IFERROR(IF(INDEX('de para abc'!$C:$C,MATCH($C100,'de para abc'!$B:$B,0))=0,"C",INDEX('de para abc'!$C:$C,MATCH($C100,'de para abc'!$B:$B,0))),"C"))</f>
        <v>B</v>
      </c>
      <c r="F100" s="46">
        <v>0</v>
      </c>
    </row>
    <row r="101" spans="1:6" x14ac:dyDescent="0.25">
      <c r="A101" s="45" t="s">
        <v>301</v>
      </c>
      <c r="B101" s="34">
        <v>1000240</v>
      </c>
      <c r="C101" s="32" t="s">
        <v>446</v>
      </c>
      <c r="D101" s="33" t="s">
        <v>10</v>
      </c>
      <c r="E101" s="33" t="str">
        <f>IFERROR(IF(INDEX('de para abc'!$C:$C,MATCH($B101,'de para abc'!$A:$A,0))=0,"C",INDEX('de para abc'!$C:$C,MATCH($B101,'de para abc'!$A:$A,0))),IFERROR(IF(INDEX('de para abc'!$C:$C,MATCH($C101,'de para abc'!$B:$B,0))=0,"C",INDEX('de para abc'!$C:$C,MATCH($C101,'de para abc'!$B:$B,0))),"C"))</f>
        <v>C</v>
      </c>
      <c r="F101" s="46">
        <v>5</v>
      </c>
    </row>
    <row r="102" spans="1:6" x14ac:dyDescent="0.25">
      <c r="A102" s="45" t="s">
        <v>301</v>
      </c>
      <c r="B102" s="34">
        <v>1001025</v>
      </c>
      <c r="C102" s="32" t="s">
        <v>447</v>
      </c>
      <c r="D102" s="33" t="s">
        <v>18</v>
      </c>
      <c r="E102" s="33" t="str">
        <f>IFERROR(IF(INDEX('de para abc'!$C:$C,MATCH($B102,'de para abc'!$A:$A,0))=0,"C",INDEX('de para abc'!$C:$C,MATCH($B102,'de para abc'!$A:$A,0))),IFERROR(IF(INDEX('de para abc'!$C:$C,MATCH($C102,'de para abc'!$B:$B,0))=0,"C",INDEX('de para abc'!$C:$C,MATCH($C102,'de para abc'!$B:$B,0))),"C"))</f>
        <v>C</v>
      </c>
      <c r="F102" s="46">
        <v>0</v>
      </c>
    </row>
    <row r="103" spans="1:6" x14ac:dyDescent="0.25">
      <c r="A103" s="45" t="s">
        <v>301</v>
      </c>
      <c r="B103" s="34">
        <v>1001447</v>
      </c>
      <c r="C103" s="32" t="s">
        <v>448</v>
      </c>
      <c r="D103" s="33" t="s">
        <v>10</v>
      </c>
      <c r="E103" s="33" t="str">
        <f>IFERROR(IF(INDEX('de para abc'!$C:$C,MATCH($B103,'de para abc'!$A:$A,0))=0,"C",INDEX('de para abc'!$C:$C,MATCH($B103,'de para abc'!$A:$A,0))),IFERROR(IF(INDEX('de para abc'!$C:$C,MATCH($C103,'de para abc'!$B:$B,0))=0,"C",INDEX('de para abc'!$C:$C,MATCH($C103,'de para abc'!$B:$B,0))),"C"))</f>
        <v>C</v>
      </c>
      <c r="F103" s="46">
        <v>5</v>
      </c>
    </row>
    <row r="104" spans="1:6" x14ac:dyDescent="0.25">
      <c r="A104" s="45" t="s">
        <v>301</v>
      </c>
      <c r="B104" s="34">
        <v>1001284</v>
      </c>
      <c r="C104" s="32" t="s">
        <v>449</v>
      </c>
      <c r="D104" s="33" t="s">
        <v>18</v>
      </c>
      <c r="E104" s="33" t="str">
        <f>IFERROR(IF(INDEX('de para abc'!$C:$C,MATCH($B104,'de para abc'!$A:$A,0))=0,"C",INDEX('de para abc'!$C:$C,MATCH($B104,'de para abc'!$A:$A,0))),IFERROR(IF(INDEX('de para abc'!$C:$C,MATCH($C104,'de para abc'!$B:$B,0))=0,"C",INDEX('de para abc'!$C:$C,MATCH($C104,'de para abc'!$B:$B,0))),"C"))</f>
        <v>C</v>
      </c>
      <c r="F104" s="46">
        <v>0</v>
      </c>
    </row>
    <row r="105" spans="1:6" x14ac:dyDescent="0.25">
      <c r="A105" s="45" t="s">
        <v>301</v>
      </c>
      <c r="B105" s="34">
        <v>1002106</v>
      </c>
      <c r="C105" s="32" t="s">
        <v>450</v>
      </c>
      <c r="D105" s="33" t="s">
        <v>18</v>
      </c>
      <c r="E105" s="33" t="str">
        <f>IFERROR(IF(INDEX('de para abc'!$C:$C,MATCH($B105,'de para abc'!$A:$A,0))=0,"C",INDEX('de para abc'!$C:$C,MATCH($B105,'de para abc'!$A:$A,0))),IFERROR(IF(INDEX('de para abc'!$C:$C,MATCH($C105,'de para abc'!$B:$B,0))=0,"C",INDEX('de para abc'!$C:$C,MATCH($C105,'de para abc'!$B:$B,0))),"C"))</f>
        <v>C</v>
      </c>
      <c r="F105" s="46">
        <v>1</v>
      </c>
    </row>
    <row r="106" spans="1:6" x14ac:dyDescent="0.25">
      <c r="A106" s="45" t="s">
        <v>301</v>
      </c>
      <c r="B106" s="34">
        <v>1000243</v>
      </c>
      <c r="C106" s="32" t="s">
        <v>150</v>
      </c>
      <c r="D106" s="33" t="s">
        <v>18</v>
      </c>
      <c r="E106" s="33" t="str">
        <f>IFERROR(IF(INDEX('de para abc'!$C:$C,MATCH($B106,'de para abc'!$A:$A,0))=0,"C",INDEX('de para abc'!$C:$C,MATCH($B106,'de para abc'!$A:$A,0))),IFERROR(IF(INDEX('de para abc'!$C:$C,MATCH($C106,'de para abc'!$B:$B,0))=0,"C",INDEX('de para abc'!$C:$C,MATCH($C106,'de para abc'!$B:$B,0))),"C"))</f>
        <v>A</v>
      </c>
      <c r="F106" s="46">
        <v>5</v>
      </c>
    </row>
    <row r="107" spans="1:6" x14ac:dyDescent="0.25">
      <c r="A107" s="45" t="s">
        <v>301</v>
      </c>
      <c r="B107" s="34">
        <v>1002254</v>
      </c>
      <c r="C107" s="32" t="s">
        <v>451</v>
      </c>
      <c r="D107" s="33" t="s">
        <v>18</v>
      </c>
      <c r="E107" s="33" t="str">
        <f>IFERROR(IF(INDEX('de para abc'!$C:$C,MATCH($B107,'de para abc'!$A:$A,0))=0,"C",INDEX('de para abc'!$C:$C,MATCH($B107,'de para abc'!$A:$A,0))),IFERROR(IF(INDEX('de para abc'!$C:$C,MATCH($C107,'de para abc'!$B:$B,0))=0,"C",INDEX('de para abc'!$C:$C,MATCH($C107,'de para abc'!$B:$B,0))),"C"))</f>
        <v>C</v>
      </c>
      <c r="F107" s="46">
        <v>3</v>
      </c>
    </row>
    <row r="108" spans="1:6" x14ac:dyDescent="0.25">
      <c r="A108" s="45" t="s">
        <v>301</v>
      </c>
      <c r="B108" s="34">
        <v>1000254</v>
      </c>
      <c r="C108" s="32" t="s">
        <v>151</v>
      </c>
      <c r="D108" s="33" t="s">
        <v>10</v>
      </c>
      <c r="E108" s="33" t="str">
        <f>IFERROR(IF(INDEX('de para abc'!$C:$C,MATCH($B108,'de para abc'!$A:$A,0))=0,"C",INDEX('de para abc'!$C:$C,MATCH($B108,'de para abc'!$A:$A,0))),IFERROR(IF(INDEX('de para abc'!$C:$C,MATCH($C108,'de para abc'!$B:$B,0))=0,"C",INDEX('de para abc'!$C:$C,MATCH($C108,'de para abc'!$B:$B,0))),"C"))</f>
        <v>A</v>
      </c>
      <c r="F108" s="46">
        <v>50</v>
      </c>
    </row>
    <row r="109" spans="1:6" x14ac:dyDescent="0.25">
      <c r="A109" s="45" t="s">
        <v>301</v>
      </c>
      <c r="B109" s="34">
        <v>1000256</v>
      </c>
      <c r="C109" s="32" t="s">
        <v>36</v>
      </c>
      <c r="D109" s="33" t="s">
        <v>18</v>
      </c>
      <c r="E109" s="33" t="str">
        <f>IFERROR(IF(INDEX('de para abc'!$C:$C,MATCH($B109,'de para abc'!$A:$A,0))=0,"C",INDEX('de para abc'!$C:$C,MATCH($B109,'de para abc'!$A:$A,0))),IFERROR(IF(INDEX('de para abc'!$C:$C,MATCH($C109,'de para abc'!$B:$B,0))=0,"C",INDEX('de para abc'!$C:$C,MATCH($C109,'de para abc'!$B:$B,0))),"C"))</f>
        <v>B</v>
      </c>
      <c r="F109" s="46">
        <v>17</v>
      </c>
    </row>
    <row r="110" spans="1:6" x14ac:dyDescent="0.25">
      <c r="A110" s="45" t="s">
        <v>301</v>
      </c>
      <c r="B110" s="34">
        <v>1008917</v>
      </c>
      <c r="C110" s="32" t="s">
        <v>452</v>
      </c>
      <c r="D110" s="33" t="s">
        <v>18</v>
      </c>
      <c r="E110" s="33" t="str">
        <f>IFERROR(IF(INDEX('de para abc'!$C:$C,MATCH($B110,'de para abc'!$A:$A,0))=0,"C",INDEX('de para abc'!$C:$C,MATCH($B110,'de para abc'!$A:$A,0))),IFERROR(IF(INDEX('de para abc'!$C:$C,MATCH($C110,'de para abc'!$B:$B,0))=0,"C",INDEX('de para abc'!$C:$C,MATCH($C110,'de para abc'!$B:$B,0))),"C"))</f>
        <v>C</v>
      </c>
      <c r="F110" s="46">
        <v>0</v>
      </c>
    </row>
    <row r="111" spans="1:6" x14ac:dyDescent="0.25">
      <c r="A111" s="45" t="s">
        <v>301</v>
      </c>
      <c r="B111" s="34">
        <v>1000258</v>
      </c>
      <c r="C111" s="32" t="s">
        <v>35</v>
      </c>
      <c r="D111" s="33" t="s">
        <v>10</v>
      </c>
      <c r="E111" s="33" t="str">
        <f>IFERROR(IF(INDEX('de para abc'!$C:$C,MATCH($B111,'de para abc'!$A:$A,0))=0,"C",INDEX('de para abc'!$C:$C,MATCH($B111,'de para abc'!$A:$A,0))),IFERROR(IF(INDEX('de para abc'!$C:$C,MATCH($C111,'de para abc'!$B:$B,0))=0,"C",INDEX('de para abc'!$C:$C,MATCH($C111,'de para abc'!$B:$B,0))),"C"))</f>
        <v>A</v>
      </c>
      <c r="F111" s="46">
        <v>10</v>
      </c>
    </row>
    <row r="112" spans="1:6" x14ac:dyDescent="0.25">
      <c r="A112" s="45" t="s">
        <v>301</v>
      </c>
      <c r="B112" s="34">
        <v>1001295</v>
      </c>
      <c r="C112" s="32" t="s">
        <v>453</v>
      </c>
      <c r="D112" s="33" t="s">
        <v>18</v>
      </c>
      <c r="E112" s="33" t="str">
        <f>IFERROR(IF(INDEX('de para abc'!$C:$C,MATCH($B112,'de para abc'!$A:$A,0))=0,"C",INDEX('de para abc'!$C:$C,MATCH($B112,'de para abc'!$A:$A,0))),IFERROR(IF(INDEX('de para abc'!$C:$C,MATCH($C112,'de para abc'!$B:$B,0))=0,"C",INDEX('de para abc'!$C:$C,MATCH($C112,'de para abc'!$B:$B,0))),"C"))</f>
        <v>C</v>
      </c>
      <c r="F112" s="46">
        <v>2</v>
      </c>
    </row>
    <row r="113" spans="1:6" x14ac:dyDescent="0.25">
      <c r="A113" s="45" t="s">
        <v>301</v>
      </c>
      <c r="B113" s="34">
        <v>1001264</v>
      </c>
      <c r="C113" s="32" t="s">
        <v>37</v>
      </c>
      <c r="D113" s="33" t="s">
        <v>18</v>
      </c>
      <c r="E113" s="33" t="str">
        <f>IFERROR(IF(INDEX('de para abc'!$C:$C,MATCH($B113,'de para abc'!$A:$A,0))=0,"C",INDEX('de para abc'!$C:$C,MATCH($B113,'de para abc'!$A:$A,0))),IFERROR(IF(INDEX('de para abc'!$C:$C,MATCH($C113,'de para abc'!$B:$B,0))=0,"C",INDEX('de para abc'!$C:$C,MATCH($C113,'de para abc'!$B:$B,0))),"C"))</f>
        <v>A</v>
      </c>
      <c r="F113" s="46">
        <v>17</v>
      </c>
    </row>
    <row r="114" spans="1:6" x14ac:dyDescent="0.25">
      <c r="A114" s="45" t="s">
        <v>301</v>
      </c>
      <c r="B114" s="34">
        <v>1002013</v>
      </c>
      <c r="C114" s="32" t="s">
        <v>454</v>
      </c>
      <c r="D114" s="33" t="s">
        <v>18</v>
      </c>
      <c r="E114" s="33" t="str">
        <f>IFERROR(IF(INDEX('de para abc'!$C:$C,MATCH($B114,'de para abc'!$A:$A,0))=0,"C",INDEX('de para abc'!$C:$C,MATCH($B114,'de para abc'!$A:$A,0))),IFERROR(IF(INDEX('de para abc'!$C:$C,MATCH($C114,'de para abc'!$B:$B,0))=0,"C",INDEX('de para abc'!$C:$C,MATCH($C114,'de para abc'!$B:$B,0))),"C"))</f>
        <v>C</v>
      </c>
      <c r="F114" s="46">
        <v>4</v>
      </c>
    </row>
    <row r="115" spans="1:6" x14ac:dyDescent="0.25">
      <c r="A115" s="45" t="s">
        <v>301</v>
      </c>
      <c r="B115" s="34">
        <v>1000284</v>
      </c>
      <c r="C115" s="32" t="s">
        <v>38</v>
      </c>
      <c r="D115" s="33" t="s">
        <v>18</v>
      </c>
      <c r="E115" s="33" t="str">
        <f>IFERROR(IF(INDEX('de para abc'!$C:$C,MATCH($B115,'de para abc'!$A:$A,0))=0,"C",INDEX('de para abc'!$C:$C,MATCH($B115,'de para abc'!$A:$A,0))),IFERROR(IF(INDEX('de para abc'!$C:$C,MATCH($C115,'de para abc'!$B:$B,0))=0,"C",INDEX('de para abc'!$C:$C,MATCH($C115,'de para abc'!$B:$B,0))),"C"))</f>
        <v>B</v>
      </c>
      <c r="F115" s="46">
        <v>0</v>
      </c>
    </row>
    <row r="116" spans="1:6" x14ac:dyDescent="0.25">
      <c r="A116" s="45" t="s">
        <v>301</v>
      </c>
      <c r="B116" s="34">
        <v>1001668</v>
      </c>
      <c r="C116" s="32" t="s">
        <v>455</v>
      </c>
      <c r="D116" s="33" t="s">
        <v>18</v>
      </c>
      <c r="E116" s="33" t="str">
        <f>IFERROR(IF(INDEX('de para abc'!$C:$C,MATCH($B116,'de para abc'!$A:$A,0))=0,"C",INDEX('de para abc'!$C:$C,MATCH($B116,'de para abc'!$A:$A,0))),IFERROR(IF(INDEX('de para abc'!$C:$C,MATCH($C116,'de para abc'!$B:$B,0))=0,"C",INDEX('de para abc'!$C:$C,MATCH($C116,'de para abc'!$B:$B,0))),"C"))</f>
        <v>B</v>
      </c>
      <c r="F116" s="46">
        <v>36</v>
      </c>
    </row>
    <row r="117" spans="1:6" x14ac:dyDescent="0.25">
      <c r="A117" s="45" t="s">
        <v>301</v>
      </c>
      <c r="B117" s="34">
        <v>1000586</v>
      </c>
      <c r="C117" s="32" t="s">
        <v>456</v>
      </c>
      <c r="D117" s="33" t="s">
        <v>18</v>
      </c>
      <c r="E117" s="33" t="str">
        <f>IFERROR(IF(INDEX('de para abc'!$C:$C,MATCH($B117,'de para abc'!$A:$A,0))=0,"C",INDEX('de para abc'!$C:$C,MATCH($B117,'de para abc'!$A:$A,0))),IFERROR(IF(INDEX('de para abc'!$C:$C,MATCH($C117,'de para abc'!$B:$B,0))=0,"C",INDEX('de para abc'!$C:$C,MATCH($C117,'de para abc'!$B:$B,0))),"C"))</f>
        <v>C</v>
      </c>
      <c r="F117" s="46">
        <v>25</v>
      </c>
    </row>
    <row r="118" spans="1:6" x14ac:dyDescent="0.25">
      <c r="A118" s="45" t="s">
        <v>301</v>
      </c>
      <c r="B118" s="34">
        <v>1000292</v>
      </c>
      <c r="C118" s="32" t="s">
        <v>457</v>
      </c>
      <c r="D118" s="33" t="s">
        <v>18</v>
      </c>
      <c r="E118" s="33" t="str">
        <f>IFERROR(IF(INDEX('de para abc'!$C:$C,MATCH($B118,'de para abc'!$A:$A,0))=0,"C",INDEX('de para abc'!$C:$C,MATCH($B118,'de para abc'!$A:$A,0))),IFERROR(IF(INDEX('de para abc'!$C:$C,MATCH($C118,'de para abc'!$B:$B,0))=0,"C",INDEX('de para abc'!$C:$C,MATCH($C118,'de para abc'!$B:$B,0))),"C"))</f>
        <v>C</v>
      </c>
      <c r="F118" s="46">
        <v>3</v>
      </c>
    </row>
    <row r="119" spans="1:6" x14ac:dyDescent="0.25">
      <c r="A119" s="45" t="s">
        <v>301</v>
      </c>
      <c r="B119" s="34">
        <v>1000293</v>
      </c>
      <c r="C119" s="32" t="s">
        <v>458</v>
      </c>
      <c r="D119" s="33" t="s">
        <v>18</v>
      </c>
      <c r="E119" s="33" t="str">
        <f>IFERROR(IF(INDEX('de para abc'!$C:$C,MATCH($B119,'de para abc'!$A:$A,0))=0,"C",INDEX('de para abc'!$C:$C,MATCH($B119,'de para abc'!$A:$A,0))),IFERROR(IF(INDEX('de para abc'!$C:$C,MATCH($C119,'de para abc'!$B:$B,0))=0,"C",INDEX('de para abc'!$C:$C,MATCH($C119,'de para abc'!$B:$B,0))),"C"))</f>
        <v>C</v>
      </c>
      <c r="F119" s="46">
        <v>5</v>
      </c>
    </row>
    <row r="120" spans="1:6" x14ac:dyDescent="0.25">
      <c r="A120" s="45" t="s">
        <v>301</v>
      </c>
      <c r="B120" s="34">
        <v>1001189</v>
      </c>
      <c r="C120" s="32" t="s">
        <v>459</v>
      </c>
      <c r="D120" s="33" t="s">
        <v>18</v>
      </c>
      <c r="E120" s="33" t="str">
        <f>IFERROR(IF(INDEX('de para abc'!$C:$C,MATCH($B120,'de para abc'!$A:$A,0))=0,"C",INDEX('de para abc'!$C:$C,MATCH($B120,'de para abc'!$A:$A,0))),IFERROR(IF(INDEX('de para abc'!$C:$C,MATCH($C120,'de para abc'!$B:$B,0))=0,"C",INDEX('de para abc'!$C:$C,MATCH($C120,'de para abc'!$B:$B,0))),"C"))</f>
        <v>C</v>
      </c>
      <c r="F120" s="46">
        <v>1</v>
      </c>
    </row>
    <row r="121" spans="1:6" x14ac:dyDescent="0.25">
      <c r="A121" s="45" t="s">
        <v>301</v>
      </c>
      <c r="B121" s="34">
        <v>1000296</v>
      </c>
      <c r="C121" s="32" t="s">
        <v>460</v>
      </c>
      <c r="D121" s="33" t="s">
        <v>18</v>
      </c>
      <c r="E121" s="33" t="str">
        <f>IFERROR(IF(INDEX('de para abc'!$C:$C,MATCH($B121,'de para abc'!$A:$A,0))=0,"C",INDEX('de para abc'!$C:$C,MATCH($B121,'de para abc'!$A:$A,0))),IFERROR(IF(INDEX('de para abc'!$C:$C,MATCH($C121,'de para abc'!$B:$B,0))=0,"C",INDEX('de para abc'!$C:$C,MATCH($C121,'de para abc'!$B:$B,0))),"C"))</f>
        <v>C</v>
      </c>
      <c r="F121" s="46">
        <v>1</v>
      </c>
    </row>
    <row r="122" spans="1:6" x14ac:dyDescent="0.25">
      <c r="A122" s="45" t="s">
        <v>301</v>
      </c>
      <c r="B122" s="34">
        <v>1000300</v>
      </c>
      <c r="C122" s="32" t="s">
        <v>461</v>
      </c>
      <c r="D122" s="33" t="s">
        <v>10</v>
      </c>
      <c r="E122" s="33" t="str">
        <f>IFERROR(IF(INDEX('de para abc'!$C:$C,MATCH($B122,'de para abc'!$A:$A,0))=0,"C",INDEX('de para abc'!$C:$C,MATCH($B122,'de para abc'!$A:$A,0))),IFERROR(IF(INDEX('de para abc'!$C:$C,MATCH($C122,'de para abc'!$B:$B,0))=0,"C",INDEX('de para abc'!$C:$C,MATCH($C122,'de para abc'!$B:$B,0))),"C"))</f>
        <v>B</v>
      </c>
      <c r="F122" s="46">
        <v>0</v>
      </c>
    </row>
    <row r="123" spans="1:6" x14ac:dyDescent="0.25">
      <c r="A123" s="45" t="s">
        <v>301</v>
      </c>
      <c r="B123" s="34">
        <v>1001241</v>
      </c>
      <c r="C123" s="32" t="s">
        <v>205</v>
      </c>
      <c r="D123" s="33" t="s">
        <v>18</v>
      </c>
      <c r="E123" s="33" t="str">
        <f>IFERROR(IF(INDEX('de para abc'!$C:$C,MATCH($B123,'de para abc'!$A:$A,0))=0,"C",INDEX('de para abc'!$C:$C,MATCH($B123,'de para abc'!$A:$A,0))),IFERROR(IF(INDEX('de para abc'!$C:$C,MATCH($C123,'de para abc'!$B:$B,0))=0,"C",INDEX('de para abc'!$C:$C,MATCH($C123,'de para abc'!$B:$B,0))),"C"))</f>
        <v>B</v>
      </c>
      <c r="F123" s="46">
        <v>0</v>
      </c>
    </row>
    <row r="124" spans="1:6" x14ac:dyDescent="0.25">
      <c r="A124" s="45" t="s">
        <v>301</v>
      </c>
      <c r="B124" s="34">
        <v>1002111</v>
      </c>
      <c r="C124" s="32" t="s">
        <v>462</v>
      </c>
      <c r="D124" s="33" t="s">
        <v>463</v>
      </c>
      <c r="E124" s="33" t="str">
        <f>IFERROR(IF(INDEX('de para abc'!$C:$C,MATCH($B124,'de para abc'!$A:$A,0))=0,"C",INDEX('de para abc'!$C:$C,MATCH($B124,'de para abc'!$A:$A,0))),IFERROR(IF(INDEX('de para abc'!$C:$C,MATCH($C124,'de para abc'!$B:$B,0))=0,"C",INDEX('de para abc'!$C:$C,MATCH($C124,'de para abc'!$B:$B,0))),"C"))</f>
        <v>C</v>
      </c>
      <c r="F124" s="46">
        <v>0</v>
      </c>
    </row>
    <row r="125" spans="1:6" x14ac:dyDescent="0.25">
      <c r="A125" s="45" t="s">
        <v>301</v>
      </c>
      <c r="B125" s="34">
        <v>1002170</v>
      </c>
      <c r="C125" s="32" t="s">
        <v>464</v>
      </c>
      <c r="D125" s="33" t="s">
        <v>465</v>
      </c>
      <c r="E125" s="33" t="str">
        <f>IFERROR(IF(INDEX('de para abc'!$C:$C,MATCH($B125,'de para abc'!$A:$A,0))=0,"C",INDEX('de para abc'!$C:$C,MATCH($B125,'de para abc'!$A:$A,0))),IFERROR(IF(INDEX('de para abc'!$C:$C,MATCH($C125,'de para abc'!$B:$B,0))=0,"C",INDEX('de para abc'!$C:$C,MATCH($C125,'de para abc'!$B:$B,0))),"C"))</f>
        <v>C</v>
      </c>
      <c r="F125" s="46">
        <v>0</v>
      </c>
    </row>
    <row r="126" spans="1:6" x14ac:dyDescent="0.25">
      <c r="A126" s="45" t="s">
        <v>301</v>
      </c>
      <c r="B126" s="34">
        <v>1000319</v>
      </c>
      <c r="C126" s="32" t="s">
        <v>54</v>
      </c>
      <c r="D126" s="33" t="s">
        <v>18</v>
      </c>
      <c r="E126" s="33" t="str">
        <f>IFERROR(IF(INDEX('de para abc'!$C:$C,MATCH($B126,'de para abc'!$A:$A,0))=0,"C",INDEX('de para abc'!$C:$C,MATCH($B126,'de para abc'!$A:$A,0))),IFERROR(IF(INDEX('de para abc'!$C:$C,MATCH($C126,'de para abc'!$B:$B,0))=0,"C",INDEX('de para abc'!$C:$C,MATCH($C126,'de para abc'!$B:$B,0))),"C"))</f>
        <v>A</v>
      </c>
      <c r="F126" s="46">
        <v>0</v>
      </c>
    </row>
    <row r="127" spans="1:6" x14ac:dyDescent="0.25">
      <c r="A127" s="45" t="s">
        <v>301</v>
      </c>
      <c r="B127" s="34">
        <v>1001660</v>
      </c>
      <c r="C127" s="32" t="s">
        <v>41</v>
      </c>
      <c r="D127" s="33" t="s">
        <v>10</v>
      </c>
      <c r="E127" s="33" t="str">
        <f>IFERROR(IF(INDEX('de para abc'!$C:$C,MATCH($B127,'de para abc'!$A:$A,0))=0,"C",INDEX('de para abc'!$C:$C,MATCH($B127,'de para abc'!$A:$A,0))),IFERROR(IF(INDEX('de para abc'!$C:$C,MATCH($C127,'de para abc'!$B:$B,0))=0,"C",INDEX('de para abc'!$C:$C,MATCH($C127,'de para abc'!$B:$B,0))),"C"))</f>
        <v>B</v>
      </c>
      <c r="F127" s="46">
        <v>0</v>
      </c>
    </row>
    <row r="128" spans="1:6" x14ac:dyDescent="0.25">
      <c r="A128" s="45" t="s">
        <v>301</v>
      </c>
      <c r="B128" s="34">
        <v>1002022</v>
      </c>
      <c r="C128" s="32" t="s">
        <v>466</v>
      </c>
      <c r="D128" s="33" t="s">
        <v>467</v>
      </c>
      <c r="E128" s="33" t="str">
        <f>IFERROR(IF(INDEX('de para abc'!$C:$C,MATCH($B128,'de para abc'!$A:$A,0))=0,"C",INDEX('de para abc'!$C:$C,MATCH($B128,'de para abc'!$A:$A,0))),IFERROR(IF(INDEX('de para abc'!$C:$C,MATCH($C128,'de para abc'!$B:$B,0))=0,"C",INDEX('de para abc'!$C:$C,MATCH($C128,'de para abc'!$B:$B,0))),"C"))</f>
        <v>C</v>
      </c>
      <c r="F128" s="46">
        <v>0</v>
      </c>
    </row>
    <row r="129" spans="1:6" x14ac:dyDescent="0.25">
      <c r="A129" s="45" t="s">
        <v>301</v>
      </c>
      <c r="B129" s="34">
        <v>1002058</v>
      </c>
      <c r="C129" s="32" t="s">
        <v>112</v>
      </c>
      <c r="D129" s="33" t="s">
        <v>18</v>
      </c>
      <c r="E129" s="33" t="str">
        <f>IFERROR(IF(INDEX('de para abc'!$C:$C,MATCH($B129,'de para abc'!$A:$A,0))=0,"C",INDEX('de para abc'!$C:$C,MATCH($B129,'de para abc'!$A:$A,0))),IFERROR(IF(INDEX('de para abc'!$C:$C,MATCH($C129,'de para abc'!$B:$B,0))=0,"C",INDEX('de para abc'!$C:$C,MATCH($C129,'de para abc'!$B:$B,0))),"C"))</f>
        <v>B</v>
      </c>
      <c r="F129" s="46">
        <v>0</v>
      </c>
    </row>
    <row r="130" spans="1:6" x14ac:dyDescent="0.25">
      <c r="A130" s="45" t="s">
        <v>301</v>
      </c>
      <c r="B130" s="34">
        <v>1006880</v>
      </c>
      <c r="C130" s="32" t="s">
        <v>468</v>
      </c>
      <c r="D130" s="33" t="s">
        <v>18</v>
      </c>
      <c r="E130" s="33" t="str">
        <f>IFERROR(IF(INDEX('de para abc'!$C:$C,MATCH($B130,'de para abc'!$A:$A,0))=0,"C",INDEX('de para abc'!$C:$C,MATCH($B130,'de para abc'!$A:$A,0))),IFERROR(IF(INDEX('de para abc'!$C:$C,MATCH($C130,'de para abc'!$B:$B,0))=0,"C",INDEX('de para abc'!$C:$C,MATCH($C130,'de para abc'!$B:$B,0))),"C"))</f>
        <v>C</v>
      </c>
      <c r="F130" s="46">
        <v>0</v>
      </c>
    </row>
    <row r="131" spans="1:6" x14ac:dyDescent="0.25">
      <c r="A131" s="45" t="s">
        <v>301</v>
      </c>
      <c r="B131" s="34">
        <v>9000050</v>
      </c>
      <c r="C131" s="32" t="s">
        <v>469</v>
      </c>
      <c r="D131" s="33" t="s">
        <v>18</v>
      </c>
      <c r="E131" s="33" t="str">
        <f>IFERROR(IF(INDEX('de para abc'!$C:$C,MATCH($B131,'de para abc'!$A:$A,0))=0,"C",INDEX('de para abc'!$C:$C,MATCH($B131,'de para abc'!$A:$A,0))),IFERROR(IF(INDEX('de para abc'!$C:$C,MATCH($C131,'de para abc'!$B:$B,0))=0,"C",INDEX('de para abc'!$C:$C,MATCH($C131,'de para abc'!$B:$B,0))),"C"))</f>
        <v>C</v>
      </c>
      <c r="F131" s="46">
        <v>2</v>
      </c>
    </row>
    <row r="132" spans="1:6" x14ac:dyDescent="0.25">
      <c r="A132" s="45" t="s">
        <v>301</v>
      </c>
      <c r="B132" s="34">
        <v>1000340</v>
      </c>
      <c r="C132" s="32" t="s">
        <v>159</v>
      </c>
      <c r="D132" s="33" t="s">
        <v>10</v>
      </c>
      <c r="E132" s="33" t="str">
        <f>IFERROR(IF(INDEX('de para abc'!$C:$C,MATCH($B132,'de para abc'!$A:$A,0))=0,"C",INDEX('de para abc'!$C:$C,MATCH($B132,'de para abc'!$A:$A,0))),IFERROR(IF(INDEX('de para abc'!$C:$C,MATCH($C132,'de para abc'!$B:$B,0))=0,"C",INDEX('de para abc'!$C:$C,MATCH($C132,'de para abc'!$B:$B,0))),"C"))</f>
        <v>A</v>
      </c>
      <c r="F132" s="46">
        <v>0</v>
      </c>
    </row>
    <row r="133" spans="1:6" x14ac:dyDescent="0.25">
      <c r="A133" s="45" t="s">
        <v>301</v>
      </c>
      <c r="B133" s="34">
        <v>1000346</v>
      </c>
      <c r="C133" s="32" t="s">
        <v>470</v>
      </c>
      <c r="D133" s="33" t="s">
        <v>10</v>
      </c>
      <c r="E133" s="33" t="str">
        <f>IFERROR(IF(INDEX('de para abc'!$C:$C,MATCH($B133,'de para abc'!$A:$A,0))=0,"C",INDEX('de para abc'!$C:$C,MATCH($B133,'de para abc'!$A:$A,0))),IFERROR(IF(INDEX('de para abc'!$C:$C,MATCH($C133,'de para abc'!$B:$B,0))=0,"C",INDEX('de para abc'!$C:$C,MATCH($C133,'de para abc'!$B:$B,0))),"C"))</f>
        <v>C</v>
      </c>
      <c r="F133" s="46">
        <v>0</v>
      </c>
    </row>
    <row r="134" spans="1:6" x14ac:dyDescent="0.25">
      <c r="A134" s="45" t="s">
        <v>301</v>
      </c>
      <c r="B134" s="34">
        <v>1000348</v>
      </c>
      <c r="C134" s="32" t="s">
        <v>43</v>
      </c>
      <c r="D134" s="33" t="s">
        <v>10</v>
      </c>
      <c r="E134" s="33" t="str">
        <f>IFERROR(IF(INDEX('de para abc'!$C:$C,MATCH($B134,'de para abc'!$A:$A,0))=0,"C",INDEX('de para abc'!$C:$C,MATCH($B134,'de para abc'!$A:$A,0))),IFERROR(IF(INDEX('de para abc'!$C:$C,MATCH($C134,'de para abc'!$B:$B,0))=0,"C",INDEX('de para abc'!$C:$C,MATCH($C134,'de para abc'!$B:$B,0))),"C"))</f>
        <v>A</v>
      </c>
      <c r="F134" s="46">
        <v>0</v>
      </c>
    </row>
    <row r="135" spans="1:6" x14ac:dyDescent="0.25">
      <c r="A135" s="45" t="s">
        <v>301</v>
      </c>
      <c r="B135" s="34">
        <v>1001039</v>
      </c>
      <c r="C135" s="32" t="s">
        <v>471</v>
      </c>
      <c r="D135" s="33" t="s">
        <v>18</v>
      </c>
      <c r="E135" s="33" t="str">
        <f>IFERROR(IF(INDEX('de para abc'!$C:$C,MATCH($B135,'de para abc'!$A:$A,0))=0,"C",INDEX('de para abc'!$C:$C,MATCH($B135,'de para abc'!$A:$A,0))),IFERROR(IF(INDEX('de para abc'!$C:$C,MATCH($C135,'de para abc'!$B:$B,0))=0,"C",INDEX('de para abc'!$C:$C,MATCH($C135,'de para abc'!$B:$B,0))),"C"))</f>
        <v>C</v>
      </c>
      <c r="F135" s="46">
        <v>0</v>
      </c>
    </row>
    <row r="136" spans="1:6" x14ac:dyDescent="0.25">
      <c r="A136" s="45" t="s">
        <v>301</v>
      </c>
      <c r="B136" s="34">
        <v>1000503</v>
      </c>
      <c r="C136" s="32" t="s">
        <v>472</v>
      </c>
      <c r="D136" s="33" t="s">
        <v>10</v>
      </c>
      <c r="E136" s="33" t="str">
        <f>IFERROR(IF(INDEX('de para abc'!$C:$C,MATCH($B136,'de para abc'!$A:$A,0))=0,"C",INDEX('de para abc'!$C:$C,MATCH($B136,'de para abc'!$A:$A,0))),IFERROR(IF(INDEX('de para abc'!$C:$C,MATCH($C136,'de para abc'!$B:$B,0))=0,"C",INDEX('de para abc'!$C:$C,MATCH($C136,'de para abc'!$B:$B,0))),"C"))</f>
        <v>C</v>
      </c>
      <c r="F136" s="46">
        <v>0</v>
      </c>
    </row>
    <row r="137" spans="1:6" x14ac:dyDescent="0.25">
      <c r="A137" s="45" t="s">
        <v>301</v>
      </c>
      <c r="B137" s="34">
        <v>1000363</v>
      </c>
      <c r="C137" s="32" t="s">
        <v>160</v>
      </c>
      <c r="D137" s="33" t="s">
        <v>10</v>
      </c>
      <c r="E137" s="33" t="str">
        <f>IFERROR(IF(INDEX('de para abc'!$C:$C,MATCH($B137,'de para abc'!$A:$A,0))=0,"C",INDEX('de para abc'!$C:$C,MATCH($B137,'de para abc'!$A:$A,0))),IFERROR(IF(INDEX('de para abc'!$C:$C,MATCH($C137,'de para abc'!$B:$B,0))=0,"C",INDEX('de para abc'!$C:$C,MATCH($C137,'de para abc'!$B:$B,0))),"C"))</f>
        <v>A</v>
      </c>
      <c r="F137" s="46">
        <v>0</v>
      </c>
    </row>
    <row r="138" spans="1:6" x14ac:dyDescent="0.25">
      <c r="A138" s="45" t="s">
        <v>301</v>
      </c>
      <c r="B138" s="34">
        <v>1001736</v>
      </c>
      <c r="C138" s="32" t="s">
        <v>161</v>
      </c>
      <c r="D138" s="33" t="s">
        <v>18</v>
      </c>
      <c r="E138" s="33" t="str">
        <f>IFERROR(IF(INDEX('de para abc'!$C:$C,MATCH($B138,'de para abc'!$A:$A,0))=0,"C",INDEX('de para abc'!$C:$C,MATCH($B138,'de para abc'!$A:$A,0))),IFERROR(IF(INDEX('de para abc'!$C:$C,MATCH($C138,'de para abc'!$B:$B,0))=0,"C",INDEX('de para abc'!$C:$C,MATCH($C138,'de para abc'!$B:$B,0))),"C"))</f>
        <v>A</v>
      </c>
      <c r="F138" s="46">
        <v>0</v>
      </c>
    </row>
    <row r="139" spans="1:6" x14ac:dyDescent="0.25">
      <c r="A139" s="45" t="s">
        <v>301</v>
      </c>
      <c r="B139" s="34">
        <v>9000038</v>
      </c>
      <c r="C139" s="32" t="s">
        <v>473</v>
      </c>
      <c r="D139" s="33" t="s">
        <v>18</v>
      </c>
      <c r="E139" s="33" t="str">
        <f>IFERROR(IF(INDEX('de para abc'!$C:$C,MATCH($B139,'de para abc'!$A:$A,0))=0,"C",INDEX('de para abc'!$C:$C,MATCH($B139,'de para abc'!$A:$A,0))),IFERROR(IF(INDEX('de para abc'!$C:$C,MATCH($C139,'de para abc'!$B:$B,0))=0,"C",INDEX('de para abc'!$C:$C,MATCH($C139,'de para abc'!$B:$B,0))),"C"))</f>
        <v>C</v>
      </c>
      <c r="F139" s="46">
        <v>2</v>
      </c>
    </row>
    <row r="140" spans="1:6" x14ac:dyDescent="0.25">
      <c r="A140" s="45" t="s">
        <v>301</v>
      </c>
      <c r="B140" s="34">
        <v>1000999</v>
      </c>
      <c r="C140" s="32" t="s">
        <v>474</v>
      </c>
      <c r="D140" s="33" t="s">
        <v>10</v>
      </c>
      <c r="E140" s="33" t="str">
        <f>IFERROR(IF(INDEX('de para abc'!$C:$C,MATCH($B140,'de para abc'!$A:$A,0))=0,"C",INDEX('de para abc'!$C:$C,MATCH($B140,'de para abc'!$A:$A,0))),IFERROR(IF(INDEX('de para abc'!$C:$C,MATCH($C140,'de para abc'!$B:$B,0))=0,"C",INDEX('de para abc'!$C:$C,MATCH($C140,'de para abc'!$B:$B,0))),"C"))</f>
        <v>C</v>
      </c>
      <c r="F140" s="46">
        <v>0</v>
      </c>
    </row>
    <row r="141" spans="1:6" x14ac:dyDescent="0.25">
      <c r="A141" s="45" t="s">
        <v>301</v>
      </c>
      <c r="B141" s="34">
        <v>900058</v>
      </c>
      <c r="C141" s="32" t="s">
        <v>475</v>
      </c>
      <c r="D141" s="33" t="s">
        <v>10</v>
      </c>
      <c r="E141" s="33" t="str">
        <f>IFERROR(IF(INDEX('de para abc'!$C:$C,MATCH($B141,'de para abc'!$A:$A,0))=0,"C",INDEX('de para abc'!$C:$C,MATCH($B141,'de para abc'!$A:$A,0))),IFERROR(IF(INDEX('de para abc'!$C:$C,MATCH($C141,'de para abc'!$B:$B,0))=0,"C",INDEX('de para abc'!$C:$C,MATCH($C141,'de para abc'!$B:$B,0))),"C"))</f>
        <v>C</v>
      </c>
      <c r="F141" s="46">
        <v>0</v>
      </c>
    </row>
    <row r="142" spans="1:6" x14ac:dyDescent="0.25">
      <c r="A142" s="45" t="s">
        <v>301</v>
      </c>
      <c r="B142" s="34">
        <v>1000910</v>
      </c>
      <c r="C142" s="32" t="s">
        <v>476</v>
      </c>
      <c r="D142" s="33" t="s">
        <v>10</v>
      </c>
      <c r="E142" s="33" t="str">
        <f>IFERROR(IF(INDEX('de para abc'!$C:$C,MATCH($B142,'de para abc'!$A:$A,0))=0,"C",INDEX('de para abc'!$C:$C,MATCH($B142,'de para abc'!$A:$A,0))),IFERROR(IF(INDEX('de para abc'!$C:$C,MATCH($C142,'de para abc'!$B:$B,0))=0,"C",INDEX('de para abc'!$C:$C,MATCH($C142,'de para abc'!$B:$B,0))),"C"))</f>
        <v>C</v>
      </c>
      <c r="F142" s="46">
        <v>3</v>
      </c>
    </row>
    <row r="143" spans="1:6" x14ac:dyDescent="0.25">
      <c r="A143" s="45" t="s">
        <v>301</v>
      </c>
      <c r="B143" s="34">
        <v>1006903</v>
      </c>
      <c r="C143" s="32" t="s">
        <v>477</v>
      </c>
      <c r="D143" s="33" t="s">
        <v>10</v>
      </c>
      <c r="E143" s="33" t="str">
        <f>IFERROR(IF(INDEX('de para abc'!$C:$C,MATCH($B143,'de para abc'!$A:$A,0))=0,"C",INDEX('de para abc'!$C:$C,MATCH($B143,'de para abc'!$A:$A,0))),IFERROR(IF(INDEX('de para abc'!$C:$C,MATCH($C143,'de para abc'!$B:$B,0))=0,"C",INDEX('de para abc'!$C:$C,MATCH($C143,'de para abc'!$B:$B,0))),"C"))</f>
        <v>C</v>
      </c>
      <c r="F143" s="46">
        <v>0</v>
      </c>
    </row>
    <row r="144" spans="1:6" x14ac:dyDescent="0.25">
      <c r="A144" s="45" t="s">
        <v>301</v>
      </c>
      <c r="B144" s="34">
        <v>1006818</v>
      </c>
      <c r="C144" s="32" t="s">
        <v>478</v>
      </c>
      <c r="D144" s="33" t="s">
        <v>18</v>
      </c>
      <c r="E144" s="33" t="str">
        <f>IFERROR(IF(INDEX('de para abc'!$C:$C,MATCH($B144,'de para abc'!$A:$A,0))=0,"C",INDEX('de para abc'!$C:$C,MATCH($B144,'de para abc'!$A:$A,0))),IFERROR(IF(INDEX('de para abc'!$C:$C,MATCH($C144,'de para abc'!$B:$B,0))=0,"C",INDEX('de para abc'!$C:$C,MATCH($C144,'de para abc'!$B:$B,0))),"C"))</f>
        <v>C</v>
      </c>
      <c r="F144" s="46">
        <v>0</v>
      </c>
    </row>
    <row r="145" spans="1:6" x14ac:dyDescent="0.25">
      <c r="A145" s="45" t="s">
        <v>301</v>
      </c>
      <c r="B145" s="34">
        <v>1002265</v>
      </c>
      <c r="C145" s="32" t="s">
        <v>479</v>
      </c>
      <c r="D145" s="33" t="s">
        <v>18</v>
      </c>
      <c r="E145" s="33" t="str">
        <f>IFERROR(IF(INDEX('de para abc'!$C:$C,MATCH($B145,'de para abc'!$A:$A,0))=0,"C",INDEX('de para abc'!$C:$C,MATCH($B145,'de para abc'!$A:$A,0))),IFERROR(IF(INDEX('de para abc'!$C:$C,MATCH($C145,'de para abc'!$B:$B,0))=0,"C",INDEX('de para abc'!$C:$C,MATCH($C145,'de para abc'!$B:$B,0))),"C"))</f>
        <v>C</v>
      </c>
      <c r="F145" s="46">
        <v>0</v>
      </c>
    </row>
    <row r="146" spans="1:6" x14ac:dyDescent="0.25">
      <c r="A146" s="45" t="s">
        <v>301</v>
      </c>
      <c r="B146" s="34">
        <v>1001762</v>
      </c>
      <c r="C146" s="32" t="s">
        <v>480</v>
      </c>
      <c r="D146" s="33" t="s">
        <v>71</v>
      </c>
      <c r="E146" s="33" t="str">
        <f>IFERROR(IF(INDEX('de para abc'!$C:$C,MATCH($B146,'de para abc'!$A:$A,0))=0,"C",INDEX('de para abc'!$C:$C,MATCH($B146,'de para abc'!$A:$A,0))),IFERROR(IF(INDEX('de para abc'!$C:$C,MATCH($C146,'de para abc'!$B:$B,0))=0,"C",INDEX('de para abc'!$C:$C,MATCH($C146,'de para abc'!$B:$B,0))),"C"))</f>
        <v>C</v>
      </c>
      <c r="F146" s="46">
        <v>0</v>
      </c>
    </row>
    <row r="147" spans="1:6" x14ac:dyDescent="0.25">
      <c r="A147" s="45" t="s">
        <v>301</v>
      </c>
      <c r="B147" s="34">
        <v>1001450</v>
      </c>
      <c r="C147" s="32" t="s">
        <v>481</v>
      </c>
      <c r="D147" s="33" t="s">
        <v>10</v>
      </c>
      <c r="E147" s="33" t="str">
        <f>IFERROR(IF(INDEX('de para abc'!$C:$C,MATCH($B147,'de para abc'!$A:$A,0))=0,"C",INDEX('de para abc'!$C:$C,MATCH($B147,'de para abc'!$A:$A,0))),IFERROR(IF(INDEX('de para abc'!$C:$C,MATCH($C147,'de para abc'!$B:$B,0))=0,"C",INDEX('de para abc'!$C:$C,MATCH($C147,'de para abc'!$B:$B,0))),"C"))</f>
        <v>C</v>
      </c>
      <c r="F147" s="46">
        <v>0</v>
      </c>
    </row>
    <row r="148" spans="1:6" x14ac:dyDescent="0.25">
      <c r="A148" s="45" t="s">
        <v>301</v>
      </c>
      <c r="B148" s="34">
        <v>1000411</v>
      </c>
      <c r="C148" s="32" t="s">
        <v>482</v>
      </c>
      <c r="D148" s="33" t="s">
        <v>18</v>
      </c>
      <c r="E148" s="33" t="str">
        <f>IFERROR(IF(INDEX('de para abc'!$C:$C,MATCH($B148,'de para abc'!$A:$A,0))=0,"C",INDEX('de para abc'!$C:$C,MATCH($B148,'de para abc'!$A:$A,0))),IFERROR(IF(INDEX('de para abc'!$C:$C,MATCH($C148,'de para abc'!$B:$B,0))=0,"C",INDEX('de para abc'!$C:$C,MATCH($C148,'de para abc'!$B:$B,0))),"C"))</f>
        <v>C</v>
      </c>
      <c r="F148" s="46">
        <v>0</v>
      </c>
    </row>
    <row r="149" spans="1:6" x14ac:dyDescent="0.25">
      <c r="A149" s="45" t="s">
        <v>301</v>
      </c>
      <c r="B149" s="34">
        <v>1000797</v>
      </c>
      <c r="C149" s="32" t="s">
        <v>483</v>
      </c>
      <c r="D149" s="33" t="s">
        <v>10</v>
      </c>
      <c r="E149" s="33" t="str">
        <f>IFERROR(IF(INDEX('de para abc'!$C:$C,MATCH($B149,'de para abc'!$A:$A,0))=0,"C",INDEX('de para abc'!$C:$C,MATCH($B149,'de para abc'!$A:$A,0))),IFERROR(IF(INDEX('de para abc'!$C:$C,MATCH($C149,'de para abc'!$B:$B,0))=0,"C",INDEX('de para abc'!$C:$C,MATCH($C149,'de para abc'!$B:$B,0))),"C"))</f>
        <v>C</v>
      </c>
      <c r="F149" s="46">
        <v>0</v>
      </c>
    </row>
    <row r="150" spans="1:6" x14ac:dyDescent="0.25">
      <c r="A150" s="45" t="s">
        <v>301</v>
      </c>
      <c r="B150" s="34">
        <v>1001669</v>
      </c>
      <c r="C150" s="32" t="s">
        <v>164</v>
      </c>
      <c r="D150" s="33" t="s">
        <v>18</v>
      </c>
      <c r="E150" s="33" t="str">
        <f>IFERROR(IF(INDEX('de para abc'!$C:$C,MATCH($B150,'de para abc'!$A:$A,0))=0,"C",INDEX('de para abc'!$C:$C,MATCH($B150,'de para abc'!$A:$A,0))),IFERROR(IF(INDEX('de para abc'!$C:$C,MATCH($C150,'de para abc'!$B:$B,0))=0,"C",INDEX('de para abc'!$C:$C,MATCH($C150,'de para abc'!$B:$B,0))),"C"))</f>
        <v>A</v>
      </c>
      <c r="F150" s="46">
        <v>0</v>
      </c>
    </row>
    <row r="151" spans="1:6" x14ac:dyDescent="0.25">
      <c r="A151" s="45" t="s">
        <v>301</v>
      </c>
      <c r="B151" s="34">
        <v>1000534</v>
      </c>
      <c r="C151" s="32" t="s">
        <v>484</v>
      </c>
      <c r="D151" s="33" t="s">
        <v>18</v>
      </c>
      <c r="E151" s="33" t="str">
        <f>IFERROR(IF(INDEX('de para abc'!$C:$C,MATCH($B151,'de para abc'!$A:$A,0))=0,"C",INDEX('de para abc'!$C:$C,MATCH($B151,'de para abc'!$A:$A,0))),IFERROR(IF(INDEX('de para abc'!$C:$C,MATCH($C151,'de para abc'!$B:$B,0))=0,"C",INDEX('de para abc'!$C:$C,MATCH($C151,'de para abc'!$B:$B,0))),"C"))</f>
        <v>C</v>
      </c>
      <c r="F151" s="46">
        <v>0</v>
      </c>
    </row>
    <row r="152" spans="1:6" x14ac:dyDescent="0.25">
      <c r="A152" s="45" t="s">
        <v>301</v>
      </c>
      <c r="B152" s="34">
        <v>1001197</v>
      </c>
      <c r="C152" s="32" t="s">
        <v>485</v>
      </c>
      <c r="D152" s="33" t="s">
        <v>18</v>
      </c>
      <c r="E152" s="33" t="str">
        <f>IFERROR(IF(INDEX('de para abc'!$C:$C,MATCH($B152,'de para abc'!$A:$A,0))=0,"C",INDEX('de para abc'!$C:$C,MATCH($B152,'de para abc'!$A:$A,0))),IFERROR(IF(INDEX('de para abc'!$C:$C,MATCH($C152,'de para abc'!$B:$B,0))=0,"C",INDEX('de para abc'!$C:$C,MATCH($C152,'de para abc'!$B:$B,0))),"C"))</f>
        <v>B</v>
      </c>
      <c r="F152" s="46">
        <v>0</v>
      </c>
    </row>
    <row r="153" spans="1:6" x14ac:dyDescent="0.25">
      <c r="A153" s="45" t="s">
        <v>301</v>
      </c>
      <c r="B153" s="34">
        <v>1002107</v>
      </c>
      <c r="C153" s="32" t="s">
        <v>486</v>
      </c>
      <c r="D153" s="33" t="s">
        <v>10</v>
      </c>
      <c r="E153" s="33" t="str">
        <f>IFERROR(IF(INDEX('de para abc'!$C:$C,MATCH($B153,'de para abc'!$A:$A,0))=0,"C",INDEX('de para abc'!$C:$C,MATCH($B153,'de para abc'!$A:$A,0))),IFERROR(IF(INDEX('de para abc'!$C:$C,MATCH($C153,'de para abc'!$B:$B,0))=0,"C",INDEX('de para abc'!$C:$C,MATCH($C153,'de para abc'!$B:$B,0))),"C"))</f>
        <v>C</v>
      </c>
      <c r="F153" s="46">
        <v>0</v>
      </c>
    </row>
    <row r="154" spans="1:6" x14ac:dyDescent="0.25">
      <c r="A154" s="45" t="s">
        <v>301</v>
      </c>
      <c r="B154" s="34">
        <v>1001186</v>
      </c>
      <c r="C154" s="32" t="s">
        <v>487</v>
      </c>
      <c r="D154" s="33" t="s">
        <v>18</v>
      </c>
      <c r="E154" s="33" t="str">
        <f>IFERROR(IF(INDEX('de para abc'!$C:$C,MATCH($B154,'de para abc'!$A:$A,0))=0,"C",INDEX('de para abc'!$C:$C,MATCH($B154,'de para abc'!$A:$A,0))),IFERROR(IF(INDEX('de para abc'!$C:$C,MATCH($C154,'de para abc'!$B:$B,0))=0,"C",INDEX('de para abc'!$C:$C,MATCH($C154,'de para abc'!$B:$B,0))),"C"))</f>
        <v>C</v>
      </c>
      <c r="F154" s="46">
        <v>0</v>
      </c>
    </row>
    <row r="155" spans="1:6" x14ac:dyDescent="0.25">
      <c r="A155" s="45" t="s">
        <v>301</v>
      </c>
      <c r="B155" s="34">
        <v>1006875</v>
      </c>
      <c r="C155" s="32" t="s">
        <v>488</v>
      </c>
      <c r="D155" s="33" t="s">
        <v>18</v>
      </c>
      <c r="E155" s="33" t="str">
        <f>IFERROR(IF(INDEX('de para abc'!$C:$C,MATCH($B155,'de para abc'!$A:$A,0))=0,"C",INDEX('de para abc'!$C:$C,MATCH($B155,'de para abc'!$A:$A,0))),IFERROR(IF(INDEX('de para abc'!$C:$C,MATCH($C155,'de para abc'!$B:$B,0))=0,"C",INDEX('de para abc'!$C:$C,MATCH($C155,'de para abc'!$B:$B,0))),"C"))</f>
        <v>C</v>
      </c>
      <c r="F155" s="46">
        <v>0</v>
      </c>
    </row>
    <row r="156" spans="1:6" x14ac:dyDescent="0.25">
      <c r="A156" s="45" t="s">
        <v>301</v>
      </c>
      <c r="B156" s="34">
        <v>1001200</v>
      </c>
      <c r="C156" s="32" t="s">
        <v>489</v>
      </c>
      <c r="D156" s="33" t="s">
        <v>18</v>
      </c>
      <c r="E156" s="33" t="str">
        <f>IFERROR(IF(INDEX('de para abc'!$C:$C,MATCH($B156,'de para abc'!$A:$A,0))=0,"C",INDEX('de para abc'!$C:$C,MATCH($B156,'de para abc'!$A:$A,0))),IFERROR(IF(INDEX('de para abc'!$C:$C,MATCH($C156,'de para abc'!$B:$B,0))=0,"C",INDEX('de para abc'!$C:$C,MATCH($C156,'de para abc'!$B:$B,0))),"C"))</f>
        <v>C</v>
      </c>
      <c r="F156" s="46">
        <v>0</v>
      </c>
    </row>
    <row r="157" spans="1:6" x14ac:dyDescent="0.25">
      <c r="A157" s="45" t="s">
        <v>301</v>
      </c>
      <c r="B157" s="34">
        <v>1002154</v>
      </c>
      <c r="C157" s="32" t="s">
        <v>490</v>
      </c>
      <c r="D157" s="33" t="s">
        <v>10</v>
      </c>
      <c r="E157" s="33" t="str">
        <f>IFERROR(IF(INDEX('de para abc'!$C:$C,MATCH($B157,'de para abc'!$A:$A,0))=0,"C",INDEX('de para abc'!$C:$C,MATCH($B157,'de para abc'!$A:$A,0))),IFERROR(IF(INDEX('de para abc'!$C:$C,MATCH($C157,'de para abc'!$B:$B,0))=0,"C",INDEX('de para abc'!$C:$C,MATCH($C157,'de para abc'!$B:$B,0))),"C"))</f>
        <v>C</v>
      </c>
      <c r="F157" s="46">
        <v>1</v>
      </c>
    </row>
    <row r="158" spans="1:6" x14ac:dyDescent="0.25">
      <c r="A158" s="45" t="s">
        <v>301</v>
      </c>
      <c r="B158" s="34">
        <v>1001222</v>
      </c>
      <c r="C158" s="32" t="s">
        <v>491</v>
      </c>
      <c r="D158" s="33" t="s">
        <v>10</v>
      </c>
      <c r="E158" s="33" t="str">
        <f>IFERROR(IF(INDEX('de para abc'!$C:$C,MATCH($B158,'de para abc'!$A:$A,0))=0,"C",INDEX('de para abc'!$C:$C,MATCH($B158,'de para abc'!$A:$A,0))),IFERROR(IF(INDEX('de para abc'!$C:$C,MATCH($C158,'de para abc'!$B:$B,0))=0,"C",INDEX('de para abc'!$C:$C,MATCH($C158,'de para abc'!$B:$B,0))),"C"))</f>
        <v>C</v>
      </c>
      <c r="F158" s="46">
        <v>11</v>
      </c>
    </row>
    <row r="159" spans="1:6" x14ac:dyDescent="0.25">
      <c r="A159" s="45" t="s">
        <v>301</v>
      </c>
      <c r="B159" s="34">
        <v>1001225</v>
      </c>
      <c r="C159" s="32" t="s">
        <v>492</v>
      </c>
      <c r="D159" s="33" t="s">
        <v>10</v>
      </c>
      <c r="E159" s="33" t="str">
        <f>IFERROR(IF(INDEX('de para abc'!$C:$C,MATCH($B159,'de para abc'!$A:$A,0))=0,"C",INDEX('de para abc'!$C:$C,MATCH($B159,'de para abc'!$A:$A,0))),IFERROR(IF(INDEX('de para abc'!$C:$C,MATCH($C159,'de para abc'!$B:$B,0))=0,"C",INDEX('de para abc'!$C:$C,MATCH($C159,'de para abc'!$B:$B,0))),"C"))</f>
        <v>C</v>
      </c>
      <c r="F159" s="46">
        <v>1</v>
      </c>
    </row>
    <row r="160" spans="1:6" x14ac:dyDescent="0.25">
      <c r="A160" s="45" t="s">
        <v>301</v>
      </c>
      <c r="B160" s="34">
        <v>1000455</v>
      </c>
      <c r="C160" s="32" t="s">
        <v>493</v>
      </c>
      <c r="D160" s="33" t="s">
        <v>18</v>
      </c>
      <c r="E160" s="33" t="str">
        <f>IFERROR(IF(INDEX('de para abc'!$C:$C,MATCH($B160,'de para abc'!$A:$A,0))=0,"C",INDEX('de para abc'!$C:$C,MATCH($B160,'de para abc'!$A:$A,0))),IFERROR(IF(INDEX('de para abc'!$C:$C,MATCH($C160,'de para abc'!$B:$B,0))=0,"C",INDEX('de para abc'!$C:$C,MATCH($C160,'de para abc'!$B:$B,0))),"C"))</f>
        <v>C</v>
      </c>
      <c r="F160" s="46">
        <v>0</v>
      </c>
    </row>
    <row r="161" spans="1:6" x14ac:dyDescent="0.25">
      <c r="A161" s="45" t="s">
        <v>301</v>
      </c>
      <c r="B161" s="34">
        <v>1001246</v>
      </c>
      <c r="C161" s="32" t="s">
        <v>494</v>
      </c>
      <c r="D161" s="33" t="s">
        <v>18</v>
      </c>
      <c r="E161" s="33" t="str">
        <f>IFERROR(IF(INDEX('de para abc'!$C:$C,MATCH($B161,'de para abc'!$A:$A,0))=0,"C",INDEX('de para abc'!$C:$C,MATCH($B161,'de para abc'!$A:$A,0))),IFERROR(IF(INDEX('de para abc'!$C:$C,MATCH($C161,'de para abc'!$B:$B,0))=0,"C",INDEX('de para abc'!$C:$C,MATCH($C161,'de para abc'!$B:$B,0))),"C"))</f>
        <v>C</v>
      </c>
      <c r="F161" s="46">
        <v>0</v>
      </c>
    </row>
    <row r="162" spans="1:6" x14ac:dyDescent="0.25">
      <c r="A162" s="45" t="s">
        <v>301</v>
      </c>
      <c r="B162" s="34">
        <v>1001266</v>
      </c>
      <c r="C162" s="32" t="s">
        <v>495</v>
      </c>
      <c r="D162" s="33" t="s">
        <v>18</v>
      </c>
      <c r="E162" s="33" t="str">
        <f>IFERROR(IF(INDEX('de para abc'!$C:$C,MATCH($B162,'de para abc'!$A:$A,0))=0,"C",INDEX('de para abc'!$C:$C,MATCH($B162,'de para abc'!$A:$A,0))),IFERROR(IF(INDEX('de para abc'!$C:$C,MATCH($C162,'de para abc'!$B:$B,0))=0,"C",INDEX('de para abc'!$C:$C,MATCH($C162,'de para abc'!$B:$B,0))),"C"))</f>
        <v>C</v>
      </c>
      <c r="F162" s="46">
        <v>0</v>
      </c>
    </row>
    <row r="163" spans="1:6" x14ac:dyDescent="0.25">
      <c r="A163" s="45" t="s">
        <v>301</v>
      </c>
      <c r="B163" s="34">
        <v>1000754</v>
      </c>
      <c r="C163" s="32" t="s">
        <v>496</v>
      </c>
      <c r="D163" s="33" t="s">
        <v>10</v>
      </c>
      <c r="E163" s="33" t="str">
        <f>IFERROR(IF(INDEX('de para abc'!$C:$C,MATCH($B163,'de para abc'!$A:$A,0))=0,"C",INDEX('de para abc'!$C:$C,MATCH($B163,'de para abc'!$A:$A,0))),IFERROR(IF(INDEX('de para abc'!$C:$C,MATCH($C163,'de para abc'!$B:$B,0))=0,"C",INDEX('de para abc'!$C:$C,MATCH($C163,'de para abc'!$B:$B,0))),"C"))</f>
        <v>C</v>
      </c>
      <c r="F163" s="46">
        <v>0</v>
      </c>
    </row>
    <row r="164" spans="1:6" x14ac:dyDescent="0.25">
      <c r="A164" s="45" t="s">
        <v>301</v>
      </c>
      <c r="B164" s="34">
        <v>1000470</v>
      </c>
      <c r="C164" s="32" t="s">
        <v>67</v>
      </c>
      <c r="D164" s="33" t="s">
        <v>10</v>
      </c>
      <c r="E164" s="33" t="str">
        <f>IFERROR(IF(INDEX('de para abc'!$C:$C,MATCH($B164,'de para abc'!$A:$A,0))=0,"C",INDEX('de para abc'!$C:$C,MATCH($B164,'de para abc'!$A:$A,0))),IFERROR(IF(INDEX('de para abc'!$C:$C,MATCH($C164,'de para abc'!$B:$B,0))=0,"C",INDEX('de para abc'!$C:$C,MATCH($C164,'de para abc'!$B:$B,0))),"C"))</f>
        <v>B</v>
      </c>
      <c r="F164" s="46">
        <v>0</v>
      </c>
    </row>
    <row r="165" spans="1:6" x14ac:dyDescent="0.25">
      <c r="A165" s="45" t="s">
        <v>301</v>
      </c>
      <c r="B165" s="34">
        <v>10001066</v>
      </c>
      <c r="C165" s="32" t="s">
        <v>497</v>
      </c>
      <c r="D165" s="33" t="s">
        <v>18</v>
      </c>
      <c r="E165" s="33" t="str">
        <f>IFERROR(IF(INDEX('de para abc'!$C:$C,MATCH($B165,'de para abc'!$A:$A,0))=0,"C",INDEX('de para abc'!$C:$C,MATCH($B165,'de para abc'!$A:$A,0))),IFERROR(IF(INDEX('de para abc'!$C:$C,MATCH($C165,'de para abc'!$B:$B,0))=0,"C",INDEX('de para abc'!$C:$C,MATCH($C165,'de para abc'!$B:$B,0))),"C"))</f>
        <v>C</v>
      </c>
      <c r="F165" s="46">
        <v>0</v>
      </c>
    </row>
    <row r="166" spans="1:6" x14ac:dyDescent="0.25">
      <c r="A166" s="45" t="s">
        <v>301</v>
      </c>
      <c r="B166" s="34">
        <v>1000473</v>
      </c>
      <c r="C166" s="32" t="s">
        <v>498</v>
      </c>
      <c r="D166" s="33" t="s">
        <v>18</v>
      </c>
      <c r="E166" s="33" t="str">
        <f>IFERROR(IF(INDEX('de para abc'!$C:$C,MATCH($B166,'de para abc'!$A:$A,0))=0,"C",INDEX('de para abc'!$C:$C,MATCH($B166,'de para abc'!$A:$A,0))),IFERROR(IF(INDEX('de para abc'!$C:$C,MATCH($C166,'de para abc'!$B:$B,0))=0,"C",INDEX('de para abc'!$C:$C,MATCH($C166,'de para abc'!$B:$B,0))),"C"))</f>
        <v>C</v>
      </c>
      <c r="F166" s="46">
        <v>0</v>
      </c>
    </row>
    <row r="167" spans="1:6" x14ac:dyDescent="0.25">
      <c r="A167" s="45" t="s">
        <v>301</v>
      </c>
      <c r="B167" s="34">
        <v>1001480</v>
      </c>
      <c r="C167" s="32" t="s">
        <v>499</v>
      </c>
      <c r="D167" s="33" t="s">
        <v>18</v>
      </c>
      <c r="E167" s="33" t="str">
        <f>IFERROR(IF(INDEX('de para abc'!$C:$C,MATCH($B167,'de para abc'!$A:$A,0))=0,"C",INDEX('de para abc'!$C:$C,MATCH($B167,'de para abc'!$A:$A,0))),IFERROR(IF(INDEX('de para abc'!$C:$C,MATCH($C167,'de para abc'!$B:$B,0))=0,"C",INDEX('de para abc'!$C:$C,MATCH($C167,'de para abc'!$B:$B,0))),"C"))</f>
        <v>C</v>
      </c>
      <c r="F167" s="46">
        <v>0</v>
      </c>
    </row>
    <row r="168" spans="1:6" x14ac:dyDescent="0.25">
      <c r="A168" s="45" t="s">
        <v>301</v>
      </c>
      <c r="B168" s="34">
        <v>1006886</v>
      </c>
      <c r="C168" s="32" t="s">
        <v>500</v>
      </c>
      <c r="D168" s="33" t="s">
        <v>10</v>
      </c>
      <c r="E168" s="33" t="str">
        <f>IFERROR(IF(INDEX('de para abc'!$C:$C,MATCH($B168,'de para abc'!$A:$A,0))=0,"C",INDEX('de para abc'!$C:$C,MATCH($B168,'de para abc'!$A:$A,0))),IFERROR(IF(INDEX('de para abc'!$C:$C,MATCH($C168,'de para abc'!$B:$B,0))=0,"C",INDEX('de para abc'!$C:$C,MATCH($C168,'de para abc'!$B:$B,0))),"C"))</f>
        <v>C</v>
      </c>
      <c r="F168" s="46">
        <v>0</v>
      </c>
    </row>
    <row r="169" spans="1:6" x14ac:dyDescent="0.25">
      <c r="A169" s="45" t="s">
        <v>69</v>
      </c>
      <c r="B169" s="34">
        <v>1001850</v>
      </c>
      <c r="C169" s="32" t="s">
        <v>167</v>
      </c>
      <c r="D169" s="33" t="s">
        <v>18</v>
      </c>
      <c r="E169" s="33" t="str">
        <f>IFERROR(IF(INDEX('de para abc'!$C:$C,MATCH($B169,'de para abc'!$A:$A,0))=0,"C",INDEX('de para abc'!$C:$C,MATCH($B169,'de para abc'!$A:$A,0))),IFERROR(IF(INDEX('de para abc'!$C:$C,MATCH($C169,'de para abc'!$B:$B,0))=0,"C",INDEX('de para abc'!$C:$C,MATCH($C169,'de para abc'!$B:$B,0))),"C"))</f>
        <v>C</v>
      </c>
      <c r="F169" s="46">
        <v>33</v>
      </c>
    </row>
    <row r="170" spans="1:6" x14ac:dyDescent="0.25">
      <c r="A170" s="45" t="s">
        <v>69</v>
      </c>
      <c r="B170" s="34">
        <v>1006180</v>
      </c>
      <c r="C170" s="32" t="s">
        <v>168</v>
      </c>
      <c r="D170" s="33" t="s">
        <v>18</v>
      </c>
      <c r="E170" s="33" t="str">
        <f>IFERROR(IF(INDEX('de para abc'!$C:$C,MATCH($B170,'de para abc'!$A:$A,0))=0,"C",INDEX('de para abc'!$C:$C,MATCH($B170,'de para abc'!$A:$A,0))),IFERROR(IF(INDEX('de para abc'!$C:$C,MATCH($C170,'de para abc'!$B:$B,0))=0,"C",INDEX('de para abc'!$C:$C,MATCH($C170,'de para abc'!$B:$B,0))),"C"))</f>
        <v>C</v>
      </c>
      <c r="F170" s="46">
        <v>36</v>
      </c>
    </row>
    <row r="171" spans="1:6" x14ac:dyDescent="0.25">
      <c r="A171" s="45" t="s">
        <v>69</v>
      </c>
      <c r="B171" s="34">
        <v>1000052</v>
      </c>
      <c r="C171" s="32" t="s">
        <v>169</v>
      </c>
      <c r="D171" s="33" t="s">
        <v>10</v>
      </c>
      <c r="E171" s="33" t="str">
        <f>IFERROR(IF(INDEX('de para abc'!$C:$C,MATCH($B171,'de para abc'!$A:$A,0))=0,"C",INDEX('de para abc'!$C:$C,MATCH($B171,'de para abc'!$A:$A,0))),IFERROR(IF(INDEX('de para abc'!$C:$C,MATCH($C171,'de para abc'!$B:$B,0))=0,"C",INDEX('de para abc'!$C:$C,MATCH($C171,'de para abc'!$B:$B,0))),"C"))</f>
        <v>A</v>
      </c>
      <c r="F171" s="46">
        <v>4</v>
      </c>
    </row>
    <row r="172" spans="1:6" x14ac:dyDescent="0.25">
      <c r="A172" s="45" t="s">
        <v>69</v>
      </c>
      <c r="B172" s="34">
        <v>1000657</v>
      </c>
      <c r="C172" s="32" t="s">
        <v>387</v>
      </c>
      <c r="D172" s="33" t="s">
        <v>18</v>
      </c>
      <c r="E172" s="33" t="str">
        <f>IFERROR(IF(INDEX('de para abc'!$C:$C,MATCH($B172,'de para abc'!$A:$A,0))=0,"C",INDEX('de para abc'!$C:$C,MATCH($B172,'de para abc'!$A:$A,0))),IFERROR(IF(INDEX('de para abc'!$C:$C,MATCH($C172,'de para abc'!$B:$B,0))=0,"C",INDEX('de para abc'!$C:$C,MATCH($C172,'de para abc'!$B:$B,0))),"C"))</f>
        <v>C</v>
      </c>
      <c r="F172" s="46">
        <v>10</v>
      </c>
    </row>
    <row r="173" spans="1:6" x14ac:dyDescent="0.25">
      <c r="A173" s="45" t="s">
        <v>69</v>
      </c>
      <c r="B173" s="34">
        <v>1001864</v>
      </c>
      <c r="C173" s="32" t="s">
        <v>501</v>
      </c>
      <c r="D173" s="33" t="s">
        <v>18</v>
      </c>
      <c r="E173" s="33" t="str">
        <f>IFERROR(IF(INDEX('de para abc'!$C:$C,MATCH($B173,'de para abc'!$A:$A,0))=0,"C",INDEX('de para abc'!$C:$C,MATCH($B173,'de para abc'!$A:$A,0))),IFERROR(IF(INDEX('de para abc'!$C:$C,MATCH($C173,'de para abc'!$B:$B,0))=0,"C",INDEX('de para abc'!$C:$C,MATCH($C173,'de para abc'!$B:$B,0))),"C"))</f>
        <v>C</v>
      </c>
      <c r="F173" s="46">
        <v>60</v>
      </c>
    </row>
    <row r="174" spans="1:6" x14ac:dyDescent="0.25">
      <c r="A174" s="45" t="s">
        <v>69</v>
      </c>
      <c r="B174" s="34">
        <v>1001521</v>
      </c>
      <c r="C174" s="32" t="s">
        <v>502</v>
      </c>
      <c r="D174" s="33" t="s">
        <v>18</v>
      </c>
      <c r="E174" s="33" t="str">
        <f>IFERROR(IF(INDEX('de para abc'!$C:$C,MATCH($B174,'de para abc'!$A:$A,0))=0,"C",INDEX('de para abc'!$C:$C,MATCH($B174,'de para abc'!$A:$A,0))),IFERROR(IF(INDEX('de para abc'!$C:$C,MATCH($C174,'de para abc'!$B:$B,0))=0,"C",INDEX('de para abc'!$C:$C,MATCH($C174,'de para abc'!$B:$B,0))),"C"))</f>
        <v>C</v>
      </c>
      <c r="F174" s="46">
        <v>1</v>
      </c>
    </row>
    <row r="175" spans="1:6" x14ac:dyDescent="0.25">
      <c r="A175" s="45" t="s">
        <v>69</v>
      </c>
      <c r="B175" s="34">
        <v>1001523</v>
      </c>
      <c r="C175" s="32" t="s">
        <v>503</v>
      </c>
      <c r="D175" s="33" t="s">
        <v>18</v>
      </c>
      <c r="E175" s="33" t="str">
        <f>IFERROR(IF(INDEX('de para abc'!$C:$C,MATCH($B175,'de para abc'!$A:$A,0))=0,"C",INDEX('de para abc'!$C:$C,MATCH($B175,'de para abc'!$A:$A,0))),IFERROR(IF(INDEX('de para abc'!$C:$C,MATCH($C175,'de para abc'!$B:$B,0))=0,"C",INDEX('de para abc'!$C:$C,MATCH($C175,'de para abc'!$B:$B,0))),"C"))</f>
        <v>C</v>
      </c>
      <c r="F175" s="46">
        <v>3</v>
      </c>
    </row>
    <row r="176" spans="1:6" x14ac:dyDescent="0.25">
      <c r="A176" s="45" t="s">
        <v>69</v>
      </c>
      <c r="B176" s="34">
        <v>1001524</v>
      </c>
      <c r="C176" s="32" t="s">
        <v>223</v>
      </c>
      <c r="D176" s="33" t="s">
        <v>18</v>
      </c>
      <c r="E176" s="33" t="str">
        <f>IFERROR(IF(INDEX('de para abc'!$C:$C,MATCH($B176,'de para abc'!$A:$A,0))=0,"C",INDEX('de para abc'!$C:$C,MATCH($B176,'de para abc'!$A:$A,0))),IFERROR(IF(INDEX('de para abc'!$C:$C,MATCH($C176,'de para abc'!$B:$B,0))=0,"C",INDEX('de para abc'!$C:$C,MATCH($C176,'de para abc'!$B:$B,0))),"C"))</f>
        <v>C</v>
      </c>
      <c r="F176" s="46">
        <v>1</v>
      </c>
    </row>
    <row r="177" spans="1:6" x14ac:dyDescent="0.25">
      <c r="A177" s="45" t="s">
        <v>69</v>
      </c>
      <c r="B177" s="34">
        <v>1001525</v>
      </c>
      <c r="C177" s="32" t="s">
        <v>224</v>
      </c>
      <c r="D177" s="33" t="s">
        <v>18</v>
      </c>
      <c r="E177" s="33" t="str">
        <f>IFERROR(IF(INDEX('de para abc'!$C:$C,MATCH($B177,'de para abc'!$A:$A,0))=0,"C",INDEX('de para abc'!$C:$C,MATCH($B177,'de para abc'!$A:$A,0))),IFERROR(IF(INDEX('de para abc'!$C:$C,MATCH($C177,'de para abc'!$B:$B,0))=0,"C",INDEX('de para abc'!$C:$C,MATCH($C177,'de para abc'!$B:$B,0))),"C"))</f>
        <v>C</v>
      </c>
      <c r="F177" s="46">
        <v>1</v>
      </c>
    </row>
    <row r="178" spans="1:6" x14ac:dyDescent="0.25">
      <c r="A178" s="45" t="s">
        <v>69</v>
      </c>
      <c r="B178" s="34">
        <v>1001526</v>
      </c>
      <c r="C178" s="32" t="s">
        <v>504</v>
      </c>
      <c r="D178" s="33" t="s">
        <v>71</v>
      </c>
      <c r="E178" s="33" t="str">
        <f>IFERROR(IF(INDEX('de para abc'!$C:$C,MATCH($B178,'de para abc'!$A:$A,0))=0,"C",INDEX('de para abc'!$C:$C,MATCH($B178,'de para abc'!$A:$A,0))),IFERROR(IF(INDEX('de para abc'!$C:$C,MATCH($C178,'de para abc'!$B:$B,0))=0,"C",INDEX('de para abc'!$C:$C,MATCH($C178,'de para abc'!$B:$B,0))),"C"))</f>
        <v>C</v>
      </c>
      <c r="F178" s="46">
        <v>4</v>
      </c>
    </row>
    <row r="179" spans="1:6" x14ac:dyDescent="0.25">
      <c r="A179" s="45" t="s">
        <v>69</v>
      </c>
      <c r="B179" s="34">
        <v>1001249</v>
      </c>
      <c r="C179" s="32" t="s">
        <v>72</v>
      </c>
      <c r="D179" s="33" t="s">
        <v>71</v>
      </c>
      <c r="E179" s="33" t="str">
        <f>IFERROR(IF(INDEX('de para abc'!$C:$C,MATCH($B179,'de para abc'!$A:$A,0))=0,"C",INDEX('de para abc'!$C:$C,MATCH($B179,'de para abc'!$A:$A,0))),IFERROR(IF(INDEX('de para abc'!$C:$C,MATCH($C179,'de para abc'!$B:$B,0))=0,"C",INDEX('de para abc'!$C:$C,MATCH($C179,'de para abc'!$B:$B,0))),"C"))</f>
        <v>C</v>
      </c>
      <c r="F179" s="46">
        <v>4</v>
      </c>
    </row>
    <row r="180" spans="1:6" x14ac:dyDescent="0.25">
      <c r="A180" s="45" t="s">
        <v>69</v>
      </c>
      <c r="B180" s="34">
        <v>1000068</v>
      </c>
      <c r="C180" s="32" t="s">
        <v>73</v>
      </c>
      <c r="D180" s="33" t="s">
        <v>71</v>
      </c>
      <c r="E180" s="33" t="str">
        <f>IFERROR(IF(INDEX('de para abc'!$C:$C,MATCH($B180,'de para abc'!$A:$A,0))=0,"C",INDEX('de para abc'!$C:$C,MATCH($B180,'de para abc'!$A:$A,0))),IFERROR(IF(INDEX('de para abc'!$C:$C,MATCH($C180,'de para abc'!$B:$B,0))=0,"C",INDEX('de para abc'!$C:$C,MATCH($C180,'de para abc'!$B:$B,0))),"C"))</f>
        <v>C</v>
      </c>
      <c r="F180" s="46">
        <v>8</v>
      </c>
    </row>
    <row r="181" spans="1:6" x14ac:dyDescent="0.25">
      <c r="A181" s="45" t="s">
        <v>69</v>
      </c>
      <c r="B181" s="34">
        <v>1000069</v>
      </c>
      <c r="C181" s="32" t="s">
        <v>74</v>
      </c>
      <c r="D181" s="33" t="s">
        <v>71</v>
      </c>
      <c r="E181" s="33" t="str">
        <f>IFERROR(IF(INDEX('de para abc'!$C:$C,MATCH($B181,'de para abc'!$A:$A,0))=0,"C",INDEX('de para abc'!$C:$C,MATCH($B181,'de para abc'!$A:$A,0))),IFERROR(IF(INDEX('de para abc'!$C:$C,MATCH($C181,'de para abc'!$B:$B,0))=0,"C",INDEX('de para abc'!$C:$C,MATCH($C181,'de para abc'!$B:$B,0))),"C"))</f>
        <v>C</v>
      </c>
      <c r="F181" s="46">
        <v>14</v>
      </c>
    </row>
    <row r="182" spans="1:6" x14ac:dyDescent="0.25">
      <c r="A182" s="45" t="s">
        <v>69</v>
      </c>
      <c r="B182" s="34">
        <v>1000070</v>
      </c>
      <c r="C182" s="32" t="s">
        <v>75</v>
      </c>
      <c r="D182" s="33" t="s">
        <v>71</v>
      </c>
      <c r="E182" s="33" t="str">
        <f>IFERROR(IF(INDEX('de para abc'!$C:$C,MATCH($B182,'de para abc'!$A:$A,0))=0,"C",INDEX('de para abc'!$C:$C,MATCH($B182,'de para abc'!$A:$A,0))),IFERROR(IF(INDEX('de para abc'!$C:$C,MATCH($C182,'de para abc'!$B:$B,0))=0,"C",INDEX('de para abc'!$C:$C,MATCH($C182,'de para abc'!$B:$B,0))),"C"))</f>
        <v>C</v>
      </c>
      <c r="F182" s="46">
        <v>24</v>
      </c>
    </row>
    <row r="183" spans="1:6" x14ac:dyDescent="0.25">
      <c r="A183" s="45" t="s">
        <v>69</v>
      </c>
      <c r="B183" s="34">
        <v>1000071</v>
      </c>
      <c r="C183" s="32" t="s">
        <v>76</v>
      </c>
      <c r="D183" s="33" t="s">
        <v>71</v>
      </c>
      <c r="E183" s="33" t="str">
        <f>IFERROR(IF(INDEX('de para abc'!$C:$C,MATCH($B183,'de para abc'!$A:$A,0))=0,"C",INDEX('de para abc'!$C:$C,MATCH($B183,'de para abc'!$A:$A,0))),IFERROR(IF(INDEX('de para abc'!$C:$C,MATCH($C183,'de para abc'!$B:$B,0))=0,"C",INDEX('de para abc'!$C:$C,MATCH($C183,'de para abc'!$B:$B,0))),"C"))</f>
        <v>C</v>
      </c>
      <c r="F183" s="46">
        <v>0</v>
      </c>
    </row>
    <row r="184" spans="1:6" x14ac:dyDescent="0.25">
      <c r="A184" s="45" t="s">
        <v>69</v>
      </c>
      <c r="B184" s="34">
        <v>1000072</v>
      </c>
      <c r="C184" s="32" t="s">
        <v>171</v>
      </c>
      <c r="D184" s="33" t="s">
        <v>71</v>
      </c>
      <c r="E184" s="33" t="str">
        <f>IFERROR(IF(INDEX('de para abc'!$C:$C,MATCH($B184,'de para abc'!$A:$A,0))=0,"C",INDEX('de para abc'!$C:$C,MATCH($B184,'de para abc'!$A:$A,0))),IFERROR(IF(INDEX('de para abc'!$C:$C,MATCH($C184,'de para abc'!$B:$B,0))=0,"C",INDEX('de para abc'!$C:$C,MATCH($C184,'de para abc'!$B:$B,0))),"C"))</f>
        <v>C</v>
      </c>
      <c r="F184" s="46">
        <v>0</v>
      </c>
    </row>
    <row r="185" spans="1:6" x14ac:dyDescent="0.25">
      <c r="A185" s="45" t="s">
        <v>69</v>
      </c>
      <c r="B185" s="34">
        <v>1000073</v>
      </c>
      <c r="C185" s="32" t="s">
        <v>172</v>
      </c>
      <c r="D185" s="33" t="s">
        <v>71</v>
      </c>
      <c r="E185" s="33" t="str">
        <f>IFERROR(IF(INDEX('de para abc'!$C:$C,MATCH($B185,'de para abc'!$A:$A,0))=0,"C",INDEX('de para abc'!$C:$C,MATCH($B185,'de para abc'!$A:$A,0))),IFERROR(IF(INDEX('de para abc'!$C:$C,MATCH($C185,'de para abc'!$B:$B,0))=0,"C",INDEX('de para abc'!$C:$C,MATCH($C185,'de para abc'!$B:$B,0))),"C"))</f>
        <v>C</v>
      </c>
      <c r="F185" s="46">
        <v>4</v>
      </c>
    </row>
    <row r="186" spans="1:6" x14ac:dyDescent="0.25">
      <c r="A186" s="45" t="s">
        <v>69</v>
      </c>
      <c r="B186" s="34">
        <v>1000074</v>
      </c>
      <c r="C186" s="32" t="s">
        <v>173</v>
      </c>
      <c r="D186" s="33" t="s">
        <v>71</v>
      </c>
      <c r="E186" s="33" t="str">
        <f>IFERROR(IF(INDEX('de para abc'!$C:$C,MATCH($B186,'de para abc'!$A:$A,0))=0,"C",INDEX('de para abc'!$C:$C,MATCH($B186,'de para abc'!$A:$A,0))),IFERROR(IF(INDEX('de para abc'!$C:$C,MATCH($C186,'de para abc'!$B:$B,0))=0,"C",INDEX('de para abc'!$C:$C,MATCH($C186,'de para abc'!$B:$B,0))),"C"))</f>
        <v>C</v>
      </c>
      <c r="F186" s="46">
        <v>6</v>
      </c>
    </row>
    <row r="187" spans="1:6" x14ac:dyDescent="0.25">
      <c r="A187" s="45" t="s">
        <v>69</v>
      </c>
      <c r="B187" s="34">
        <v>1000075</v>
      </c>
      <c r="C187" s="32" t="s">
        <v>174</v>
      </c>
      <c r="D187" s="33" t="s">
        <v>71</v>
      </c>
      <c r="E187" s="33" t="str">
        <f>IFERROR(IF(INDEX('de para abc'!$C:$C,MATCH($B187,'de para abc'!$A:$A,0))=0,"C",INDEX('de para abc'!$C:$C,MATCH($B187,'de para abc'!$A:$A,0))),IFERROR(IF(INDEX('de para abc'!$C:$C,MATCH($C187,'de para abc'!$B:$B,0))=0,"C",INDEX('de para abc'!$C:$C,MATCH($C187,'de para abc'!$B:$B,0))),"C"))</f>
        <v>C</v>
      </c>
      <c r="F187" s="46">
        <v>4</v>
      </c>
    </row>
    <row r="188" spans="1:6" x14ac:dyDescent="0.25">
      <c r="A188" s="45" t="s">
        <v>69</v>
      </c>
      <c r="B188" s="34">
        <v>1000076</v>
      </c>
      <c r="C188" s="32" t="s">
        <v>77</v>
      </c>
      <c r="D188" s="33" t="s">
        <v>71</v>
      </c>
      <c r="E188" s="33" t="str">
        <f>IFERROR(IF(INDEX('de para abc'!$C:$C,MATCH($B188,'de para abc'!$A:$A,0))=0,"C",INDEX('de para abc'!$C:$C,MATCH($B188,'de para abc'!$A:$A,0))),IFERROR(IF(INDEX('de para abc'!$C:$C,MATCH($C188,'de para abc'!$B:$B,0))=0,"C",INDEX('de para abc'!$C:$C,MATCH($C188,'de para abc'!$B:$B,0))),"C"))</f>
        <v>C</v>
      </c>
      <c r="F188" s="46">
        <v>16</v>
      </c>
    </row>
    <row r="189" spans="1:6" x14ac:dyDescent="0.25">
      <c r="A189" s="45" t="s">
        <v>69</v>
      </c>
      <c r="B189" s="34">
        <v>1001895</v>
      </c>
      <c r="C189" s="32" t="s">
        <v>505</v>
      </c>
      <c r="D189" s="33" t="s">
        <v>18</v>
      </c>
      <c r="E189" s="33" t="str">
        <f>IFERROR(IF(INDEX('de para abc'!$C:$C,MATCH($B189,'de para abc'!$A:$A,0))=0,"C",INDEX('de para abc'!$C:$C,MATCH($B189,'de para abc'!$A:$A,0))),IFERROR(IF(INDEX('de para abc'!$C:$C,MATCH($C189,'de para abc'!$B:$B,0))=0,"C",INDEX('de para abc'!$C:$C,MATCH($C189,'de para abc'!$B:$B,0))),"C"))</f>
        <v>C</v>
      </c>
      <c r="F189" s="46">
        <v>10</v>
      </c>
    </row>
    <row r="190" spans="1:6" x14ac:dyDescent="0.25">
      <c r="A190" s="45" t="s">
        <v>69</v>
      </c>
      <c r="B190" s="34">
        <v>1001700</v>
      </c>
      <c r="C190" s="32" t="s">
        <v>238</v>
      </c>
      <c r="D190" s="33" t="s">
        <v>18</v>
      </c>
      <c r="E190" s="33" t="str">
        <f>IFERROR(IF(INDEX('de para abc'!$C:$C,MATCH($B190,'de para abc'!$A:$A,0))=0,"C",INDEX('de para abc'!$C:$C,MATCH($B190,'de para abc'!$A:$A,0))),IFERROR(IF(INDEX('de para abc'!$C:$C,MATCH($C190,'de para abc'!$B:$B,0))=0,"C",INDEX('de para abc'!$C:$C,MATCH($C190,'de para abc'!$B:$B,0))),"C"))</f>
        <v>C</v>
      </c>
      <c r="F190" s="46">
        <v>29</v>
      </c>
    </row>
    <row r="191" spans="1:6" x14ac:dyDescent="0.25">
      <c r="A191" s="45" t="s">
        <v>69</v>
      </c>
      <c r="B191" s="34"/>
      <c r="C191" s="32" t="s">
        <v>79</v>
      </c>
      <c r="D191" s="33" t="s">
        <v>18</v>
      </c>
      <c r="E191" s="33" t="str">
        <f>IFERROR(IF(INDEX('de para abc'!$C:$C,MATCH($B191,'de para abc'!$A:$A,0))=0,"C",INDEX('de para abc'!$C:$C,MATCH($B191,'de para abc'!$A:$A,0))),IFERROR(IF(INDEX('de para abc'!$C:$C,MATCH($C191,'de para abc'!$B:$B,0))=0,"C",INDEX('de para abc'!$C:$C,MATCH($C191,'de para abc'!$B:$B,0))),"C"))</f>
        <v>C</v>
      </c>
      <c r="F191" s="46">
        <v>26</v>
      </c>
    </row>
    <row r="192" spans="1:6" x14ac:dyDescent="0.25">
      <c r="A192" s="45" t="s">
        <v>69</v>
      </c>
      <c r="B192" s="34">
        <v>1001697</v>
      </c>
      <c r="C192" s="32" t="s">
        <v>175</v>
      </c>
      <c r="D192" s="33" t="s">
        <v>18</v>
      </c>
      <c r="E192" s="33" t="str">
        <f>IFERROR(IF(INDEX('de para abc'!$C:$C,MATCH($B192,'de para abc'!$A:$A,0))=0,"C",INDEX('de para abc'!$C:$C,MATCH($B192,'de para abc'!$A:$A,0))),IFERROR(IF(INDEX('de para abc'!$C:$C,MATCH($C192,'de para abc'!$B:$B,0))=0,"C",INDEX('de para abc'!$C:$C,MATCH($C192,'de para abc'!$B:$B,0))),"C"))</f>
        <v>C</v>
      </c>
      <c r="F192" s="46">
        <v>0</v>
      </c>
    </row>
    <row r="193" spans="1:6" x14ac:dyDescent="0.25">
      <c r="A193" s="45" t="s">
        <v>69</v>
      </c>
      <c r="B193" s="34">
        <v>1001698</v>
      </c>
      <c r="C193" s="32" t="s">
        <v>239</v>
      </c>
      <c r="D193" s="33" t="s">
        <v>18</v>
      </c>
      <c r="E193" s="33" t="str">
        <f>IFERROR(IF(INDEX('de para abc'!$C:$C,MATCH($B193,'de para abc'!$A:$A,0))=0,"C",INDEX('de para abc'!$C:$C,MATCH($B193,'de para abc'!$A:$A,0))),IFERROR(IF(INDEX('de para abc'!$C:$C,MATCH($C193,'de para abc'!$B:$B,0))=0,"C",INDEX('de para abc'!$C:$C,MATCH($C193,'de para abc'!$B:$B,0))),"C"))</f>
        <v>C</v>
      </c>
      <c r="F193" s="46">
        <v>1</v>
      </c>
    </row>
    <row r="194" spans="1:6" x14ac:dyDescent="0.25">
      <c r="A194" s="45" t="s">
        <v>69</v>
      </c>
      <c r="B194" s="34">
        <v>1001699</v>
      </c>
      <c r="C194" s="32" t="s">
        <v>176</v>
      </c>
      <c r="D194" s="33" t="s">
        <v>18</v>
      </c>
      <c r="E194" s="33" t="str">
        <f>IFERROR(IF(INDEX('de para abc'!$C:$C,MATCH($B194,'de para abc'!$A:$A,0))=0,"C",INDEX('de para abc'!$C:$C,MATCH($B194,'de para abc'!$A:$A,0))),IFERROR(IF(INDEX('de para abc'!$C:$C,MATCH($C194,'de para abc'!$B:$B,0))=0,"C",INDEX('de para abc'!$C:$C,MATCH($C194,'de para abc'!$B:$B,0))),"C"))</f>
        <v>C</v>
      </c>
      <c r="F194" s="46">
        <v>36</v>
      </c>
    </row>
    <row r="195" spans="1:6" x14ac:dyDescent="0.25">
      <c r="A195" s="45" t="s">
        <v>69</v>
      </c>
      <c r="B195" s="34">
        <v>1001916</v>
      </c>
      <c r="C195" s="32" t="s">
        <v>240</v>
      </c>
      <c r="D195" s="33" t="s">
        <v>10</v>
      </c>
      <c r="E195" s="33" t="str">
        <f>IFERROR(IF(INDEX('de para abc'!$C:$C,MATCH($B195,'de para abc'!$A:$A,0))=0,"C",INDEX('de para abc'!$C:$C,MATCH($B195,'de para abc'!$A:$A,0))),IFERROR(IF(INDEX('de para abc'!$C:$C,MATCH($C195,'de para abc'!$B:$B,0))=0,"C",INDEX('de para abc'!$C:$C,MATCH($C195,'de para abc'!$B:$B,0))),"C"))</f>
        <v>C</v>
      </c>
      <c r="F195" s="46">
        <v>0</v>
      </c>
    </row>
    <row r="196" spans="1:6" x14ac:dyDescent="0.25">
      <c r="A196" s="45" t="s">
        <v>69</v>
      </c>
      <c r="B196" s="34">
        <v>1002148</v>
      </c>
      <c r="C196" s="32" t="s">
        <v>80</v>
      </c>
      <c r="D196" s="33" t="s">
        <v>18</v>
      </c>
      <c r="E196" s="33" t="str">
        <f>IFERROR(IF(INDEX('de para abc'!$C:$C,MATCH($B196,'de para abc'!$A:$A,0))=0,"C",INDEX('de para abc'!$C:$C,MATCH($B196,'de para abc'!$A:$A,0))),IFERROR(IF(INDEX('de para abc'!$C:$C,MATCH($C196,'de para abc'!$B:$B,0))=0,"C",INDEX('de para abc'!$C:$C,MATCH($C196,'de para abc'!$B:$B,0))),"C"))</f>
        <v>C</v>
      </c>
      <c r="F196" s="46">
        <v>4</v>
      </c>
    </row>
    <row r="197" spans="1:6" x14ac:dyDescent="0.25">
      <c r="A197" s="45" t="s">
        <v>69</v>
      </c>
      <c r="B197" s="34">
        <v>1008923</v>
      </c>
      <c r="C197" s="32" t="s">
        <v>506</v>
      </c>
      <c r="D197" s="33" t="s">
        <v>18</v>
      </c>
      <c r="E197" s="33" t="str">
        <f>IFERROR(IF(INDEX('de para abc'!$C:$C,MATCH($B197,'de para abc'!$A:$A,0))=0,"C",INDEX('de para abc'!$C:$C,MATCH($B197,'de para abc'!$A:$A,0))),IFERROR(IF(INDEX('de para abc'!$C:$C,MATCH($C197,'de para abc'!$B:$B,0))=0,"C",INDEX('de para abc'!$C:$C,MATCH($C197,'de para abc'!$B:$B,0))),"C"))</f>
        <v>C</v>
      </c>
      <c r="F197" s="46">
        <v>5</v>
      </c>
    </row>
    <row r="198" spans="1:6" x14ac:dyDescent="0.25">
      <c r="A198" s="45" t="s">
        <v>69</v>
      </c>
      <c r="B198" s="34">
        <v>1001930</v>
      </c>
      <c r="C198" s="32" t="s">
        <v>84</v>
      </c>
      <c r="D198" s="33" t="s">
        <v>18</v>
      </c>
      <c r="E198" s="33" t="str">
        <f>IFERROR(IF(INDEX('de para abc'!$C:$C,MATCH($B198,'de para abc'!$A:$A,0))=0,"C",INDEX('de para abc'!$C:$C,MATCH($B198,'de para abc'!$A:$A,0))),IFERROR(IF(INDEX('de para abc'!$C:$C,MATCH($C198,'de para abc'!$B:$B,0))=0,"C",INDEX('de para abc'!$C:$C,MATCH($C198,'de para abc'!$B:$B,0))),"C"))</f>
        <v>C</v>
      </c>
      <c r="F198" s="46">
        <v>6</v>
      </c>
    </row>
    <row r="199" spans="1:6" x14ac:dyDescent="0.25">
      <c r="A199" s="45" t="s">
        <v>69</v>
      </c>
      <c r="B199" s="34">
        <v>1001931</v>
      </c>
      <c r="C199" s="32" t="s">
        <v>507</v>
      </c>
      <c r="D199" s="33" t="s">
        <v>10</v>
      </c>
      <c r="E199" s="33" t="str">
        <f>IFERROR(IF(INDEX('de para abc'!$C:$C,MATCH($B199,'de para abc'!$A:$A,0))=0,"C",INDEX('de para abc'!$C:$C,MATCH($B199,'de para abc'!$A:$A,0))),IFERROR(IF(INDEX('de para abc'!$C:$C,MATCH($C199,'de para abc'!$B:$B,0))=0,"C",INDEX('de para abc'!$C:$C,MATCH($C199,'de para abc'!$B:$B,0))),"C"))</f>
        <v>C</v>
      </c>
      <c r="F199" s="46">
        <v>5</v>
      </c>
    </row>
    <row r="200" spans="1:6" x14ac:dyDescent="0.25">
      <c r="A200" s="45" t="s">
        <v>69</v>
      </c>
      <c r="B200" s="34">
        <v>1006857</v>
      </c>
      <c r="C200" s="32" t="s">
        <v>508</v>
      </c>
      <c r="D200" s="33" t="s">
        <v>18</v>
      </c>
      <c r="E200" s="33" t="str">
        <f>IFERROR(IF(INDEX('de para abc'!$C:$C,MATCH($B200,'de para abc'!$A:$A,0))=0,"C",INDEX('de para abc'!$C:$C,MATCH($B200,'de para abc'!$A:$A,0))),IFERROR(IF(INDEX('de para abc'!$C:$C,MATCH($C200,'de para abc'!$B:$B,0))=0,"C",INDEX('de para abc'!$C:$C,MATCH($C200,'de para abc'!$B:$B,0))),"C"))</f>
        <v>C</v>
      </c>
      <c r="F200" s="46">
        <v>44</v>
      </c>
    </row>
    <row r="201" spans="1:6" x14ac:dyDescent="0.25">
      <c r="A201" s="45" t="s">
        <v>69</v>
      </c>
      <c r="B201" s="34">
        <v>1002147</v>
      </c>
      <c r="C201" s="32" t="s">
        <v>509</v>
      </c>
      <c r="D201" s="33" t="s">
        <v>10</v>
      </c>
      <c r="E201" s="33" t="str">
        <f>IFERROR(IF(INDEX('de para abc'!$C:$C,MATCH($B201,'de para abc'!$A:$A,0))=0,"C",INDEX('de para abc'!$C:$C,MATCH($B201,'de para abc'!$A:$A,0))),IFERROR(IF(INDEX('de para abc'!$C:$C,MATCH($C201,'de para abc'!$B:$B,0))=0,"C",INDEX('de para abc'!$C:$C,MATCH($C201,'de para abc'!$B:$B,0))),"C"))</f>
        <v>C</v>
      </c>
      <c r="F201" s="46">
        <v>0</v>
      </c>
    </row>
    <row r="202" spans="1:6" x14ac:dyDescent="0.25">
      <c r="A202" s="45" t="s">
        <v>69</v>
      </c>
      <c r="B202" s="34">
        <v>1006853</v>
      </c>
      <c r="C202" s="32" t="s">
        <v>510</v>
      </c>
      <c r="D202" s="33" t="s">
        <v>10</v>
      </c>
      <c r="E202" s="33" t="str">
        <f>IFERROR(IF(INDEX('de para abc'!$C:$C,MATCH($B202,'de para abc'!$A:$A,0))=0,"C",INDEX('de para abc'!$C:$C,MATCH($B202,'de para abc'!$A:$A,0))),IFERROR(IF(INDEX('de para abc'!$C:$C,MATCH($C202,'de para abc'!$B:$B,0))=0,"C",INDEX('de para abc'!$C:$C,MATCH($C202,'de para abc'!$B:$B,0))),"C"))</f>
        <v>C</v>
      </c>
      <c r="F202" s="46">
        <v>38</v>
      </c>
    </row>
    <row r="203" spans="1:6" x14ac:dyDescent="0.25">
      <c r="A203" s="45" t="s">
        <v>69</v>
      </c>
      <c r="B203" s="34">
        <v>1006854</v>
      </c>
      <c r="C203" s="32" t="s">
        <v>511</v>
      </c>
      <c r="D203" s="33" t="s">
        <v>10</v>
      </c>
      <c r="E203" s="33" t="str">
        <f>IFERROR(IF(INDEX('de para abc'!$C:$C,MATCH($B203,'de para abc'!$A:$A,0))=0,"C",INDEX('de para abc'!$C:$C,MATCH($B203,'de para abc'!$A:$A,0))),IFERROR(IF(INDEX('de para abc'!$C:$C,MATCH($C203,'de para abc'!$B:$B,0))=0,"C",INDEX('de para abc'!$C:$C,MATCH($C203,'de para abc'!$B:$B,0))),"C"))</f>
        <v>C</v>
      </c>
      <c r="F203" s="46">
        <v>17</v>
      </c>
    </row>
    <row r="204" spans="1:6" x14ac:dyDescent="0.25">
      <c r="A204" s="45" t="s">
        <v>69</v>
      </c>
      <c r="B204" s="34">
        <v>1006852</v>
      </c>
      <c r="C204" s="32" t="s">
        <v>512</v>
      </c>
      <c r="D204" s="33" t="s">
        <v>10</v>
      </c>
      <c r="E204" s="33" t="str">
        <f>IFERROR(IF(INDEX('de para abc'!$C:$C,MATCH($B204,'de para abc'!$A:$A,0))=0,"C",INDEX('de para abc'!$C:$C,MATCH($B204,'de para abc'!$A:$A,0))),IFERROR(IF(INDEX('de para abc'!$C:$C,MATCH($C204,'de para abc'!$B:$B,0))=0,"C",INDEX('de para abc'!$C:$C,MATCH($C204,'de para abc'!$B:$B,0))),"C"))</f>
        <v>C</v>
      </c>
      <c r="F204" s="46">
        <v>6</v>
      </c>
    </row>
    <row r="205" spans="1:6" x14ac:dyDescent="0.25">
      <c r="A205" s="45" t="s">
        <v>69</v>
      </c>
      <c r="B205" s="34">
        <v>1006851</v>
      </c>
      <c r="C205" s="32" t="s">
        <v>513</v>
      </c>
      <c r="D205" s="33" t="s">
        <v>10</v>
      </c>
      <c r="E205" s="33" t="str">
        <f>IFERROR(IF(INDEX('de para abc'!$C:$C,MATCH($B205,'de para abc'!$A:$A,0))=0,"C",INDEX('de para abc'!$C:$C,MATCH($B205,'de para abc'!$A:$A,0))),IFERROR(IF(INDEX('de para abc'!$C:$C,MATCH($C205,'de para abc'!$B:$B,0))=0,"C",INDEX('de para abc'!$C:$C,MATCH($C205,'de para abc'!$B:$B,0))),"C"))</f>
        <v>C</v>
      </c>
      <c r="F205" s="46">
        <v>19</v>
      </c>
    </row>
    <row r="206" spans="1:6" x14ac:dyDescent="0.25">
      <c r="A206" s="45" t="s">
        <v>69</v>
      </c>
      <c r="B206" s="34">
        <v>1006856</v>
      </c>
      <c r="C206" s="32" t="s">
        <v>514</v>
      </c>
      <c r="D206" s="33" t="s">
        <v>18</v>
      </c>
      <c r="E206" s="33" t="str">
        <f>IFERROR(IF(INDEX('de para abc'!$C:$C,MATCH($B206,'de para abc'!$A:$A,0))=0,"C",INDEX('de para abc'!$C:$C,MATCH($B206,'de para abc'!$A:$A,0))),IFERROR(IF(INDEX('de para abc'!$C:$C,MATCH($C206,'de para abc'!$B:$B,0))=0,"C",INDEX('de para abc'!$C:$C,MATCH($C206,'de para abc'!$B:$B,0))),"C"))</f>
        <v>C</v>
      </c>
      <c r="F206" s="46">
        <v>5</v>
      </c>
    </row>
    <row r="207" spans="1:6" x14ac:dyDescent="0.25">
      <c r="A207" s="45" t="s">
        <v>69</v>
      </c>
      <c r="B207" s="34">
        <v>1001512</v>
      </c>
      <c r="C207" s="32" t="s">
        <v>87</v>
      </c>
      <c r="D207" s="33" t="s">
        <v>18</v>
      </c>
      <c r="E207" s="33" t="str">
        <f>IFERROR(IF(INDEX('de para abc'!$C:$C,MATCH($B207,'de para abc'!$A:$A,0))=0,"C",INDEX('de para abc'!$C:$C,MATCH($B207,'de para abc'!$A:$A,0))),IFERROR(IF(INDEX('de para abc'!$C:$C,MATCH($C207,'de para abc'!$B:$B,0))=0,"C",INDEX('de para abc'!$C:$C,MATCH($C207,'de para abc'!$B:$B,0))),"C"))</f>
        <v>C</v>
      </c>
      <c r="F207" s="46">
        <v>13</v>
      </c>
    </row>
    <row r="208" spans="1:6" x14ac:dyDescent="0.25">
      <c r="A208" s="45" t="s">
        <v>69</v>
      </c>
      <c r="B208" s="34">
        <v>1001513</v>
      </c>
      <c r="C208" s="32" t="s">
        <v>88</v>
      </c>
      <c r="D208" s="33" t="s">
        <v>18</v>
      </c>
      <c r="E208" s="33" t="str">
        <f>IFERROR(IF(INDEX('de para abc'!$C:$C,MATCH($B208,'de para abc'!$A:$A,0))=0,"C",INDEX('de para abc'!$C:$C,MATCH($B208,'de para abc'!$A:$A,0))),IFERROR(IF(INDEX('de para abc'!$C:$C,MATCH($C208,'de para abc'!$B:$B,0))=0,"C",INDEX('de para abc'!$C:$C,MATCH($C208,'de para abc'!$B:$B,0))),"C"))</f>
        <v>C</v>
      </c>
      <c r="F208" s="46">
        <v>7</v>
      </c>
    </row>
    <row r="209" spans="1:6" x14ac:dyDescent="0.25">
      <c r="A209" s="45" t="s">
        <v>69</v>
      </c>
      <c r="B209" s="34">
        <v>1001973</v>
      </c>
      <c r="C209" s="32" t="s">
        <v>89</v>
      </c>
      <c r="D209" s="33" t="s">
        <v>18</v>
      </c>
      <c r="E209" s="33" t="str">
        <f>IFERROR(IF(INDEX('de para abc'!$C:$C,MATCH($B209,'de para abc'!$A:$A,0))=0,"C",INDEX('de para abc'!$C:$C,MATCH($B209,'de para abc'!$A:$A,0))),IFERROR(IF(INDEX('de para abc'!$C:$C,MATCH($C209,'de para abc'!$B:$B,0))=0,"C",INDEX('de para abc'!$C:$C,MATCH($C209,'de para abc'!$B:$B,0))),"C"))</f>
        <v>C</v>
      </c>
      <c r="F209" s="46">
        <v>15</v>
      </c>
    </row>
    <row r="210" spans="1:6" x14ac:dyDescent="0.25">
      <c r="A210" s="45" t="s">
        <v>69</v>
      </c>
      <c r="B210" s="34">
        <v>1002020</v>
      </c>
      <c r="C210" s="32" t="s">
        <v>515</v>
      </c>
      <c r="D210" s="33" t="s">
        <v>18</v>
      </c>
      <c r="E210" s="33" t="str">
        <f>IFERROR(IF(INDEX('de para abc'!$C:$C,MATCH($B210,'de para abc'!$A:$A,0))=0,"C",INDEX('de para abc'!$C:$C,MATCH($B210,'de para abc'!$A:$A,0))),IFERROR(IF(INDEX('de para abc'!$C:$C,MATCH($C210,'de para abc'!$B:$B,0))=0,"C",INDEX('de para abc'!$C:$C,MATCH($C210,'de para abc'!$B:$B,0))),"C"))</f>
        <v>C</v>
      </c>
      <c r="F210" s="46">
        <v>4</v>
      </c>
    </row>
    <row r="211" spans="1:6" x14ac:dyDescent="0.25">
      <c r="A211" s="45" t="s">
        <v>69</v>
      </c>
      <c r="B211" s="34">
        <v>1001906</v>
      </c>
      <c r="C211" s="32" t="s">
        <v>516</v>
      </c>
      <c r="D211" s="33" t="s">
        <v>18</v>
      </c>
      <c r="E211" s="33" t="str">
        <f>IFERROR(IF(INDEX('de para abc'!$C:$C,MATCH($B211,'de para abc'!$A:$A,0))=0,"C",INDEX('de para abc'!$C:$C,MATCH($B211,'de para abc'!$A:$A,0))),IFERROR(IF(INDEX('de para abc'!$C:$C,MATCH($C211,'de para abc'!$B:$B,0))=0,"C",INDEX('de para abc'!$C:$C,MATCH($C211,'de para abc'!$B:$B,0))),"C"))</f>
        <v>C</v>
      </c>
      <c r="F211" s="46">
        <v>3</v>
      </c>
    </row>
    <row r="212" spans="1:6" x14ac:dyDescent="0.25">
      <c r="A212" s="45" t="s">
        <v>69</v>
      </c>
      <c r="B212" s="34">
        <v>1001289</v>
      </c>
      <c r="C212" s="32" t="s">
        <v>517</v>
      </c>
      <c r="D212" s="33" t="s">
        <v>10</v>
      </c>
      <c r="E212" s="33" t="str">
        <f>IFERROR(IF(INDEX('de para abc'!$C:$C,MATCH($B212,'de para abc'!$A:$A,0))=0,"C",INDEX('de para abc'!$C:$C,MATCH($B212,'de para abc'!$A:$A,0))),IFERROR(IF(INDEX('de para abc'!$C:$C,MATCH($C212,'de para abc'!$B:$B,0))=0,"C",INDEX('de para abc'!$C:$C,MATCH($C212,'de para abc'!$B:$B,0))),"C"))</f>
        <v>C</v>
      </c>
      <c r="F212" s="46">
        <v>32</v>
      </c>
    </row>
    <row r="213" spans="1:6" x14ac:dyDescent="0.25">
      <c r="A213" s="45" t="s">
        <v>69</v>
      </c>
      <c r="B213" s="34">
        <v>1001302</v>
      </c>
      <c r="C213" s="32" t="s">
        <v>96</v>
      </c>
      <c r="D213" s="33" t="s">
        <v>10</v>
      </c>
      <c r="E213" s="33" t="str">
        <f>IFERROR(IF(INDEX('de para abc'!$C:$C,MATCH($B213,'de para abc'!$A:$A,0))=0,"C",INDEX('de para abc'!$C:$C,MATCH($B213,'de para abc'!$A:$A,0))),IFERROR(IF(INDEX('de para abc'!$C:$C,MATCH($C213,'de para abc'!$B:$B,0))=0,"C",INDEX('de para abc'!$C:$C,MATCH($C213,'de para abc'!$B:$B,0))),"C"))</f>
        <v>C</v>
      </c>
      <c r="F213" s="46">
        <v>42</v>
      </c>
    </row>
    <row r="214" spans="1:6" x14ac:dyDescent="0.25">
      <c r="A214" s="45" t="s">
        <v>69</v>
      </c>
      <c r="B214" s="34">
        <v>1001190</v>
      </c>
      <c r="C214" s="32" t="s">
        <v>97</v>
      </c>
      <c r="D214" s="33" t="s">
        <v>18</v>
      </c>
      <c r="E214" s="33" t="str">
        <f>IFERROR(IF(INDEX('de para abc'!$C:$C,MATCH($B214,'de para abc'!$A:$A,0))=0,"C",INDEX('de para abc'!$C:$C,MATCH($B214,'de para abc'!$A:$A,0))),IFERROR(IF(INDEX('de para abc'!$C:$C,MATCH($C214,'de para abc'!$B:$B,0))=0,"C",INDEX('de para abc'!$C:$C,MATCH($C214,'de para abc'!$B:$B,0))),"C"))</f>
        <v>C</v>
      </c>
      <c r="F214" s="46">
        <v>49</v>
      </c>
    </row>
    <row r="215" spans="1:6" x14ac:dyDescent="0.25">
      <c r="A215" s="45" t="s">
        <v>69</v>
      </c>
      <c r="B215" s="34">
        <v>1001237</v>
      </c>
      <c r="C215" s="32" t="s">
        <v>268</v>
      </c>
      <c r="D215" s="33" t="s">
        <v>10</v>
      </c>
      <c r="E215" s="33" t="str">
        <f>IFERROR(IF(INDEX('de para abc'!$C:$C,MATCH($B215,'de para abc'!$A:$A,0))=0,"C",INDEX('de para abc'!$C:$C,MATCH($B215,'de para abc'!$A:$A,0))),IFERROR(IF(INDEX('de para abc'!$C:$C,MATCH($C215,'de para abc'!$B:$B,0))=0,"C",INDEX('de para abc'!$C:$C,MATCH($C215,'de para abc'!$B:$B,0))),"C"))</f>
        <v>C</v>
      </c>
      <c r="F215" s="46">
        <v>0</v>
      </c>
    </row>
    <row r="216" spans="1:6" x14ac:dyDescent="0.25">
      <c r="A216" s="45" t="s">
        <v>69</v>
      </c>
      <c r="B216" s="34">
        <v>1000495</v>
      </c>
      <c r="C216" s="32" t="s">
        <v>270</v>
      </c>
      <c r="D216" s="33" t="s">
        <v>10</v>
      </c>
      <c r="E216" s="33" t="str">
        <f>IFERROR(IF(INDEX('de para abc'!$C:$C,MATCH($B216,'de para abc'!$A:$A,0))=0,"C",INDEX('de para abc'!$C:$C,MATCH($B216,'de para abc'!$A:$A,0))),IFERROR(IF(INDEX('de para abc'!$C:$C,MATCH($C216,'de para abc'!$B:$B,0))=0,"C",INDEX('de para abc'!$C:$C,MATCH($C216,'de para abc'!$B:$B,0))),"C"))</f>
        <v>C</v>
      </c>
      <c r="F216" s="46">
        <v>56</v>
      </c>
    </row>
    <row r="217" spans="1:6" x14ac:dyDescent="0.25">
      <c r="A217" s="45" t="s">
        <v>69</v>
      </c>
      <c r="B217" s="34">
        <v>1000146</v>
      </c>
      <c r="C217" s="32" t="s">
        <v>99</v>
      </c>
      <c r="D217" s="33" t="s">
        <v>10</v>
      </c>
      <c r="E217" s="33" t="str">
        <f>IFERROR(IF(INDEX('de para abc'!$C:$C,MATCH($B217,'de para abc'!$A:$A,0))=0,"C",INDEX('de para abc'!$C:$C,MATCH($B217,'de para abc'!$A:$A,0))),IFERROR(IF(INDEX('de para abc'!$C:$C,MATCH($C217,'de para abc'!$B:$B,0))=0,"C",INDEX('de para abc'!$C:$C,MATCH($C217,'de para abc'!$B:$B,0))),"C"))</f>
        <v>C</v>
      </c>
      <c r="F217" s="46">
        <v>133</v>
      </c>
    </row>
    <row r="218" spans="1:6" x14ac:dyDescent="0.25">
      <c r="A218" s="45" t="s">
        <v>69</v>
      </c>
      <c r="B218" s="34">
        <v>1002262</v>
      </c>
      <c r="C218" s="32" t="s">
        <v>518</v>
      </c>
      <c r="D218" s="33" t="s">
        <v>10</v>
      </c>
      <c r="E218" s="33" t="str">
        <f>IFERROR(IF(INDEX('de para abc'!$C:$C,MATCH($B218,'de para abc'!$A:$A,0))=0,"C",INDEX('de para abc'!$C:$C,MATCH($B218,'de para abc'!$A:$A,0))),IFERROR(IF(INDEX('de para abc'!$C:$C,MATCH($C218,'de para abc'!$B:$B,0))=0,"C",INDEX('de para abc'!$C:$C,MATCH($C218,'de para abc'!$B:$B,0))),"C"))</f>
        <v>C</v>
      </c>
      <c r="F218" s="46">
        <v>1</v>
      </c>
    </row>
    <row r="219" spans="1:6" x14ac:dyDescent="0.25">
      <c r="A219" s="45" t="s">
        <v>69</v>
      </c>
      <c r="B219" s="34">
        <v>1000204</v>
      </c>
      <c r="C219" s="32" t="s">
        <v>519</v>
      </c>
      <c r="D219" s="33" t="s">
        <v>10</v>
      </c>
      <c r="E219" s="33" t="str">
        <f>IFERROR(IF(INDEX('de para abc'!$C:$C,MATCH($B219,'de para abc'!$A:$A,0))=0,"C",INDEX('de para abc'!$C:$C,MATCH($B219,'de para abc'!$A:$A,0))),IFERROR(IF(INDEX('de para abc'!$C:$C,MATCH($C219,'de para abc'!$B:$B,0))=0,"C",INDEX('de para abc'!$C:$C,MATCH($C219,'de para abc'!$B:$B,0))),"C"))</f>
        <v>C</v>
      </c>
      <c r="F219" s="46">
        <v>14</v>
      </c>
    </row>
    <row r="220" spans="1:6" x14ac:dyDescent="0.25">
      <c r="A220" s="45" t="s">
        <v>69</v>
      </c>
      <c r="B220" s="34">
        <v>1000206</v>
      </c>
      <c r="C220" s="32" t="s">
        <v>102</v>
      </c>
      <c r="D220" s="33" t="s">
        <v>18</v>
      </c>
      <c r="E220" s="33" t="str">
        <f>IFERROR(IF(INDEX('de para abc'!$C:$C,MATCH($B220,'de para abc'!$A:$A,0))=0,"C",INDEX('de para abc'!$C:$C,MATCH($B220,'de para abc'!$A:$A,0))),IFERROR(IF(INDEX('de para abc'!$C:$C,MATCH($C220,'de para abc'!$B:$B,0))=0,"C",INDEX('de para abc'!$C:$C,MATCH($C220,'de para abc'!$B:$B,0))),"C"))</f>
        <v>C</v>
      </c>
      <c r="F220" s="46">
        <v>89</v>
      </c>
    </row>
    <row r="221" spans="1:6" x14ac:dyDescent="0.25">
      <c r="A221" s="45" t="s">
        <v>69</v>
      </c>
      <c r="B221" s="34">
        <v>1001254</v>
      </c>
      <c r="C221" s="32" t="s">
        <v>271</v>
      </c>
      <c r="D221" s="33" t="s">
        <v>18</v>
      </c>
      <c r="E221" s="33" t="str">
        <f>IFERROR(IF(INDEX('de para abc'!$C:$C,MATCH($B221,'de para abc'!$A:$A,0))=0,"C",INDEX('de para abc'!$C:$C,MATCH($B221,'de para abc'!$A:$A,0))),IFERROR(IF(INDEX('de para abc'!$C:$C,MATCH($C221,'de para abc'!$B:$B,0))=0,"C",INDEX('de para abc'!$C:$C,MATCH($C221,'de para abc'!$B:$B,0))),"C"))</f>
        <v>C</v>
      </c>
      <c r="F221" s="46">
        <v>64</v>
      </c>
    </row>
    <row r="222" spans="1:6" x14ac:dyDescent="0.25">
      <c r="A222" s="45" t="s">
        <v>69</v>
      </c>
      <c r="B222" s="34">
        <v>1000480</v>
      </c>
      <c r="C222" s="32" t="s">
        <v>520</v>
      </c>
      <c r="D222" s="33" t="s">
        <v>10</v>
      </c>
      <c r="E222" s="33" t="str">
        <f>IFERROR(IF(INDEX('de para abc'!$C:$C,MATCH($B222,'de para abc'!$A:$A,0))=0,"C",INDEX('de para abc'!$C:$C,MATCH($B222,'de para abc'!$A:$A,0))),IFERROR(IF(INDEX('de para abc'!$C:$C,MATCH($C222,'de para abc'!$B:$B,0))=0,"C",INDEX('de para abc'!$C:$C,MATCH($C222,'de para abc'!$B:$B,0))),"C"))</f>
        <v>C</v>
      </c>
      <c r="F222" s="46">
        <v>12</v>
      </c>
    </row>
    <row r="223" spans="1:6" x14ac:dyDescent="0.25">
      <c r="A223" s="45" t="s">
        <v>69</v>
      </c>
      <c r="B223" s="34">
        <v>1001854</v>
      </c>
      <c r="C223" s="32" t="s">
        <v>105</v>
      </c>
      <c r="D223" s="33" t="s">
        <v>18</v>
      </c>
      <c r="E223" s="33" t="str">
        <f>IFERROR(IF(INDEX('de para abc'!$C:$C,MATCH($B223,'de para abc'!$A:$A,0))=0,"C",INDEX('de para abc'!$C:$C,MATCH($B223,'de para abc'!$A:$A,0))),IFERROR(IF(INDEX('de para abc'!$C:$C,MATCH($C223,'de para abc'!$B:$B,0))=0,"C",INDEX('de para abc'!$C:$C,MATCH($C223,'de para abc'!$B:$B,0))),"C"))</f>
        <v>C</v>
      </c>
      <c r="F223" s="46">
        <v>10</v>
      </c>
    </row>
    <row r="224" spans="1:6" x14ac:dyDescent="0.25">
      <c r="A224" s="45" t="s">
        <v>69</v>
      </c>
      <c r="B224" s="34">
        <v>1001851</v>
      </c>
      <c r="C224" s="32" t="s">
        <v>180</v>
      </c>
      <c r="D224" s="33" t="s">
        <v>10</v>
      </c>
      <c r="E224" s="33" t="str">
        <f>IFERROR(IF(INDEX('de para abc'!$C:$C,MATCH($B224,'de para abc'!$A:$A,0))=0,"C",INDEX('de para abc'!$C:$C,MATCH($B224,'de para abc'!$A:$A,0))),IFERROR(IF(INDEX('de para abc'!$C:$C,MATCH($C224,'de para abc'!$B:$B,0))=0,"C",INDEX('de para abc'!$C:$C,MATCH($C224,'de para abc'!$B:$B,0))),"C"))</f>
        <v>C</v>
      </c>
      <c r="F224" s="46">
        <v>37</v>
      </c>
    </row>
    <row r="225" spans="1:6" x14ac:dyDescent="0.25">
      <c r="A225" s="45" t="s">
        <v>69</v>
      </c>
      <c r="B225" s="34">
        <v>1001855</v>
      </c>
      <c r="C225" s="32" t="s">
        <v>521</v>
      </c>
      <c r="D225" s="33" t="s">
        <v>18</v>
      </c>
      <c r="E225" s="33" t="str">
        <f>IFERROR(IF(INDEX('de para abc'!$C:$C,MATCH($B225,'de para abc'!$A:$A,0))=0,"C",INDEX('de para abc'!$C:$C,MATCH($B225,'de para abc'!$A:$A,0))),IFERROR(IF(INDEX('de para abc'!$C:$C,MATCH($C225,'de para abc'!$B:$B,0))=0,"C",INDEX('de para abc'!$C:$C,MATCH($C225,'de para abc'!$B:$B,0))),"C"))</f>
        <v>C</v>
      </c>
      <c r="F225" s="46">
        <v>37</v>
      </c>
    </row>
    <row r="226" spans="1:6" x14ac:dyDescent="0.25">
      <c r="A226" s="45" t="s">
        <v>69</v>
      </c>
      <c r="B226" s="34">
        <v>1001265</v>
      </c>
      <c r="C226" s="32" t="s">
        <v>522</v>
      </c>
      <c r="D226" s="33" t="s">
        <v>183</v>
      </c>
      <c r="E226" s="33" t="str">
        <f>IFERROR(IF(INDEX('de para abc'!$C:$C,MATCH($B226,'de para abc'!$A:$A,0))=0,"C",INDEX('de para abc'!$C:$C,MATCH($B226,'de para abc'!$A:$A,0))),IFERROR(IF(INDEX('de para abc'!$C:$C,MATCH($C226,'de para abc'!$B:$B,0))=0,"C",INDEX('de para abc'!$C:$C,MATCH($C226,'de para abc'!$B:$B,0))),"C"))</f>
        <v>C</v>
      </c>
      <c r="F226" s="46">
        <v>18</v>
      </c>
    </row>
    <row r="227" spans="1:6" x14ac:dyDescent="0.25">
      <c r="A227" s="45" t="s">
        <v>69</v>
      </c>
      <c r="B227" s="34">
        <v>1000277</v>
      </c>
      <c r="C227" s="32" t="s">
        <v>182</v>
      </c>
      <c r="D227" s="33" t="s">
        <v>18</v>
      </c>
      <c r="E227" s="33" t="str">
        <f>IFERROR(IF(INDEX('de para abc'!$C:$C,MATCH($B227,'de para abc'!$A:$A,0))=0,"C",INDEX('de para abc'!$C:$C,MATCH($B227,'de para abc'!$A:$A,0))),IFERROR(IF(INDEX('de para abc'!$C:$C,MATCH($C227,'de para abc'!$B:$B,0))=0,"C",INDEX('de para abc'!$C:$C,MATCH($C227,'de para abc'!$B:$B,0))),"C"))</f>
        <v>C</v>
      </c>
      <c r="F227" s="46">
        <v>26</v>
      </c>
    </row>
    <row r="228" spans="1:6" x14ac:dyDescent="0.25">
      <c r="A228" s="45" t="s">
        <v>69</v>
      </c>
      <c r="B228" s="34">
        <v>1006179</v>
      </c>
      <c r="C228" s="32" t="s">
        <v>106</v>
      </c>
      <c r="D228" s="33" t="s">
        <v>18</v>
      </c>
      <c r="E228" s="33" t="str">
        <f>IFERROR(IF(INDEX('de para abc'!$C:$C,MATCH($B228,'de para abc'!$A:$A,0))=0,"C",INDEX('de para abc'!$C:$C,MATCH($B228,'de para abc'!$A:$A,0))),IFERROR(IF(INDEX('de para abc'!$C:$C,MATCH($C228,'de para abc'!$B:$B,0))=0,"C",INDEX('de para abc'!$C:$C,MATCH($C228,'de para abc'!$B:$B,0))),"C"))</f>
        <v>C</v>
      </c>
      <c r="F228" s="46">
        <v>25</v>
      </c>
    </row>
    <row r="229" spans="1:6" x14ac:dyDescent="0.25">
      <c r="A229" s="45" t="s">
        <v>69</v>
      </c>
      <c r="B229" s="34">
        <v>1001042</v>
      </c>
      <c r="C229" s="32" t="s">
        <v>523</v>
      </c>
      <c r="D229" s="33" t="s">
        <v>18</v>
      </c>
      <c r="E229" s="33" t="str">
        <f>IFERROR(IF(INDEX('de para abc'!$C:$C,MATCH($B229,'de para abc'!$A:$A,0))=0,"C",INDEX('de para abc'!$C:$C,MATCH($B229,'de para abc'!$A:$A,0))),IFERROR(IF(INDEX('de para abc'!$C:$C,MATCH($C229,'de para abc'!$B:$B,0))=0,"C",INDEX('de para abc'!$C:$C,MATCH($C229,'de para abc'!$B:$B,0))),"C"))</f>
        <v>C</v>
      </c>
      <c r="F229" s="46">
        <v>28</v>
      </c>
    </row>
    <row r="230" spans="1:6" x14ac:dyDescent="0.25">
      <c r="A230" s="45" t="s">
        <v>69</v>
      </c>
      <c r="B230" s="34">
        <v>1001926</v>
      </c>
      <c r="C230" s="32" t="s">
        <v>282</v>
      </c>
      <c r="D230" s="33" t="s">
        <v>18</v>
      </c>
      <c r="E230" s="33" t="str">
        <f>IFERROR(IF(INDEX('de para abc'!$C:$C,MATCH($B230,'de para abc'!$A:$A,0))=0,"C",INDEX('de para abc'!$C:$C,MATCH($B230,'de para abc'!$A:$A,0))),IFERROR(IF(INDEX('de para abc'!$C:$C,MATCH($C230,'de para abc'!$B:$B,0))=0,"C",INDEX('de para abc'!$C:$C,MATCH($C230,'de para abc'!$B:$B,0))),"C"))</f>
        <v>C</v>
      </c>
      <c r="F230" s="46">
        <v>1</v>
      </c>
    </row>
    <row r="231" spans="1:6" x14ac:dyDescent="0.25">
      <c r="A231" s="45" t="s">
        <v>69</v>
      </c>
      <c r="B231" s="34">
        <v>1001924</v>
      </c>
      <c r="C231" s="32" t="s">
        <v>283</v>
      </c>
      <c r="D231" s="33" t="s">
        <v>18</v>
      </c>
      <c r="E231" s="33" t="str">
        <f>IFERROR(IF(INDEX('de para abc'!$C:$C,MATCH($B231,'de para abc'!$A:$A,0))=0,"C",INDEX('de para abc'!$C:$C,MATCH($B231,'de para abc'!$A:$A,0))),IFERROR(IF(INDEX('de para abc'!$C:$C,MATCH($C231,'de para abc'!$B:$B,0))=0,"C",INDEX('de para abc'!$C:$C,MATCH($C231,'de para abc'!$B:$B,0))),"C"))</f>
        <v>C</v>
      </c>
      <c r="F231" s="46">
        <v>0</v>
      </c>
    </row>
    <row r="232" spans="1:6" x14ac:dyDescent="0.25">
      <c r="A232" s="45" t="s">
        <v>69</v>
      </c>
      <c r="B232" s="34">
        <v>1001925</v>
      </c>
      <c r="C232" s="32" t="s">
        <v>108</v>
      </c>
      <c r="D232" s="33" t="s">
        <v>10</v>
      </c>
      <c r="E232" s="33" t="str">
        <f>IFERROR(IF(INDEX('de para abc'!$C:$C,MATCH($B232,'de para abc'!$A:$A,0))=0,"C",INDEX('de para abc'!$C:$C,MATCH($B232,'de para abc'!$A:$A,0))),IFERROR(IF(INDEX('de para abc'!$C:$C,MATCH($C232,'de para abc'!$B:$B,0))=0,"C",INDEX('de para abc'!$C:$C,MATCH($C232,'de para abc'!$B:$B,0))),"C"))</f>
        <v>C</v>
      </c>
      <c r="F232" s="46">
        <v>0</v>
      </c>
    </row>
    <row r="233" spans="1:6" x14ac:dyDescent="0.25">
      <c r="A233" s="45" t="s">
        <v>69</v>
      </c>
      <c r="B233" s="34">
        <v>1000305</v>
      </c>
      <c r="C233" s="32" t="s">
        <v>111</v>
      </c>
      <c r="D233" s="33" t="s">
        <v>71</v>
      </c>
      <c r="E233" s="33" t="str">
        <f>IFERROR(IF(INDEX('de para abc'!$C:$C,MATCH($B233,'de para abc'!$A:$A,0))=0,"C",INDEX('de para abc'!$C:$C,MATCH($B233,'de para abc'!$A:$A,0))),IFERROR(IF(INDEX('de para abc'!$C:$C,MATCH($C233,'de para abc'!$B:$B,0))=0,"C",INDEX('de para abc'!$C:$C,MATCH($C233,'de para abc'!$B:$B,0))),"C"))</f>
        <v>C</v>
      </c>
      <c r="F233" s="46">
        <v>117</v>
      </c>
    </row>
    <row r="234" spans="1:6" x14ac:dyDescent="0.25">
      <c r="A234" s="45" t="s">
        <v>69</v>
      </c>
      <c r="B234" s="34">
        <v>1000665</v>
      </c>
      <c r="C234" s="32" t="s">
        <v>113</v>
      </c>
      <c r="D234" s="33" t="s">
        <v>71</v>
      </c>
      <c r="E234" s="33" t="str">
        <f>IFERROR(IF(INDEX('de para abc'!$C:$C,MATCH($B234,'de para abc'!$A:$A,0))=0,"C",INDEX('de para abc'!$C:$C,MATCH($B234,'de para abc'!$A:$A,0))),IFERROR(IF(INDEX('de para abc'!$C:$C,MATCH($C234,'de para abc'!$B:$B,0))=0,"C",INDEX('de para abc'!$C:$C,MATCH($C234,'de para abc'!$B:$B,0))),"C"))</f>
        <v>C</v>
      </c>
      <c r="F234" s="46">
        <v>94</v>
      </c>
    </row>
    <row r="235" spans="1:6" x14ac:dyDescent="0.25">
      <c r="A235" s="45" t="s">
        <v>69</v>
      </c>
      <c r="B235" s="34">
        <v>1000327</v>
      </c>
      <c r="C235" s="32" t="s">
        <v>114</v>
      </c>
      <c r="D235" s="33" t="s">
        <v>71</v>
      </c>
      <c r="E235" s="33" t="str">
        <f>IFERROR(IF(INDEX('de para abc'!$C:$C,MATCH($B235,'de para abc'!$A:$A,0))=0,"C",INDEX('de para abc'!$C:$C,MATCH($B235,'de para abc'!$A:$A,0))),IFERROR(IF(INDEX('de para abc'!$C:$C,MATCH($C235,'de para abc'!$B:$B,0))=0,"C",INDEX('de para abc'!$C:$C,MATCH($C235,'de para abc'!$B:$B,0))),"C"))</f>
        <v>C</v>
      </c>
      <c r="F235" s="46">
        <v>56</v>
      </c>
    </row>
    <row r="236" spans="1:6" x14ac:dyDescent="0.25">
      <c r="A236" s="45" t="s">
        <v>69</v>
      </c>
      <c r="B236" s="34">
        <v>1006150</v>
      </c>
      <c r="C236" s="32" t="s">
        <v>115</v>
      </c>
      <c r="D236" s="33" t="s">
        <v>18</v>
      </c>
      <c r="E236" s="33" t="str">
        <f>IFERROR(IF(INDEX('de para abc'!$C:$C,MATCH($B236,'de para abc'!$A:$A,0))=0,"C",INDEX('de para abc'!$C:$C,MATCH($B236,'de para abc'!$A:$A,0))),IFERROR(IF(INDEX('de para abc'!$C:$C,MATCH($C236,'de para abc'!$B:$B,0))=0,"C",INDEX('de para abc'!$C:$C,MATCH($C236,'de para abc'!$B:$B,0))),"C"))</f>
        <v>C</v>
      </c>
      <c r="F236" s="46">
        <v>60</v>
      </c>
    </row>
    <row r="237" spans="1:6" x14ac:dyDescent="0.25">
      <c r="A237" s="45" t="s">
        <v>69</v>
      </c>
      <c r="B237" s="34">
        <v>1002247</v>
      </c>
      <c r="C237" s="32" t="s">
        <v>524</v>
      </c>
      <c r="D237" s="33" t="s">
        <v>18</v>
      </c>
      <c r="E237" s="33" t="str">
        <f>IFERROR(IF(INDEX('de para abc'!$C:$C,MATCH($B237,'de para abc'!$A:$A,0))=0,"C",INDEX('de para abc'!$C:$C,MATCH($B237,'de para abc'!$A:$A,0))),IFERROR(IF(INDEX('de para abc'!$C:$C,MATCH($C237,'de para abc'!$B:$B,0))=0,"C",INDEX('de para abc'!$C:$C,MATCH($C237,'de para abc'!$B:$B,0))),"C"))</f>
        <v>C</v>
      </c>
      <c r="F237" s="46">
        <v>28</v>
      </c>
    </row>
    <row r="238" spans="1:6" x14ac:dyDescent="0.25">
      <c r="A238" s="45" t="s">
        <v>69</v>
      </c>
      <c r="B238" s="34">
        <v>1002248</v>
      </c>
      <c r="C238" s="32" t="s">
        <v>525</v>
      </c>
      <c r="D238" s="33" t="s">
        <v>71</v>
      </c>
      <c r="E238" s="33" t="str">
        <f>IFERROR(IF(INDEX('de para abc'!$C:$C,MATCH($B238,'de para abc'!$A:$A,0))=0,"C",INDEX('de para abc'!$C:$C,MATCH($B238,'de para abc'!$A:$A,0))),IFERROR(IF(INDEX('de para abc'!$C:$C,MATCH($C238,'de para abc'!$B:$B,0))=0,"C",INDEX('de para abc'!$C:$C,MATCH($C238,'de para abc'!$B:$B,0))),"C"))</f>
        <v>C</v>
      </c>
      <c r="F238" s="46">
        <v>11</v>
      </c>
    </row>
    <row r="239" spans="1:6" x14ac:dyDescent="0.25">
      <c r="A239" s="45" t="s">
        <v>69</v>
      </c>
      <c r="B239" s="34">
        <v>1000332</v>
      </c>
      <c r="C239" s="32" t="s">
        <v>184</v>
      </c>
      <c r="D239" s="33" t="s">
        <v>18</v>
      </c>
      <c r="E239" s="33" t="str">
        <f>IFERROR(IF(INDEX('de para abc'!$C:$C,MATCH($B239,'de para abc'!$A:$A,0))=0,"C",INDEX('de para abc'!$C:$C,MATCH($B239,'de para abc'!$A:$A,0))),IFERROR(IF(INDEX('de para abc'!$C:$C,MATCH($C239,'de para abc'!$B:$B,0))=0,"C",INDEX('de para abc'!$C:$C,MATCH($C239,'de para abc'!$B:$B,0))),"C"))</f>
        <v>C</v>
      </c>
      <c r="F239" s="46">
        <v>0</v>
      </c>
    </row>
    <row r="240" spans="1:6" x14ac:dyDescent="0.25">
      <c r="A240" s="45" t="s">
        <v>69</v>
      </c>
      <c r="B240" s="34">
        <v>1002249</v>
      </c>
      <c r="C240" s="32" t="s">
        <v>526</v>
      </c>
      <c r="D240" s="33" t="s">
        <v>71</v>
      </c>
      <c r="E240" s="33" t="str">
        <f>IFERROR(IF(INDEX('de para abc'!$C:$C,MATCH($B240,'de para abc'!$A:$A,0))=0,"C",INDEX('de para abc'!$C:$C,MATCH($B240,'de para abc'!$A:$A,0))),IFERROR(IF(INDEX('de para abc'!$C:$C,MATCH($C240,'de para abc'!$B:$B,0))=0,"C",INDEX('de para abc'!$C:$C,MATCH($C240,'de para abc'!$B:$B,0))),"C"))</f>
        <v>C</v>
      </c>
      <c r="F240" s="46">
        <v>0</v>
      </c>
    </row>
    <row r="241" spans="1:6" x14ac:dyDescent="0.25">
      <c r="A241" s="45" t="s">
        <v>69</v>
      </c>
      <c r="B241" s="34">
        <v>1002282</v>
      </c>
      <c r="C241" s="32" t="s">
        <v>527</v>
      </c>
      <c r="D241" s="33" t="s">
        <v>10</v>
      </c>
      <c r="E241" s="33" t="str">
        <f>IFERROR(IF(INDEX('de para abc'!$C:$C,MATCH($B241,'de para abc'!$A:$A,0))=0,"C",INDEX('de para abc'!$C:$C,MATCH($B241,'de para abc'!$A:$A,0))),IFERROR(IF(INDEX('de para abc'!$C:$C,MATCH($C241,'de para abc'!$B:$B,0))=0,"C",INDEX('de para abc'!$C:$C,MATCH($C241,'de para abc'!$B:$B,0))),"C"))</f>
        <v>C</v>
      </c>
      <c r="F241" s="46">
        <v>18</v>
      </c>
    </row>
    <row r="242" spans="1:6" x14ac:dyDescent="0.25">
      <c r="A242" s="45" t="s">
        <v>69</v>
      </c>
      <c r="B242" s="34">
        <v>1001852</v>
      </c>
      <c r="C242" s="32" t="s">
        <v>185</v>
      </c>
      <c r="D242" s="33" t="s">
        <v>18</v>
      </c>
      <c r="E242" s="33" t="str">
        <f>IFERROR(IF(INDEX('de para abc'!$C:$C,MATCH($B242,'de para abc'!$A:$A,0))=0,"C",INDEX('de para abc'!$C:$C,MATCH($B242,'de para abc'!$A:$A,0))),IFERROR(IF(INDEX('de para abc'!$C:$C,MATCH($C242,'de para abc'!$B:$B,0))=0,"C",INDEX('de para abc'!$C:$C,MATCH($C242,'de para abc'!$B:$B,0))),"C"))</f>
        <v>C</v>
      </c>
      <c r="F242" s="46">
        <v>48</v>
      </c>
    </row>
    <row r="243" spans="1:6" x14ac:dyDescent="0.25">
      <c r="A243" s="45" t="s">
        <v>69</v>
      </c>
      <c r="B243" s="34">
        <v>1000544</v>
      </c>
      <c r="C243" s="32" t="s">
        <v>116</v>
      </c>
      <c r="D243" s="33" t="s">
        <v>18</v>
      </c>
      <c r="E243" s="33" t="str">
        <f>IFERROR(IF(INDEX('de para abc'!$C:$C,MATCH($B243,'de para abc'!$A:$A,0))=0,"C",INDEX('de para abc'!$C:$C,MATCH($B243,'de para abc'!$A:$A,0))),IFERROR(IF(INDEX('de para abc'!$C:$C,MATCH($C243,'de para abc'!$B:$B,0))=0,"C",INDEX('de para abc'!$C:$C,MATCH($C243,'de para abc'!$B:$B,0))),"C"))</f>
        <v>C</v>
      </c>
      <c r="F243" s="46">
        <v>0</v>
      </c>
    </row>
    <row r="244" spans="1:6" x14ac:dyDescent="0.25">
      <c r="A244" s="45" t="s">
        <v>69</v>
      </c>
      <c r="B244" s="34">
        <v>1001562</v>
      </c>
      <c r="C244" s="32" t="s">
        <v>44</v>
      </c>
      <c r="D244" s="33" t="s">
        <v>18</v>
      </c>
      <c r="E244" s="33" t="str">
        <f>IFERROR(IF(INDEX('de para abc'!$C:$C,MATCH($B244,'de para abc'!$A:$A,0))=0,"C",INDEX('de para abc'!$C:$C,MATCH($B244,'de para abc'!$A:$A,0))),IFERROR(IF(INDEX('de para abc'!$C:$C,MATCH($C244,'de para abc'!$B:$B,0))=0,"C",INDEX('de para abc'!$C:$C,MATCH($C244,'de para abc'!$B:$B,0))),"C"))</f>
        <v>C</v>
      </c>
      <c r="F244" s="46">
        <v>18</v>
      </c>
    </row>
    <row r="245" spans="1:6" x14ac:dyDescent="0.25">
      <c r="A245" s="45" t="s">
        <v>69</v>
      </c>
      <c r="B245" s="34">
        <v>1000366</v>
      </c>
      <c r="C245" s="32" t="s">
        <v>117</v>
      </c>
      <c r="D245" s="33" t="s">
        <v>18</v>
      </c>
      <c r="E245" s="33" t="str">
        <f>IFERROR(IF(INDEX('de para abc'!$C:$C,MATCH($B245,'de para abc'!$A:$A,0))=0,"C",INDEX('de para abc'!$C:$C,MATCH($B245,'de para abc'!$A:$A,0))),IFERROR(IF(INDEX('de para abc'!$C:$C,MATCH($C245,'de para abc'!$B:$B,0))=0,"C",INDEX('de para abc'!$C:$C,MATCH($C245,'de para abc'!$B:$B,0))),"C"))</f>
        <v>C</v>
      </c>
      <c r="F245" s="46">
        <v>0</v>
      </c>
    </row>
    <row r="246" spans="1:6" x14ac:dyDescent="0.25">
      <c r="A246" s="45" t="s">
        <v>69</v>
      </c>
      <c r="B246" s="34">
        <v>1000367</v>
      </c>
      <c r="C246" s="32" t="s">
        <v>124</v>
      </c>
      <c r="D246" s="33" t="s">
        <v>18</v>
      </c>
      <c r="E246" s="33" t="str">
        <f>IFERROR(IF(INDEX('de para abc'!$C:$C,MATCH($B246,'de para abc'!$A:$A,0))=0,"C",INDEX('de para abc'!$C:$C,MATCH($B246,'de para abc'!$A:$A,0))),IFERROR(IF(INDEX('de para abc'!$C:$C,MATCH($C246,'de para abc'!$B:$B,0))=0,"C",INDEX('de para abc'!$C:$C,MATCH($C246,'de para abc'!$B:$B,0))),"C"))</f>
        <v>C</v>
      </c>
      <c r="F246" s="46">
        <v>0</v>
      </c>
    </row>
    <row r="247" spans="1:6" x14ac:dyDescent="0.25">
      <c r="A247" s="45" t="s">
        <v>69</v>
      </c>
      <c r="B247" s="34">
        <v>1000997</v>
      </c>
      <c r="C247" s="32" t="s">
        <v>291</v>
      </c>
      <c r="D247" s="33" t="s">
        <v>10</v>
      </c>
      <c r="E247" s="33" t="str">
        <f>IFERROR(IF(INDEX('de para abc'!$C:$C,MATCH($B247,'de para abc'!$A:$A,0))=0,"C",INDEX('de para abc'!$C:$C,MATCH($B247,'de para abc'!$A:$A,0))),IFERROR(IF(INDEX('de para abc'!$C:$C,MATCH($C247,'de para abc'!$B:$B,0))=0,"C",INDEX('de para abc'!$C:$C,MATCH($C247,'de para abc'!$B:$B,0))),"C"))</f>
        <v>C</v>
      </c>
      <c r="F247" s="46">
        <v>40</v>
      </c>
    </row>
    <row r="248" spans="1:6" x14ac:dyDescent="0.25">
      <c r="A248" s="45" t="s">
        <v>69</v>
      </c>
      <c r="B248" s="34">
        <v>1000368</v>
      </c>
      <c r="C248" s="32" t="s">
        <v>186</v>
      </c>
      <c r="D248" s="33" t="s">
        <v>71</v>
      </c>
      <c r="E248" s="33" t="str">
        <f>IFERROR(IF(INDEX('de para abc'!$C:$C,MATCH($B248,'de para abc'!$A:$A,0))=0,"C",INDEX('de para abc'!$C:$C,MATCH($B248,'de para abc'!$A:$A,0))),IFERROR(IF(INDEX('de para abc'!$C:$C,MATCH($C248,'de para abc'!$B:$B,0))=0,"C",INDEX('de para abc'!$C:$C,MATCH($C248,'de para abc'!$B:$B,0))),"C"))</f>
        <v>C</v>
      </c>
      <c r="F248" s="46">
        <v>31</v>
      </c>
    </row>
    <row r="249" spans="1:6" x14ac:dyDescent="0.25">
      <c r="A249" s="45" t="s">
        <v>69</v>
      </c>
      <c r="B249" s="34">
        <v>1000879</v>
      </c>
      <c r="C249" s="32" t="s">
        <v>528</v>
      </c>
      <c r="D249" s="33" t="s">
        <v>18</v>
      </c>
      <c r="E249" s="33" t="str">
        <f>IFERROR(IF(INDEX('de para abc'!$C:$C,MATCH($B249,'de para abc'!$A:$A,0))=0,"C",INDEX('de para abc'!$C:$C,MATCH($B249,'de para abc'!$A:$A,0))),IFERROR(IF(INDEX('de para abc'!$C:$C,MATCH($C249,'de para abc'!$B:$B,0))=0,"C",INDEX('de para abc'!$C:$C,MATCH($C249,'de para abc'!$B:$B,0))),"C"))</f>
        <v>C</v>
      </c>
      <c r="F249" s="46">
        <v>21</v>
      </c>
    </row>
    <row r="250" spans="1:6" x14ac:dyDescent="0.25">
      <c r="A250" s="45" t="s">
        <v>69</v>
      </c>
      <c r="B250" s="34">
        <v>1000583</v>
      </c>
      <c r="C250" s="32" t="s">
        <v>121</v>
      </c>
      <c r="D250" s="33" t="s">
        <v>10</v>
      </c>
      <c r="E250" s="33" t="str">
        <f>IFERROR(IF(INDEX('de para abc'!$C:$C,MATCH($B250,'de para abc'!$A:$A,0))=0,"C",INDEX('de para abc'!$C:$C,MATCH($B250,'de para abc'!$A:$A,0))),IFERROR(IF(INDEX('de para abc'!$C:$C,MATCH($C250,'de para abc'!$B:$B,0))=0,"C",INDEX('de para abc'!$C:$C,MATCH($C250,'de para abc'!$B:$B,0))),"C"))</f>
        <v>C</v>
      </c>
      <c r="F250" s="46">
        <v>71</v>
      </c>
    </row>
    <row r="251" spans="1:6" x14ac:dyDescent="0.25">
      <c r="A251" s="45" t="s">
        <v>69</v>
      </c>
      <c r="B251" s="34">
        <v>1000995</v>
      </c>
      <c r="C251" s="32" t="s">
        <v>530</v>
      </c>
      <c r="D251" s="33" t="s">
        <v>10</v>
      </c>
      <c r="E251" s="33" t="str">
        <f>IFERROR(IF(INDEX('de para abc'!$C:$C,MATCH($B251,'de para abc'!$A:$A,0))=0,"C",INDEX('de para abc'!$C:$C,MATCH($B251,'de para abc'!$A:$A,0))),IFERROR(IF(INDEX('de para abc'!$C:$C,MATCH($C251,'de para abc'!$B:$B,0))=0,"C",INDEX('de para abc'!$C:$C,MATCH($C251,'de para abc'!$B:$B,0))),"C"))</f>
        <v>C</v>
      </c>
      <c r="F251" s="46">
        <v>38</v>
      </c>
    </row>
    <row r="252" spans="1:6" x14ac:dyDescent="0.25">
      <c r="A252" s="50" t="s">
        <v>69</v>
      </c>
      <c r="B252" s="51">
        <v>1001853</v>
      </c>
      <c r="C252" s="52" t="s">
        <v>531</v>
      </c>
      <c r="D252" s="53" t="s">
        <v>10</v>
      </c>
      <c r="E252" s="53" t="str">
        <f>IFERROR(IF(INDEX('de para abc'!$C:$C,MATCH($B252,'de para abc'!$A:$A,0))=0,"C",INDEX('de para abc'!$C:$C,MATCH($B252,'de para abc'!$A:$A,0))),IFERROR(IF(INDEX('de para abc'!$C:$C,MATCH($C252,'de para abc'!$B:$B,0))=0,"C",INDEX('de para abc'!$C:$C,MATCH($C252,'de para abc'!$B:$B,0))),"C"))</f>
        <v>C</v>
      </c>
      <c r="F252" s="54">
        <v>21</v>
      </c>
    </row>
    <row r="308" spans="5:5" x14ac:dyDescent="0.25">
      <c r="E308" s="14"/>
    </row>
    <row r="309" spans="5:5" x14ac:dyDescent="0.25">
      <c r="E309" s="14"/>
    </row>
    <row r="310" spans="5:5" x14ac:dyDescent="0.25">
      <c r="E310" s="14"/>
    </row>
    <row r="311" spans="5:5" x14ac:dyDescent="0.25">
      <c r="E311" s="14"/>
    </row>
    <row r="312" spans="5:5" x14ac:dyDescent="0.25">
      <c r="E312" s="14"/>
    </row>
    <row r="313" spans="5:5" x14ac:dyDescent="0.25">
      <c r="E313" s="14"/>
    </row>
    <row r="314" spans="5:5" x14ac:dyDescent="0.25">
      <c r="E314" s="14"/>
    </row>
    <row r="315" spans="5:5" x14ac:dyDescent="0.25">
      <c r="E315" s="14"/>
    </row>
    <row r="316" spans="5:5" x14ac:dyDescent="0.25">
      <c r="E316" s="14"/>
    </row>
    <row r="317" spans="5:5" x14ac:dyDescent="0.25">
      <c r="E317" s="14"/>
    </row>
    <row r="318" spans="5:5" x14ac:dyDescent="0.25">
      <c r="E318" s="14"/>
    </row>
    <row r="319" spans="5:5" x14ac:dyDescent="0.25">
      <c r="E319" s="14"/>
    </row>
    <row r="320" spans="5:5" x14ac:dyDescent="0.25">
      <c r="E320" s="14"/>
    </row>
    <row r="321" spans="5:5" x14ac:dyDescent="0.25">
      <c r="E321" s="14"/>
    </row>
    <row r="322" spans="5:5" x14ac:dyDescent="0.25">
      <c r="E322" s="14"/>
    </row>
    <row r="323" spans="5:5" x14ac:dyDescent="0.25">
      <c r="E323" s="14"/>
    </row>
    <row r="324" spans="5:5" x14ac:dyDescent="0.25">
      <c r="E324" s="14"/>
    </row>
    <row r="325" spans="5:5" x14ac:dyDescent="0.25">
      <c r="E325" s="14"/>
    </row>
    <row r="326" spans="5:5" x14ac:dyDescent="0.25">
      <c r="E326" s="14"/>
    </row>
    <row r="327" spans="5:5" x14ac:dyDescent="0.25">
      <c r="E327" s="14"/>
    </row>
    <row r="328" spans="5:5" x14ac:dyDescent="0.25">
      <c r="E328" s="14"/>
    </row>
    <row r="329" spans="5:5" x14ac:dyDescent="0.25">
      <c r="E329" s="14"/>
    </row>
    <row r="330" spans="5:5" x14ac:dyDescent="0.25">
      <c r="E330" s="14"/>
    </row>
    <row r="331" spans="5:5" x14ac:dyDescent="0.25">
      <c r="E331" s="14"/>
    </row>
    <row r="332" spans="5:5" x14ac:dyDescent="0.25">
      <c r="E332" s="14"/>
    </row>
    <row r="333" spans="5:5" x14ac:dyDescent="0.25">
      <c r="E333" s="14"/>
    </row>
    <row r="334" spans="5:5" x14ac:dyDescent="0.25">
      <c r="E334" s="14"/>
    </row>
    <row r="335" spans="5:5" x14ac:dyDescent="0.25">
      <c r="E335" s="14"/>
    </row>
    <row r="336" spans="5:5" x14ac:dyDescent="0.25">
      <c r="E336" s="14"/>
    </row>
    <row r="337" spans="5:5" x14ac:dyDescent="0.25">
      <c r="E337" s="14"/>
    </row>
    <row r="338" spans="5:5" x14ac:dyDescent="0.25">
      <c r="E338" s="14"/>
    </row>
    <row r="339" spans="5:5" x14ac:dyDescent="0.25">
      <c r="E339" s="14"/>
    </row>
    <row r="340" spans="5:5" x14ac:dyDescent="0.25">
      <c r="E340" s="14"/>
    </row>
    <row r="341" spans="5:5" x14ac:dyDescent="0.25">
      <c r="E341" s="14"/>
    </row>
    <row r="342" spans="5:5" x14ac:dyDescent="0.25">
      <c r="E342" s="14"/>
    </row>
    <row r="343" spans="5:5" x14ac:dyDescent="0.25">
      <c r="E343" s="14"/>
    </row>
    <row r="344" spans="5:5" x14ac:dyDescent="0.25">
      <c r="E344" s="14"/>
    </row>
    <row r="345" spans="5:5" x14ac:dyDescent="0.25">
      <c r="E345" s="14"/>
    </row>
    <row r="346" spans="5:5" x14ac:dyDescent="0.25">
      <c r="E346" s="14"/>
    </row>
    <row r="347" spans="5:5" x14ac:dyDescent="0.25">
      <c r="E347" s="14"/>
    </row>
    <row r="348" spans="5:5" x14ac:dyDescent="0.25">
      <c r="E348" s="14"/>
    </row>
    <row r="349" spans="5:5" x14ac:dyDescent="0.25">
      <c r="E349" s="14"/>
    </row>
    <row r="350" spans="5:5" x14ac:dyDescent="0.25">
      <c r="E350" s="14"/>
    </row>
    <row r="351" spans="5:5" x14ac:dyDescent="0.25">
      <c r="E351" s="14"/>
    </row>
    <row r="352" spans="5:5" x14ac:dyDescent="0.25">
      <c r="E352" s="14"/>
    </row>
    <row r="353" spans="5:5" x14ac:dyDescent="0.25">
      <c r="E353" s="14"/>
    </row>
    <row r="354" spans="5:5" x14ac:dyDescent="0.25">
      <c r="E354" s="14"/>
    </row>
    <row r="355" spans="5:5" x14ac:dyDescent="0.25">
      <c r="E355" s="14"/>
    </row>
    <row r="356" spans="5:5" x14ac:dyDescent="0.25">
      <c r="E356" s="14"/>
    </row>
    <row r="357" spans="5:5" x14ac:dyDescent="0.25">
      <c r="E357" s="14"/>
    </row>
    <row r="358" spans="5:5" x14ac:dyDescent="0.25">
      <c r="E358" s="14"/>
    </row>
    <row r="359" spans="5:5" x14ac:dyDescent="0.25">
      <c r="E359" s="14"/>
    </row>
    <row r="360" spans="5:5" x14ac:dyDescent="0.25">
      <c r="E360" s="14"/>
    </row>
    <row r="361" spans="5:5" x14ac:dyDescent="0.25">
      <c r="E361" s="14"/>
    </row>
    <row r="362" spans="5:5" x14ac:dyDescent="0.25">
      <c r="E362" s="14"/>
    </row>
    <row r="363" spans="5:5" x14ac:dyDescent="0.25">
      <c r="E363" s="14"/>
    </row>
    <row r="364" spans="5:5" x14ac:dyDescent="0.25">
      <c r="E364" s="14"/>
    </row>
    <row r="365" spans="5:5" x14ac:dyDescent="0.25">
      <c r="E365" s="14"/>
    </row>
    <row r="366" spans="5:5" x14ac:dyDescent="0.25">
      <c r="E366" s="14"/>
    </row>
    <row r="367" spans="5:5" x14ac:dyDescent="0.25">
      <c r="E367" s="14"/>
    </row>
    <row r="368" spans="5:5" x14ac:dyDescent="0.25">
      <c r="E368" s="14"/>
    </row>
    <row r="369" spans="5:5" x14ac:dyDescent="0.25">
      <c r="E369" s="14"/>
    </row>
    <row r="370" spans="5:5" x14ac:dyDescent="0.25">
      <c r="E370" s="14"/>
    </row>
    <row r="371" spans="5:5" x14ac:dyDescent="0.25">
      <c r="E371" s="14"/>
    </row>
    <row r="372" spans="5:5" x14ac:dyDescent="0.25">
      <c r="E372" s="14"/>
    </row>
    <row r="373" spans="5:5" x14ac:dyDescent="0.25">
      <c r="E373" s="14"/>
    </row>
    <row r="374" spans="5:5" x14ac:dyDescent="0.25">
      <c r="E374" s="14"/>
    </row>
    <row r="375" spans="5:5" x14ac:dyDescent="0.25">
      <c r="E375" s="14"/>
    </row>
    <row r="376" spans="5:5" x14ac:dyDescent="0.25">
      <c r="E376" s="14"/>
    </row>
    <row r="377" spans="5:5" x14ac:dyDescent="0.25">
      <c r="E377" s="14"/>
    </row>
    <row r="378" spans="5:5" x14ac:dyDescent="0.25">
      <c r="E378" s="14"/>
    </row>
    <row r="379" spans="5:5" x14ac:dyDescent="0.25">
      <c r="E379" s="14"/>
    </row>
    <row r="380" spans="5:5" x14ac:dyDescent="0.25">
      <c r="E380" s="14"/>
    </row>
    <row r="381" spans="5:5" x14ac:dyDescent="0.25">
      <c r="E381" s="14"/>
    </row>
    <row r="382" spans="5:5" x14ac:dyDescent="0.25">
      <c r="E382" s="14"/>
    </row>
    <row r="383" spans="5:5" x14ac:dyDescent="0.25">
      <c r="E383" s="14"/>
    </row>
    <row r="384" spans="5:5" x14ac:dyDescent="0.25">
      <c r="E384" s="14"/>
    </row>
    <row r="385" spans="5:5" x14ac:dyDescent="0.25">
      <c r="E385" s="14"/>
    </row>
    <row r="386" spans="5:5" x14ac:dyDescent="0.25">
      <c r="E386" s="14"/>
    </row>
    <row r="387" spans="5:5" x14ac:dyDescent="0.25">
      <c r="E387" s="14"/>
    </row>
    <row r="388" spans="5:5" x14ac:dyDescent="0.25">
      <c r="E388" s="14"/>
    </row>
    <row r="389" spans="5:5" x14ac:dyDescent="0.25">
      <c r="E389" s="14"/>
    </row>
    <row r="390" spans="5:5" x14ac:dyDescent="0.25">
      <c r="E390" s="14"/>
    </row>
    <row r="391" spans="5:5" x14ac:dyDescent="0.25">
      <c r="E391" s="14"/>
    </row>
    <row r="392" spans="5:5" x14ac:dyDescent="0.25">
      <c r="E392" s="14"/>
    </row>
    <row r="393" spans="5:5" x14ac:dyDescent="0.25">
      <c r="E393" s="14"/>
    </row>
    <row r="394" spans="5:5" x14ac:dyDescent="0.25">
      <c r="E394" s="14"/>
    </row>
    <row r="395" spans="5:5" x14ac:dyDescent="0.25">
      <c r="E395" s="14"/>
    </row>
    <row r="396" spans="5:5" x14ac:dyDescent="0.25">
      <c r="E396" s="14"/>
    </row>
    <row r="397" spans="5:5" x14ac:dyDescent="0.25">
      <c r="E397" s="14"/>
    </row>
    <row r="398" spans="5:5" x14ac:dyDescent="0.25">
      <c r="E398" s="14"/>
    </row>
    <row r="399" spans="5:5" x14ac:dyDescent="0.25">
      <c r="E399" s="14"/>
    </row>
    <row r="400" spans="5:5" x14ac:dyDescent="0.25">
      <c r="E400" s="14"/>
    </row>
    <row r="401" spans="5:5" x14ac:dyDescent="0.25">
      <c r="E401" s="14"/>
    </row>
    <row r="402" spans="5:5" x14ac:dyDescent="0.25">
      <c r="E402" s="14"/>
    </row>
    <row r="403" spans="5:5" x14ac:dyDescent="0.25">
      <c r="E403" s="14"/>
    </row>
    <row r="404" spans="5:5" x14ac:dyDescent="0.25">
      <c r="E404" s="14"/>
    </row>
    <row r="405" spans="5:5" x14ac:dyDescent="0.25">
      <c r="E405" s="14"/>
    </row>
    <row r="406" spans="5:5" x14ac:dyDescent="0.25">
      <c r="E406" s="14"/>
    </row>
    <row r="407" spans="5:5" x14ac:dyDescent="0.25">
      <c r="E407" s="14"/>
    </row>
    <row r="408" spans="5:5" x14ac:dyDescent="0.25">
      <c r="E408" s="14"/>
    </row>
    <row r="409" spans="5:5" x14ac:dyDescent="0.25">
      <c r="E409" s="14"/>
    </row>
    <row r="410" spans="5:5" x14ac:dyDescent="0.25">
      <c r="E410" s="14"/>
    </row>
    <row r="411" spans="5:5" x14ac:dyDescent="0.25">
      <c r="E411" s="14"/>
    </row>
    <row r="412" spans="5:5" x14ac:dyDescent="0.25">
      <c r="E412" s="14"/>
    </row>
    <row r="413" spans="5:5" x14ac:dyDescent="0.25">
      <c r="E413" s="14"/>
    </row>
    <row r="414" spans="5:5" x14ac:dyDescent="0.25">
      <c r="E414" s="14"/>
    </row>
    <row r="415" spans="5:5" x14ac:dyDescent="0.25">
      <c r="E415" s="14"/>
    </row>
    <row r="416" spans="5:5" x14ac:dyDescent="0.25">
      <c r="E416" s="14"/>
    </row>
    <row r="417" spans="5:5" x14ac:dyDescent="0.25">
      <c r="E417" s="14"/>
    </row>
    <row r="418" spans="5:5" x14ac:dyDescent="0.25">
      <c r="E418" s="14"/>
    </row>
    <row r="419" spans="5:5" x14ac:dyDescent="0.25">
      <c r="E419" s="14"/>
    </row>
    <row r="420" spans="5:5" x14ac:dyDescent="0.25">
      <c r="E420" s="14"/>
    </row>
    <row r="421" spans="5:5" x14ac:dyDescent="0.25">
      <c r="E421" s="14"/>
    </row>
    <row r="422" spans="5:5" x14ac:dyDescent="0.25">
      <c r="E422" s="14"/>
    </row>
    <row r="423" spans="5:5" x14ac:dyDescent="0.25">
      <c r="E423" s="14"/>
    </row>
    <row r="424" spans="5:5" x14ac:dyDescent="0.25">
      <c r="E424" s="14"/>
    </row>
    <row r="425" spans="5:5" x14ac:dyDescent="0.25">
      <c r="E425" s="14"/>
    </row>
    <row r="426" spans="5:5" x14ac:dyDescent="0.25">
      <c r="E426" s="14"/>
    </row>
    <row r="427" spans="5:5" x14ac:dyDescent="0.25">
      <c r="E427" s="14"/>
    </row>
    <row r="428" spans="5:5" x14ac:dyDescent="0.25">
      <c r="E428" s="14"/>
    </row>
    <row r="429" spans="5:5" x14ac:dyDescent="0.25">
      <c r="E429" s="14"/>
    </row>
    <row r="430" spans="5:5" x14ac:dyDescent="0.25">
      <c r="E430" s="14"/>
    </row>
    <row r="431" spans="5:5" x14ac:dyDescent="0.25">
      <c r="E431" s="14"/>
    </row>
    <row r="432" spans="5:5" x14ac:dyDescent="0.25">
      <c r="E432" s="14"/>
    </row>
    <row r="433" spans="5:5" x14ac:dyDescent="0.25">
      <c r="E433" s="14"/>
    </row>
    <row r="434" spans="5:5" x14ac:dyDescent="0.25">
      <c r="E434" s="14"/>
    </row>
    <row r="435" spans="5:5" x14ac:dyDescent="0.25">
      <c r="E435" s="14"/>
    </row>
    <row r="436" spans="5:5" x14ac:dyDescent="0.25">
      <c r="E436" s="14"/>
    </row>
    <row r="437" spans="5:5" x14ac:dyDescent="0.25">
      <c r="E437" s="14"/>
    </row>
    <row r="438" spans="5:5" x14ac:dyDescent="0.25">
      <c r="E438" s="14"/>
    </row>
    <row r="439" spans="5:5" x14ac:dyDescent="0.25">
      <c r="E439" s="14"/>
    </row>
    <row r="440" spans="5:5" x14ac:dyDescent="0.25">
      <c r="E440" s="14"/>
    </row>
    <row r="441" spans="5:5" x14ac:dyDescent="0.25">
      <c r="E441" s="14"/>
    </row>
    <row r="442" spans="5:5" x14ac:dyDescent="0.25">
      <c r="E442" s="14"/>
    </row>
    <row r="443" spans="5:5" x14ac:dyDescent="0.25">
      <c r="E443" s="14"/>
    </row>
    <row r="444" spans="5:5" x14ac:dyDescent="0.25">
      <c r="E444" s="14"/>
    </row>
    <row r="445" spans="5:5" x14ac:dyDescent="0.25">
      <c r="E445" s="14"/>
    </row>
    <row r="446" spans="5:5" x14ac:dyDescent="0.25">
      <c r="E446" s="14"/>
    </row>
    <row r="447" spans="5:5" x14ac:dyDescent="0.25">
      <c r="E447" s="14"/>
    </row>
    <row r="448" spans="5:5" x14ac:dyDescent="0.25">
      <c r="E448" s="14"/>
    </row>
    <row r="449" spans="5:5" x14ac:dyDescent="0.25">
      <c r="E449" s="14"/>
    </row>
    <row r="450" spans="5:5" x14ac:dyDescent="0.25">
      <c r="E450" s="14"/>
    </row>
    <row r="451" spans="5:5" x14ac:dyDescent="0.25">
      <c r="E451" s="14"/>
    </row>
    <row r="452" spans="5:5" x14ac:dyDescent="0.25">
      <c r="E452" s="14"/>
    </row>
    <row r="453" spans="5:5" x14ac:dyDescent="0.25">
      <c r="E453" s="14"/>
    </row>
    <row r="454" spans="5:5" x14ac:dyDescent="0.25">
      <c r="E454" s="14"/>
    </row>
    <row r="455" spans="5:5" x14ac:dyDescent="0.25">
      <c r="E455" s="14"/>
    </row>
    <row r="456" spans="5:5" x14ac:dyDescent="0.25">
      <c r="E456" s="14"/>
    </row>
    <row r="457" spans="5:5" x14ac:dyDescent="0.25">
      <c r="E457" s="14"/>
    </row>
    <row r="458" spans="5:5" x14ac:dyDescent="0.25">
      <c r="E458" s="14"/>
    </row>
    <row r="459" spans="5:5" x14ac:dyDescent="0.25">
      <c r="E459" s="14"/>
    </row>
    <row r="460" spans="5:5" x14ac:dyDescent="0.25">
      <c r="E460" s="14"/>
    </row>
    <row r="461" spans="5:5" x14ac:dyDescent="0.25">
      <c r="E461" s="14"/>
    </row>
    <row r="462" spans="5:5" x14ac:dyDescent="0.25">
      <c r="E462" s="14"/>
    </row>
    <row r="463" spans="5:5" x14ac:dyDescent="0.25">
      <c r="E463" s="14"/>
    </row>
    <row r="464" spans="5:5" x14ac:dyDescent="0.25">
      <c r="E464" s="14"/>
    </row>
    <row r="465" spans="5:5" x14ac:dyDescent="0.25">
      <c r="E465" s="14"/>
    </row>
    <row r="466" spans="5:5" x14ac:dyDescent="0.25">
      <c r="E466" s="14"/>
    </row>
    <row r="467" spans="5:5" x14ac:dyDescent="0.25">
      <c r="E467" s="14"/>
    </row>
    <row r="468" spans="5:5" x14ac:dyDescent="0.25">
      <c r="E468" s="14"/>
    </row>
    <row r="469" spans="5:5" x14ac:dyDescent="0.25">
      <c r="E469" s="14"/>
    </row>
    <row r="470" spans="5:5" x14ac:dyDescent="0.25">
      <c r="E470" s="14"/>
    </row>
    <row r="471" spans="5:5" x14ac:dyDescent="0.25">
      <c r="E471" s="14"/>
    </row>
    <row r="472" spans="5:5" x14ac:dyDescent="0.25">
      <c r="E472" s="14"/>
    </row>
    <row r="473" spans="5:5" x14ac:dyDescent="0.25">
      <c r="E473" s="14"/>
    </row>
    <row r="474" spans="5:5" x14ac:dyDescent="0.25">
      <c r="E474" s="14"/>
    </row>
    <row r="475" spans="5:5" x14ac:dyDescent="0.25">
      <c r="E475" s="14"/>
    </row>
    <row r="476" spans="5:5" x14ac:dyDescent="0.25">
      <c r="E476" s="14"/>
    </row>
    <row r="477" spans="5:5" x14ac:dyDescent="0.25">
      <c r="E477" s="14"/>
    </row>
    <row r="478" spans="5:5" x14ac:dyDescent="0.25">
      <c r="E478" s="14"/>
    </row>
    <row r="479" spans="5:5" x14ac:dyDescent="0.25">
      <c r="E479" s="14"/>
    </row>
    <row r="480" spans="5:5" x14ac:dyDescent="0.25">
      <c r="E480" s="14"/>
    </row>
    <row r="481" spans="5:5" x14ac:dyDescent="0.25">
      <c r="E481" s="14"/>
    </row>
    <row r="482" spans="5:5" x14ac:dyDescent="0.25">
      <c r="E482" s="14"/>
    </row>
    <row r="483" spans="5:5" x14ac:dyDescent="0.25">
      <c r="E483" s="14"/>
    </row>
    <row r="484" spans="5:5" x14ac:dyDescent="0.25">
      <c r="E484" s="14"/>
    </row>
    <row r="485" spans="5:5" x14ac:dyDescent="0.25">
      <c r="E485" s="14"/>
    </row>
    <row r="486" spans="5:5" x14ac:dyDescent="0.25">
      <c r="E486" s="14"/>
    </row>
    <row r="487" spans="5:5" x14ac:dyDescent="0.25">
      <c r="E487" s="14"/>
    </row>
    <row r="488" spans="5:5" x14ac:dyDescent="0.25">
      <c r="E488" s="14"/>
    </row>
    <row r="489" spans="5:5" x14ac:dyDescent="0.25">
      <c r="E489" s="14"/>
    </row>
    <row r="490" spans="5:5" x14ac:dyDescent="0.25">
      <c r="E490" s="14"/>
    </row>
    <row r="491" spans="5:5" x14ac:dyDescent="0.25">
      <c r="E491" s="14"/>
    </row>
    <row r="492" spans="5:5" x14ac:dyDescent="0.25">
      <c r="E492" s="14"/>
    </row>
    <row r="493" spans="5:5" x14ac:dyDescent="0.25">
      <c r="E493" s="14"/>
    </row>
    <row r="494" spans="5:5" x14ac:dyDescent="0.25">
      <c r="E494" s="14"/>
    </row>
    <row r="495" spans="5:5" x14ac:dyDescent="0.25">
      <c r="E495" s="14"/>
    </row>
    <row r="496" spans="5:5" x14ac:dyDescent="0.25">
      <c r="E496" s="14"/>
    </row>
    <row r="497" spans="5:5" x14ac:dyDescent="0.25">
      <c r="E497" s="14"/>
    </row>
    <row r="498" spans="5:5" x14ac:dyDescent="0.25">
      <c r="E498" s="14"/>
    </row>
    <row r="499" spans="5:5" x14ac:dyDescent="0.25">
      <c r="E499" s="14"/>
    </row>
    <row r="500" spans="5:5" x14ac:dyDescent="0.25">
      <c r="E500" s="14"/>
    </row>
    <row r="501" spans="5:5" x14ac:dyDescent="0.25">
      <c r="E501" s="14"/>
    </row>
    <row r="502" spans="5:5" x14ac:dyDescent="0.25">
      <c r="E502" s="14"/>
    </row>
    <row r="503" spans="5:5" x14ac:dyDescent="0.25">
      <c r="E503" s="14"/>
    </row>
    <row r="504" spans="5:5" x14ac:dyDescent="0.25">
      <c r="E504" s="14"/>
    </row>
    <row r="505" spans="5:5" x14ac:dyDescent="0.25">
      <c r="E505" s="14"/>
    </row>
    <row r="506" spans="5:5" x14ac:dyDescent="0.25">
      <c r="E506" s="14"/>
    </row>
    <row r="507" spans="5:5" x14ac:dyDescent="0.25">
      <c r="E507" s="14"/>
    </row>
    <row r="508" spans="5:5" x14ac:dyDescent="0.25">
      <c r="E508" s="14"/>
    </row>
    <row r="509" spans="5:5" x14ac:dyDescent="0.25">
      <c r="E509" s="14"/>
    </row>
    <row r="510" spans="5:5" x14ac:dyDescent="0.25">
      <c r="E510" s="14"/>
    </row>
    <row r="511" spans="5:5" x14ac:dyDescent="0.25">
      <c r="E511" s="14"/>
    </row>
    <row r="512" spans="5:5" x14ac:dyDescent="0.25">
      <c r="E512" s="14"/>
    </row>
    <row r="513" spans="5:5" x14ac:dyDescent="0.25">
      <c r="E513" s="14"/>
    </row>
    <row r="514" spans="5:5" x14ac:dyDescent="0.25">
      <c r="E514" s="14"/>
    </row>
    <row r="515" spans="5:5" x14ac:dyDescent="0.25">
      <c r="E515" s="14"/>
    </row>
    <row r="516" spans="5:5" x14ac:dyDescent="0.25">
      <c r="E516" s="14"/>
    </row>
    <row r="517" spans="5:5" x14ac:dyDescent="0.25">
      <c r="E517" s="14"/>
    </row>
    <row r="518" spans="5:5" x14ac:dyDescent="0.25">
      <c r="E518" s="14"/>
    </row>
    <row r="519" spans="5:5" x14ac:dyDescent="0.25">
      <c r="E519" s="14"/>
    </row>
    <row r="520" spans="5:5" x14ac:dyDescent="0.25">
      <c r="E520" s="14"/>
    </row>
    <row r="521" spans="5:5" x14ac:dyDescent="0.25">
      <c r="E521" s="14"/>
    </row>
    <row r="522" spans="5:5" x14ac:dyDescent="0.25">
      <c r="E522" s="14"/>
    </row>
    <row r="523" spans="5:5" x14ac:dyDescent="0.25">
      <c r="E523" s="14"/>
    </row>
    <row r="524" spans="5:5" x14ac:dyDescent="0.25">
      <c r="E524" s="14"/>
    </row>
    <row r="525" spans="5:5" x14ac:dyDescent="0.25">
      <c r="E525" s="14"/>
    </row>
    <row r="526" spans="5:5" x14ac:dyDescent="0.25">
      <c r="E526" s="14"/>
    </row>
    <row r="527" spans="5:5" x14ac:dyDescent="0.25">
      <c r="E527" s="14"/>
    </row>
    <row r="528" spans="5:5" x14ac:dyDescent="0.25">
      <c r="E528" s="14"/>
    </row>
    <row r="529" spans="5:5" x14ac:dyDescent="0.25">
      <c r="E529" s="14"/>
    </row>
    <row r="530" spans="5:5" x14ac:dyDescent="0.25">
      <c r="E530" s="14"/>
    </row>
    <row r="531" spans="5:5" x14ac:dyDescent="0.25">
      <c r="E531" s="14"/>
    </row>
    <row r="532" spans="5:5" x14ac:dyDescent="0.25">
      <c r="E532" s="14"/>
    </row>
    <row r="533" spans="5:5" x14ac:dyDescent="0.25">
      <c r="E533" s="14"/>
    </row>
    <row r="534" spans="5:5" x14ac:dyDescent="0.25">
      <c r="E534" s="14"/>
    </row>
    <row r="535" spans="5:5" x14ac:dyDescent="0.25">
      <c r="E535" s="14"/>
    </row>
    <row r="536" spans="5:5" x14ac:dyDescent="0.25">
      <c r="E536" s="14"/>
    </row>
    <row r="537" spans="5:5" x14ac:dyDescent="0.25">
      <c r="E537" s="14"/>
    </row>
    <row r="538" spans="5:5" x14ac:dyDescent="0.25">
      <c r="E538" s="14"/>
    </row>
    <row r="539" spans="5:5" x14ac:dyDescent="0.25">
      <c r="E539" s="14"/>
    </row>
    <row r="540" spans="5:5" x14ac:dyDescent="0.25">
      <c r="E540" s="14"/>
    </row>
    <row r="541" spans="5:5" x14ac:dyDescent="0.25">
      <c r="E541" s="14"/>
    </row>
    <row r="542" spans="5:5" x14ac:dyDescent="0.25">
      <c r="E542" s="14"/>
    </row>
    <row r="543" spans="5:5" x14ac:dyDescent="0.25">
      <c r="E543" s="14"/>
    </row>
    <row r="544" spans="5:5" x14ac:dyDescent="0.25">
      <c r="E544" s="14"/>
    </row>
    <row r="545" spans="5:5" x14ac:dyDescent="0.25">
      <c r="E545" s="14"/>
    </row>
    <row r="546" spans="5:5" x14ac:dyDescent="0.25">
      <c r="E546" s="14"/>
    </row>
    <row r="547" spans="5:5" x14ac:dyDescent="0.25">
      <c r="E547" s="14"/>
    </row>
    <row r="548" spans="5:5" x14ac:dyDescent="0.25">
      <c r="E548" s="14"/>
    </row>
    <row r="549" spans="5:5" x14ac:dyDescent="0.25">
      <c r="E549" s="14"/>
    </row>
    <row r="550" spans="5:5" x14ac:dyDescent="0.25">
      <c r="E550" s="14"/>
    </row>
    <row r="551" spans="5:5" x14ac:dyDescent="0.25">
      <c r="E551" s="14"/>
    </row>
    <row r="552" spans="5:5" x14ac:dyDescent="0.25">
      <c r="E552" s="14"/>
    </row>
    <row r="553" spans="5:5" x14ac:dyDescent="0.25">
      <c r="E553" s="14"/>
    </row>
    <row r="554" spans="5:5" x14ac:dyDescent="0.25">
      <c r="E554" s="14"/>
    </row>
    <row r="555" spans="5:5" x14ac:dyDescent="0.25">
      <c r="E555" s="14"/>
    </row>
    <row r="556" spans="5:5" x14ac:dyDescent="0.25">
      <c r="E556" s="14"/>
    </row>
    <row r="557" spans="5:5" x14ac:dyDescent="0.25">
      <c r="E557" s="14"/>
    </row>
    <row r="558" spans="5:5" x14ac:dyDescent="0.25">
      <c r="E558" s="14"/>
    </row>
    <row r="559" spans="5:5" x14ac:dyDescent="0.25">
      <c r="E559" s="14"/>
    </row>
    <row r="560" spans="5:5" x14ac:dyDescent="0.25">
      <c r="E560" s="14"/>
    </row>
    <row r="561" spans="5:5" x14ac:dyDescent="0.25">
      <c r="E561" s="14"/>
    </row>
    <row r="562" spans="5:5" x14ac:dyDescent="0.25">
      <c r="E562" s="14"/>
    </row>
    <row r="563" spans="5:5" x14ac:dyDescent="0.25">
      <c r="E563" s="14"/>
    </row>
    <row r="564" spans="5:5" x14ac:dyDescent="0.25">
      <c r="E564" s="14"/>
    </row>
    <row r="565" spans="5:5" x14ac:dyDescent="0.25">
      <c r="E565" s="14"/>
    </row>
    <row r="566" spans="5:5" x14ac:dyDescent="0.25">
      <c r="E566" s="14"/>
    </row>
    <row r="567" spans="5:5" x14ac:dyDescent="0.25">
      <c r="E567" s="14"/>
    </row>
    <row r="568" spans="5:5" x14ac:dyDescent="0.25">
      <c r="E568" s="14"/>
    </row>
    <row r="569" spans="5:5" x14ac:dyDescent="0.25">
      <c r="E569" s="14"/>
    </row>
    <row r="570" spans="5:5" x14ac:dyDescent="0.25">
      <c r="E570" s="14"/>
    </row>
    <row r="571" spans="5:5" x14ac:dyDescent="0.25">
      <c r="E571" s="14"/>
    </row>
    <row r="572" spans="5:5" x14ac:dyDescent="0.25">
      <c r="E572" s="14"/>
    </row>
    <row r="573" spans="5:5" x14ac:dyDescent="0.25">
      <c r="E573" s="14"/>
    </row>
    <row r="574" spans="5:5" x14ac:dyDescent="0.25">
      <c r="E574" s="14"/>
    </row>
    <row r="575" spans="5:5" x14ac:dyDescent="0.25">
      <c r="E575" s="14"/>
    </row>
    <row r="576" spans="5:5" x14ac:dyDescent="0.25">
      <c r="E576" s="14"/>
    </row>
    <row r="577" spans="5:5" x14ac:dyDescent="0.25">
      <c r="E577" s="14"/>
    </row>
    <row r="578" spans="5:5" x14ac:dyDescent="0.25">
      <c r="E578" s="14"/>
    </row>
    <row r="579" spans="5:5" x14ac:dyDescent="0.25">
      <c r="E579" s="14"/>
    </row>
    <row r="580" spans="5:5" x14ac:dyDescent="0.25">
      <c r="E580" s="14"/>
    </row>
    <row r="581" spans="5:5" x14ac:dyDescent="0.25">
      <c r="E581" s="14"/>
    </row>
    <row r="582" spans="5:5" x14ac:dyDescent="0.25">
      <c r="E582" s="14"/>
    </row>
    <row r="583" spans="5:5" x14ac:dyDescent="0.25">
      <c r="E583" s="14"/>
    </row>
    <row r="584" spans="5:5" x14ac:dyDescent="0.25">
      <c r="E584" s="14"/>
    </row>
    <row r="585" spans="5:5" x14ac:dyDescent="0.25">
      <c r="E585" s="14"/>
    </row>
    <row r="586" spans="5:5" x14ac:dyDescent="0.25">
      <c r="E586" s="14"/>
    </row>
    <row r="587" spans="5:5" x14ac:dyDescent="0.25">
      <c r="E587" s="14"/>
    </row>
    <row r="588" spans="5:5" x14ac:dyDescent="0.25">
      <c r="E588" s="14"/>
    </row>
    <row r="589" spans="5:5" x14ac:dyDescent="0.25">
      <c r="E589" s="14"/>
    </row>
    <row r="590" spans="5:5" x14ac:dyDescent="0.25">
      <c r="E590" s="14"/>
    </row>
    <row r="591" spans="5:5" x14ac:dyDescent="0.25">
      <c r="E591" s="14"/>
    </row>
    <row r="592" spans="5:5" x14ac:dyDescent="0.25">
      <c r="E592" s="14"/>
    </row>
    <row r="593" spans="5:5" x14ac:dyDescent="0.25">
      <c r="E593" s="14"/>
    </row>
    <row r="594" spans="5:5" x14ac:dyDescent="0.25">
      <c r="E594" s="14"/>
    </row>
    <row r="595" spans="5:5" x14ac:dyDescent="0.25">
      <c r="E595" s="14"/>
    </row>
    <row r="596" spans="5:5" x14ac:dyDescent="0.25">
      <c r="E596" s="14"/>
    </row>
    <row r="597" spans="5:5" x14ac:dyDescent="0.25">
      <c r="E597" s="14"/>
    </row>
    <row r="598" spans="5:5" x14ac:dyDescent="0.25">
      <c r="E598" s="14"/>
    </row>
    <row r="599" spans="5:5" x14ac:dyDescent="0.25">
      <c r="E599" s="14"/>
    </row>
    <row r="600" spans="5:5" x14ac:dyDescent="0.25">
      <c r="E600" s="14"/>
    </row>
    <row r="601" spans="5:5" x14ac:dyDescent="0.25">
      <c r="E601" s="14"/>
    </row>
    <row r="602" spans="5:5" x14ac:dyDescent="0.25">
      <c r="E602" s="14"/>
    </row>
    <row r="603" spans="5:5" x14ac:dyDescent="0.25">
      <c r="E603" s="14"/>
    </row>
    <row r="604" spans="5:5" x14ac:dyDescent="0.25">
      <c r="E604" s="14"/>
    </row>
    <row r="605" spans="5:5" x14ac:dyDescent="0.25">
      <c r="E605" s="14"/>
    </row>
    <row r="606" spans="5:5" x14ac:dyDescent="0.25">
      <c r="E606" s="14"/>
    </row>
    <row r="607" spans="5:5" x14ac:dyDescent="0.25">
      <c r="E607" s="14"/>
    </row>
    <row r="608" spans="5:5" x14ac:dyDescent="0.25">
      <c r="E608" s="14"/>
    </row>
    <row r="609" spans="5:5" x14ac:dyDescent="0.25">
      <c r="E609" s="14"/>
    </row>
    <row r="610" spans="5:5" x14ac:dyDescent="0.25">
      <c r="E610" s="14"/>
    </row>
    <row r="611" spans="5:5" x14ac:dyDescent="0.25">
      <c r="E611" s="14"/>
    </row>
    <row r="612" spans="5:5" x14ac:dyDescent="0.25">
      <c r="E612" s="14"/>
    </row>
    <row r="613" spans="5:5" x14ac:dyDescent="0.25">
      <c r="E613" s="14"/>
    </row>
    <row r="614" spans="5:5" x14ac:dyDescent="0.25">
      <c r="E614" s="14"/>
    </row>
    <row r="615" spans="5:5" x14ac:dyDescent="0.25">
      <c r="E615" s="14"/>
    </row>
    <row r="616" spans="5:5" x14ac:dyDescent="0.25">
      <c r="E616" s="14"/>
    </row>
    <row r="617" spans="5:5" x14ac:dyDescent="0.25">
      <c r="E617" s="14"/>
    </row>
    <row r="618" spans="5:5" x14ac:dyDescent="0.25">
      <c r="E618" s="14"/>
    </row>
    <row r="619" spans="5:5" x14ac:dyDescent="0.25">
      <c r="E619" s="14"/>
    </row>
    <row r="620" spans="5:5" x14ac:dyDescent="0.25">
      <c r="E620" s="14"/>
    </row>
    <row r="621" spans="5:5" x14ac:dyDescent="0.25">
      <c r="E621" s="14"/>
    </row>
    <row r="622" spans="5:5" x14ac:dyDescent="0.25">
      <c r="E622" s="14"/>
    </row>
    <row r="623" spans="5:5" x14ac:dyDescent="0.25">
      <c r="E623" s="14"/>
    </row>
    <row r="624" spans="5:5" x14ac:dyDescent="0.25">
      <c r="E624" s="14"/>
    </row>
    <row r="625" spans="5:5" x14ac:dyDescent="0.25">
      <c r="E625" s="14"/>
    </row>
    <row r="626" spans="5:5" x14ac:dyDescent="0.25">
      <c r="E626" s="14"/>
    </row>
    <row r="627" spans="5:5" x14ac:dyDescent="0.25">
      <c r="E627" s="14"/>
    </row>
    <row r="628" spans="5:5" x14ac:dyDescent="0.25">
      <c r="E628" s="14"/>
    </row>
    <row r="629" spans="5:5" x14ac:dyDescent="0.25">
      <c r="E629" s="14"/>
    </row>
    <row r="630" spans="5:5" x14ac:dyDescent="0.25">
      <c r="E630" s="14"/>
    </row>
    <row r="631" spans="5:5" x14ac:dyDescent="0.25">
      <c r="E631" s="14"/>
    </row>
    <row r="632" spans="5:5" x14ac:dyDescent="0.25">
      <c r="E632" s="14"/>
    </row>
    <row r="633" spans="5:5" x14ac:dyDescent="0.25">
      <c r="E633" s="14"/>
    </row>
    <row r="634" spans="5:5" x14ac:dyDescent="0.25">
      <c r="E634" s="14"/>
    </row>
    <row r="635" spans="5:5" x14ac:dyDescent="0.25">
      <c r="E635" s="14"/>
    </row>
    <row r="636" spans="5:5" x14ac:dyDescent="0.25">
      <c r="E636" s="14"/>
    </row>
    <row r="637" spans="5:5" x14ac:dyDescent="0.25">
      <c r="E637" s="14"/>
    </row>
    <row r="638" spans="5:5" x14ac:dyDescent="0.25">
      <c r="E638" s="14"/>
    </row>
    <row r="639" spans="5:5" x14ac:dyDescent="0.25">
      <c r="E639" s="14"/>
    </row>
    <row r="640" spans="5:5" x14ac:dyDescent="0.25">
      <c r="E640" s="14"/>
    </row>
    <row r="641" spans="5:5" x14ac:dyDescent="0.25">
      <c r="E641" s="14"/>
    </row>
    <row r="642" spans="5:5" x14ac:dyDescent="0.25">
      <c r="E642" s="14"/>
    </row>
    <row r="643" spans="5:5" x14ac:dyDescent="0.25">
      <c r="E643" s="14"/>
    </row>
    <row r="644" spans="5:5" x14ac:dyDescent="0.25">
      <c r="E644" s="14"/>
    </row>
    <row r="645" spans="5:5" x14ac:dyDescent="0.25">
      <c r="E645" s="14"/>
    </row>
    <row r="646" spans="5:5" x14ac:dyDescent="0.25">
      <c r="E646" s="14"/>
    </row>
    <row r="647" spans="5:5" x14ac:dyDescent="0.25">
      <c r="E647" s="14"/>
    </row>
    <row r="648" spans="5:5" x14ac:dyDescent="0.25">
      <c r="E648" s="14"/>
    </row>
    <row r="649" spans="5:5" x14ac:dyDescent="0.25">
      <c r="E649" s="14"/>
    </row>
    <row r="650" spans="5:5" x14ac:dyDescent="0.25">
      <c r="E650" s="14"/>
    </row>
    <row r="651" spans="5:5" x14ac:dyDescent="0.25">
      <c r="E651" s="14"/>
    </row>
    <row r="652" spans="5:5" x14ac:dyDescent="0.25">
      <c r="E652" s="14"/>
    </row>
    <row r="653" spans="5:5" x14ac:dyDescent="0.25">
      <c r="E653" s="14"/>
    </row>
    <row r="654" spans="5:5" x14ac:dyDescent="0.25">
      <c r="E654" s="14"/>
    </row>
    <row r="655" spans="5:5" x14ac:dyDescent="0.25">
      <c r="E655" s="14"/>
    </row>
    <row r="656" spans="5:5" x14ac:dyDescent="0.25">
      <c r="E656" s="14"/>
    </row>
    <row r="657" spans="5:5" x14ac:dyDescent="0.25">
      <c r="E657" s="14"/>
    </row>
    <row r="658" spans="5:5" x14ac:dyDescent="0.25">
      <c r="E658" s="14"/>
    </row>
    <row r="659" spans="5:5" x14ac:dyDescent="0.25">
      <c r="E659" s="14"/>
    </row>
    <row r="660" spans="5:5" x14ac:dyDescent="0.25">
      <c r="E660" s="14"/>
    </row>
    <row r="661" spans="5:5" x14ac:dyDescent="0.25">
      <c r="E661" s="14"/>
    </row>
    <row r="662" spans="5:5" x14ac:dyDescent="0.25">
      <c r="E662" s="14"/>
    </row>
    <row r="663" spans="5:5" x14ac:dyDescent="0.25">
      <c r="E663" s="14"/>
    </row>
    <row r="664" spans="5:5" x14ac:dyDescent="0.25">
      <c r="E664" s="14"/>
    </row>
    <row r="665" spans="5:5" x14ac:dyDescent="0.25">
      <c r="E665" s="14"/>
    </row>
    <row r="666" spans="5:5" x14ac:dyDescent="0.25">
      <c r="E666" s="14"/>
    </row>
    <row r="667" spans="5:5" x14ac:dyDescent="0.25">
      <c r="E667" s="14"/>
    </row>
    <row r="668" spans="5:5" x14ac:dyDescent="0.25">
      <c r="E668" s="14"/>
    </row>
    <row r="669" spans="5:5" x14ac:dyDescent="0.25">
      <c r="E669" s="14"/>
    </row>
    <row r="670" spans="5:5" x14ac:dyDescent="0.25">
      <c r="E670" s="14"/>
    </row>
    <row r="671" spans="5:5" x14ac:dyDescent="0.25">
      <c r="E671" s="14"/>
    </row>
    <row r="672" spans="5:5" x14ac:dyDescent="0.25">
      <c r="E672" s="14"/>
    </row>
    <row r="673" spans="5:5" x14ac:dyDescent="0.25">
      <c r="E673" s="14"/>
    </row>
    <row r="674" spans="5:5" x14ac:dyDescent="0.25">
      <c r="E674" s="14"/>
    </row>
    <row r="675" spans="5:5" x14ac:dyDescent="0.25">
      <c r="E675" s="14"/>
    </row>
    <row r="676" spans="5:5" x14ac:dyDescent="0.25">
      <c r="E676" s="14"/>
    </row>
    <row r="677" spans="5:5" x14ac:dyDescent="0.25">
      <c r="E677" s="14"/>
    </row>
    <row r="678" spans="5:5" x14ac:dyDescent="0.25">
      <c r="E678" s="14"/>
    </row>
    <row r="679" spans="5:5" x14ac:dyDescent="0.25">
      <c r="E679" s="14"/>
    </row>
    <row r="680" spans="5:5" x14ac:dyDescent="0.25">
      <c r="E680" s="14"/>
    </row>
    <row r="681" spans="5:5" x14ac:dyDescent="0.25">
      <c r="E681" s="14"/>
    </row>
    <row r="682" spans="5:5" x14ac:dyDescent="0.25">
      <c r="E682" s="14"/>
    </row>
    <row r="683" spans="5:5" x14ac:dyDescent="0.25">
      <c r="E683" s="14"/>
    </row>
    <row r="684" spans="5:5" x14ac:dyDescent="0.25">
      <c r="E684" s="14"/>
    </row>
    <row r="685" spans="5:5" x14ac:dyDescent="0.25">
      <c r="E685" s="14"/>
    </row>
    <row r="686" spans="5:5" x14ac:dyDescent="0.25">
      <c r="E686" s="14"/>
    </row>
    <row r="687" spans="5:5" x14ac:dyDescent="0.25">
      <c r="E687" s="14"/>
    </row>
    <row r="688" spans="5:5" x14ac:dyDescent="0.25">
      <c r="E688" s="14"/>
    </row>
    <row r="689" spans="5:5" x14ac:dyDescent="0.25">
      <c r="E689" s="14"/>
    </row>
    <row r="690" spans="5:5" x14ac:dyDescent="0.25">
      <c r="E690" s="14"/>
    </row>
    <row r="691" spans="5:5" x14ac:dyDescent="0.25">
      <c r="E691" s="14"/>
    </row>
    <row r="692" spans="5:5" x14ac:dyDescent="0.25">
      <c r="E692" s="14"/>
    </row>
    <row r="693" spans="5:5" x14ac:dyDescent="0.25">
      <c r="E693" s="14"/>
    </row>
    <row r="694" spans="5:5" x14ac:dyDescent="0.25">
      <c r="E694" s="14"/>
    </row>
    <row r="695" spans="5:5" x14ac:dyDescent="0.25">
      <c r="E695" s="14"/>
    </row>
    <row r="696" spans="5:5" x14ac:dyDescent="0.25">
      <c r="E696" s="14"/>
    </row>
    <row r="697" spans="5:5" x14ac:dyDescent="0.25">
      <c r="E697" s="14"/>
    </row>
    <row r="698" spans="5:5" x14ac:dyDescent="0.25">
      <c r="E698" s="14"/>
    </row>
    <row r="699" spans="5:5" x14ac:dyDescent="0.25">
      <c r="E699" s="14"/>
    </row>
    <row r="700" spans="5:5" x14ac:dyDescent="0.25">
      <c r="E700" s="14"/>
    </row>
    <row r="701" spans="5:5" x14ac:dyDescent="0.25">
      <c r="E701" s="14"/>
    </row>
    <row r="702" spans="5:5" x14ac:dyDescent="0.25">
      <c r="E702" s="14"/>
    </row>
    <row r="703" spans="5:5" x14ac:dyDescent="0.25">
      <c r="E703" s="14"/>
    </row>
    <row r="704" spans="5:5" x14ac:dyDescent="0.25">
      <c r="E704" s="14"/>
    </row>
    <row r="705" spans="5:5" x14ac:dyDescent="0.25">
      <c r="E705" s="14"/>
    </row>
    <row r="706" spans="5:5" x14ac:dyDescent="0.25">
      <c r="E706" s="14"/>
    </row>
    <row r="707" spans="5:5" x14ac:dyDescent="0.25">
      <c r="E707" s="14"/>
    </row>
    <row r="708" spans="5:5" x14ac:dyDescent="0.25">
      <c r="E708" s="14"/>
    </row>
    <row r="709" spans="5:5" x14ac:dyDescent="0.25">
      <c r="E709" s="14"/>
    </row>
    <row r="710" spans="5:5" x14ac:dyDescent="0.25">
      <c r="E710" s="14"/>
    </row>
    <row r="711" spans="5:5" x14ac:dyDescent="0.25">
      <c r="E711" s="14"/>
    </row>
    <row r="712" spans="5:5" x14ac:dyDescent="0.25">
      <c r="E712" s="14"/>
    </row>
    <row r="713" spans="5:5" x14ac:dyDescent="0.25">
      <c r="E713" s="14"/>
    </row>
    <row r="714" spans="5:5" x14ac:dyDescent="0.25">
      <c r="E714" s="14"/>
    </row>
    <row r="715" spans="5:5" x14ac:dyDescent="0.25">
      <c r="E715" s="14"/>
    </row>
    <row r="716" spans="5:5" x14ac:dyDescent="0.25">
      <c r="E716" s="14"/>
    </row>
    <row r="717" spans="5:5" x14ac:dyDescent="0.25">
      <c r="E717" s="14"/>
    </row>
    <row r="718" spans="5:5" x14ac:dyDescent="0.25">
      <c r="E718" s="14"/>
    </row>
    <row r="719" spans="5:5" x14ac:dyDescent="0.25">
      <c r="E719" s="14"/>
    </row>
    <row r="720" spans="5:5" x14ac:dyDescent="0.25">
      <c r="E720" s="14"/>
    </row>
    <row r="721" spans="5:5" x14ac:dyDescent="0.25">
      <c r="E721" s="14"/>
    </row>
    <row r="722" spans="5:5" x14ac:dyDescent="0.25">
      <c r="E722" s="14"/>
    </row>
    <row r="723" spans="5:5" x14ac:dyDescent="0.25">
      <c r="E723" s="14"/>
    </row>
    <row r="724" spans="5:5" x14ac:dyDescent="0.25">
      <c r="E724" s="14"/>
    </row>
    <row r="725" spans="5:5" x14ac:dyDescent="0.25">
      <c r="E725" s="14"/>
    </row>
    <row r="726" spans="5:5" x14ac:dyDescent="0.25">
      <c r="E726" s="14"/>
    </row>
    <row r="727" spans="5:5" x14ac:dyDescent="0.25">
      <c r="E727" s="14"/>
    </row>
    <row r="728" spans="5:5" x14ac:dyDescent="0.25">
      <c r="E728" s="14"/>
    </row>
    <row r="729" spans="5:5" x14ac:dyDescent="0.25">
      <c r="E729" s="14"/>
    </row>
    <row r="730" spans="5:5" x14ac:dyDescent="0.25">
      <c r="E730" s="14"/>
    </row>
    <row r="731" spans="5:5" x14ac:dyDescent="0.25">
      <c r="E731" s="14"/>
    </row>
    <row r="732" spans="5:5" x14ac:dyDescent="0.25">
      <c r="E732" s="14"/>
    </row>
    <row r="733" spans="5:5" x14ac:dyDescent="0.25">
      <c r="E733" s="14"/>
    </row>
    <row r="734" spans="5:5" x14ac:dyDescent="0.25">
      <c r="E734" s="14"/>
    </row>
    <row r="735" spans="5:5" x14ac:dyDescent="0.25">
      <c r="E735" s="14"/>
    </row>
    <row r="736" spans="5:5" x14ac:dyDescent="0.25">
      <c r="E736" s="14"/>
    </row>
    <row r="737" spans="5:5" x14ac:dyDescent="0.25">
      <c r="E737" s="14"/>
    </row>
    <row r="738" spans="5:5" x14ac:dyDescent="0.25">
      <c r="E738" s="14"/>
    </row>
    <row r="739" spans="5:5" x14ac:dyDescent="0.25">
      <c r="E739" s="14"/>
    </row>
    <row r="740" spans="5:5" x14ac:dyDescent="0.25">
      <c r="E740" s="14"/>
    </row>
    <row r="741" spans="5:5" x14ac:dyDescent="0.25">
      <c r="E741" s="14"/>
    </row>
    <row r="742" spans="5:5" x14ac:dyDescent="0.25">
      <c r="E742" s="14"/>
    </row>
    <row r="743" spans="5:5" x14ac:dyDescent="0.25">
      <c r="E743" s="14"/>
    </row>
    <row r="744" spans="5:5" x14ac:dyDescent="0.25">
      <c r="E744" s="14"/>
    </row>
    <row r="745" spans="5:5" x14ac:dyDescent="0.25">
      <c r="E745" s="14"/>
    </row>
    <row r="746" spans="5:5" x14ac:dyDescent="0.25">
      <c r="E746" s="14"/>
    </row>
    <row r="747" spans="5:5" x14ac:dyDescent="0.25">
      <c r="E747" s="14"/>
    </row>
    <row r="748" spans="5:5" x14ac:dyDescent="0.25">
      <c r="E748" s="14"/>
    </row>
    <row r="749" spans="5:5" x14ac:dyDescent="0.25">
      <c r="E749" s="14"/>
    </row>
    <row r="750" spans="5:5" x14ac:dyDescent="0.25">
      <c r="E750" s="14"/>
    </row>
    <row r="751" spans="5:5" x14ac:dyDescent="0.25">
      <c r="E751" s="14"/>
    </row>
    <row r="752" spans="5:5" x14ac:dyDescent="0.25">
      <c r="E752" s="14"/>
    </row>
    <row r="753" spans="5:5" x14ac:dyDescent="0.25">
      <c r="E753" s="14"/>
    </row>
    <row r="754" spans="5:5" x14ac:dyDescent="0.25">
      <c r="E754" s="14"/>
    </row>
    <row r="755" spans="5:5" x14ac:dyDescent="0.25">
      <c r="E755" s="14"/>
    </row>
    <row r="756" spans="5:5" x14ac:dyDescent="0.25">
      <c r="E756" s="14"/>
    </row>
    <row r="757" spans="5:5" x14ac:dyDescent="0.25">
      <c r="E757" s="14"/>
    </row>
    <row r="758" spans="5:5" x14ac:dyDescent="0.25">
      <c r="E758" s="14"/>
    </row>
    <row r="759" spans="5:5" x14ac:dyDescent="0.25">
      <c r="E759" s="14"/>
    </row>
    <row r="760" spans="5:5" x14ac:dyDescent="0.25">
      <c r="E760" s="14"/>
    </row>
    <row r="761" spans="5:5" x14ac:dyDescent="0.25">
      <c r="E761" s="14"/>
    </row>
    <row r="762" spans="5:5" x14ac:dyDescent="0.25">
      <c r="E762" s="14"/>
    </row>
    <row r="763" spans="5:5" x14ac:dyDescent="0.25">
      <c r="E763" s="14"/>
    </row>
    <row r="764" spans="5:5" x14ac:dyDescent="0.25">
      <c r="E764" s="14"/>
    </row>
    <row r="765" spans="5:5" x14ac:dyDescent="0.25">
      <c r="E765" s="14"/>
    </row>
    <row r="766" spans="5:5" x14ac:dyDescent="0.25">
      <c r="E766" s="14"/>
    </row>
    <row r="767" spans="5:5" x14ac:dyDescent="0.25">
      <c r="E767" s="14"/>
    </row>
    <row r="768" spans="5:5" x14ac:dyDescent="0.25">
      <c r="E768" s="14"/>
    </row>
    <row r="769" spans="5:5" x14ac:dyDescent="0.25">
      <c r="E769" s="14"/>
    </row>
    <row r="770" spans="5:5" x14ac:dyDescent="0.25">
      <c r="E770" s="14"/>
    </row>
    <row r="771" spans="5:5" x14ac:dyDescent="0.25">
      <c r="E771" s="14"/>
    </row>
    <row r="772" spans="5:5" x14ac:dyDescent="0.25">
      <c r="E772" s="14"/>
    </row>
    <row r="773" spans="5:5" x14ac:dyDescent="0.25">
      <c r="E773" s="14"/>
    </row>
    <row r="774" spans="5:5" x14ac:dyDescent="0.25">
      <c r="E774" s="14"/>
    </row>
    <row r="775" spans="5:5" x14ac:dyDescent="0.25">
      <c r="E775" s="14"/>
    </row>
    <row r="776" spans="5:5" x14ac:dyDescent="0.25">
      <c r="E776" s="14"/>
    </row>
    <row r="777" spans="5:5" x14ac:dyDescent="0.25">
      <c r="E777" s="14"/>
    </row>
    <row r="778" spans="5:5" x14ac:dyDescent="0.25">
      <c r="E778" s="14"/>
    </row>
    <row r="779" spans="5:5" x14ac:dyDescent="0.25">
      <c r="E779" s="14"/>
    </row>
    <row r="780" spans="5:5" x14ac:dyDescent="0.25">
      <c r="E780" s="14"/>
    </row>
    <row r="781" spans="5:5" x14ac:dyDescent="0.25">
      <c r="E781" s="14"/>
    </row>
    <row r="782" spans="5:5" x14ac:dyDescent="0.25">
      <c r="E782" s="14"/>
    </row>
    <row r="783" spans="5:5" x14ac:dyDescent="0.25">
      <c r="E783" s="14"/>
    </row>
    <row r="784" spans="5:5" x14ac:dyDescent="0.25">
      <c r="E784" s="14"/>
    </row>
    <row r="785" spans="5:5" x14ac:dyDescent="0.25">
      <c r="E785" s="14"/>
    </row>
    <row r="786" spans="5:5" x14ac:dyDescent="0.25">
      <c r="E786" s="14"/>
    </row>
    <row r="787" spans="5:5" x14ac:dyDescent="0.25">
      <c r="E787" s="14"/>
    </row>
    <row r="788" spans="5:5" x14ac:dyDescent="0.25">
      <c r="E788" s="14"/>
    </row>
    <row r="789" spans="5:5" x14ac:dyDescent="0.25">
      <c r="E789" s="14"/>
    </row>
    <row r="790" spans="5:5" x14ac:dyDescent="0.25">
      <c r="E790" s="14"/>
    </row>
    <row r="791" spans="5:5" x14ac:dyDescent="0.25">
      <c r="E791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30E8-C697-4FBD-9CF3-C623C27504E6}">
  <dimension ref="A1:J129"/>
  <sheetViews>
    <sheetView workbookViewId="0">
      <pane ySplit="4" topLeftCell="A5" activePane="bottomLeft" state="frozen"/>
      <selection activeCell="B1" sqref="B1"/>
      <selection pane="bottomLeft" activeCell="A4" sqref="A4:F129"/>
    </sheetView>
  </sheetViews>
  <sheetFormatPr defaultRowHeight="15" x14ac:dyDescent="0.25"/>
  <cols>
    <col min="1" max="1" width="42.42578125" bestFit="1" customWidth="1"/>
    <col min="2" max="2" width="11.42578125" bestFit="1" customWidth="1"/>
    <col min="3" max="3" width="49.5703125" customWidth="1"/>
    <col min="4" max="4" width="10.7109375" customWidth="1"/>
    <col min="5" max="5" width="15.85546875" customWidth="1"/>
    <col min="6" max="6" width="13.5703125" customWidth="1"/>
  </cols>
  <sheetData>
    <row r="1" spans="1:10" ht="18.75" x14ac:dyDescent="0.3">
      <c r="A1" s="37" t="s">
        <v>3451</v>
      </c>
    </row>
    <row r="2" spans="1:10" x14ac:dyDescent="0.25">
      <c r="A2" s="38" t="s">
        <v>3452</v>
      </c>
    </row>
    <row r="4" spans="1:10" x14ac:dyDescent="0.25">
      <c r="A4" s="47" t="s">
        <v>2</v>
      </c>
      <c r="B4" s="48" t="s">
        <v>3</v>
      </c>
      <c r="C4" s="48" t="s">
        <v>4</v>
      </c>
      <c r="D4" s="48" t="s">
        <v>5</v>
      </c>
      <c r="E4" s="48" t="s">
        <v>128</v>
      </c>
      <c r="F4" s="49" t="s">
        <v>7</v>
      </c>
      <c r="H4" s="31" t="s">
        <v>2</v>
      </c>
      <c r="I4" s="31" t="s">
        <v>192</v>
      </c>
      <c r="J4" s="31" t="s">
        <v>7</v>
      </c>
    </row>
    <row r="5" spans="1:10" x14ac:dyDescent="0.25">
      <c r="A5" s="55" t="s">
        <v>301</v>
      </c>
      <c r="B5" s="41">
        <v>1006884</v>
      </c>
      <c r="C5" s="39" t="s">
        <v>377</v>
      </c>
      <c r="D5" s="40" t="s">
        <v>18</v>
      </c>
      <c r="E5" s="40" t="str">
        <f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f>
        <v>C</v>
      </c>
      <c r="F5" s="56">
        <v>2</v>
      </c>
      <c r="H5" t="s">
        <v>301</v>
      </c>
      <c r="I5" s="36">
        <f>COUNTIF($A$5:$A$129,H5)</f>
        <v>86</v>
      </c>
      <c r="J5" s="36">
        <f>SUMIF($A$5:$A$129,H5,$F$5:$F$129)</f>
        <v>185</v>
      </c>
    </row>
    <row r="6" spans="1:10" x14ac:dyDescent="0.25">
      <c r="A6" s="55" t="s">
        <v>301</v>
      </c>
      <c r="B6" s="41">
        <v>1006885</v>
      </c>
      <c r="C6" s="39" t="s">
        <v>379</v>
      </c>
      <c r="D6" s="40" t="s">
        <v>18</v>
      </c>
      <c r="E6" s="40" t="str">
        <f>IFERROR(IF(INDEX('de para abc'!$C:$C,MATCH($B6,'de para abc'!$A:$A,0))=0,"C",INDEX('de para abc'!$C:$C,MATCH($B6,'de para abc'!$A:$A,0))),IFERROR(IF(INDEX('de para abc'!$C:$C,MATCH($C6,'de para abc'!$B:$B,0))=0,"C",INDEX('de para abc'!$C:$C,MATCH($C6,'de para abc'!$B:$B,0))),"C"))</f>
        <v>C</v>
      </c>
      <c r="F6" s="56">
        <v>2</v>
      </c>
      <c r="H6" t="s">
        <v>69</v>
      </c>
      <c r="I6" s="36">
        <f>COUNTIF($A$5:$A$129,H6)</f>
        <v>39</v>
      </c>
      <c r="J6" s="36">
        <f>SUMIF($A$5:$A$129,H6,$F$5:$F$129)</f>
        <v>143</v>
      </c>
    </row>
    <row r="7" spans="1:10" x14ac:dyDescent="0.25">
      <c r="A7" s="55" t="s">
        <v>301</v>
      </c>
      <c r="B7" s="41">
        <v>1000032</v>
      </c>
      <c r="C7" s="39" t="s">
        <v>9</v>
      </c>
      <c r="D7" s="40" t="s">
        <v>10</v>
      </c>
      <c r="E7" s="40" t="str">
        <f>IFERROR(IF(INDEX('de para abc'!$C:$C,MATCH($B7,'de para abc'!$A:$A,0))=0,"C",INDEX('de para abc'!$C:$C,MATCH($B7,'de para abc'!$A:$A,0))),IFERROR(IF(INDEX('de para abc'!$C:$C,MATCH($C7,'de para abc'!$B:$B,0))=0,"C",INDEX('de para abc'!$C:$C,MATCH($C7,'de para abc'!$B:$B,0))),"C"))</f>
        <v>A</v>
      </c>
      <c r="F7" s="56">
        <v>2</v>
      </c>
      <c r="H7" t="s">
        <v>194</v>
      </c>
      <c r="I7" s="36">
        <f>SUM(I5:I6)</f>
        <v>125</v>
      </c>
      <c r="J7" s="36">
        <f>SUM(J5:J6)</f>
        <v>328</v>
      </c>
    </row>
    <row r="8" spans="1:10" x14ac:dyDescent="0.25">
      <c r="A8" s="55" t="s">
        <v>301</v>
      </c>
      <c r="B8" s="41">
        <v>1000033</v>
      </c>
      <c r="C8" s="39" t="s">
        <v>12</v>
      </c>
      <c r="D8" s="40" t="s">
        <v>10</v>
      </c>
      <c r="E8" s="40" t="str">
        <f>IFERROR(IF(INDEX('de para abc'!$C:$C,MATCH($B8,'de para abc'!$A:$A,0))=0,"C",INDEX('de para abc'!$C:$C,MATCH($B8,'de para abc'!$A:$A,0))),IFERROR(IF(INDEX('de para abc'!$C:$C,MATCH($C8,'de para abc'!$B:$B,0))=0,"C",INDEX('de para abc'!$C:$C,MATCH($C8,'de para abc'!$B:$B,0))),"C"))</f>
        <v>A</v>
      </c>
      <c r="F8" s="56">
        <v>2</v>
      </c>
      <c r="I8" s="36"/>
      <c r="J8" s="36"/>
    </row>
    <row r="9" spans="1:10" x14ac:dyDescent="0.25">
      <c r="A9" s="55" t="s">
        <v>301</v>
      </c>
      <c r="B9" s="41">
        <v>1000037</v>
      </c>
      <c r="C9" s="39" t="s">
        <v>46</v>
      </c>
      <c r="D9" s="40" t="s">
        <v>10</v>
      </c>
      <c r="E9" s="40" t="str">
        <f>IFERROR(IF(INDEX('de para abc'!$C:$C,MATCH($B9,'de para abc'!$A:$A,0))=0,"C",INDEX('de para abc'!$C:$C,MATCH($B9,'de para abc'!$A:$A,0))),IFERROR(IF(INDEX('de para abc'!$C:$C,MATCH($C9,'de para abc'!$B:$B,0))=0,"C",INDEX('de para abc'!$C:$C,MATCH($C9,'de para abc'!$B:$B,0))),"C"))</f>
        <v>A</v>
      </c>
      <c r="F9" s="56">
        <v>2</v>
      </c>
      <c r="I9" s="36"/>
      <c r="J9" s="36"/>
    </row>
    <row r="10" spans="1:10" x14ac:dyDescent="0.25">
      <c r="A10" s="55" t="s">
        <v>301</v>
      </c>
      <c r="B10" s="41">
        <v>1001260</v>
      </c>
      <c r="C10" s="39" t="s">
        <v>382</v>
      </c>
      <c r="D10" s="40" t="s">
        <v>14</v>
      </c>
      <c r="E10" s="40" t="str">
        <f>IFERROR(IF(INDEX('de para abc'!$C:$C,MATCH($B10,'de para abc'!$A:$A,0))=0,"C",INDEX('de para abc'!$C:$C,MATCH($B10,'de para abc'!$A:$A,0))),IFERROR(IF(INDEX('de para abc'!$C:$C,MATCH($C10,'de para abc'!$B:$B,0))=0,"C",INDEX('de para abc'!$C:$C,MATCH($C10,'de para abc'!$B:$B,0))),"C"))</f>
        <v>C</v>
      </c>
      <c r="F10" s="56">
        <v>1</v>
      </c>
      <c r="I10" s="36"/>
      <c r="J10" s="36"/>
    </row>
    <row r="11" spans="1:10" x14ac:dyDescent="0.25">
      <c r="A11" s="55" t="s">
        <v>301</v>
      </c>
      <c r="B11" s="41">
        <v>1000039</v>
      </c>
      <c r="C11" s="39" t="s">
        <v>16</v>
      </c>
      <c r="D11" s="40" t="s">
        <v>10</v>
      </c>
      <c r="E11" s="40" t="str">
        <f>IFERROR(IF(INDEX('de para abc'!$C:$C,MATCH($B11,'de para abc'!$A:$A,0))=0,"C",INDEX('de para abc'!$C:$C,MATCH($B11,'de para abc'!$A:$A,0))),IFERROR(IF(INDEX('de para abc'!$C:$C,MATCH($C11,'de para abc'!$B:$B,0))=0,"C",INDEX('de para abc'!$C:$C,MATCH($C11,'de para abc'!$B:$B,0))),"C"))</f>
        <v>A</v>
      </c>
      <c r="F11" s="56">
        <v>2</v>
      </c>
      <c r="I11" s="36"/>
      <c r="J11" s="36"/>
    </row>
    <row r="12" spans="1:10" x14ac:dyDescent="0.25">
      <c r="A12" s="55" t="s">
        <v>301</v>
      </c>
      <c r="B12" s="41">
        <v>1001029</v>
      </c>
      <c r="C12" s="39" t="s">
        <v>384</v>
      </c>
      <c r="D12" s="40" t="s">
        <v>14</v>
      </c>
      <c r="E12" s="40" t="str">
        <f>IFERROR(IF(INDEX('de para abc'!$C:$C,MATCH($B12,'de para abc'!$A:$A,0))=0,"C",INDEX('de para abc'!$C:$C,MATCH($B12,'de para abc'!$A:$A,0))),IFERROR(IF(INDEX('de para abc'!$C:$C,MATCH($C12,'de para abc'!$B:$B,0))=0,"C",INDEX('de para abc'!$C:$C,MATCH($C12,'de para abc'!$B:$B,0))),"C"))</f>
        <v>C</v>
      </c>
      <c r="F12" s="56">
        <v>2</v>
      </c>
      <c r="I12" s="36"/>
      <c r="J12" s="36"/>
    </row>
    <row r="13" spans="1:10" x14ac:dyDescent="0.25">
      <c r="A13" s="55" t="s">
        <v>301</v>
      </c>
      <c r="B13" s="41">
        <v>1000049</v>
      </c>
      <c r="C13" s="39" t="s">
        <v>48</v>
      </c>
      <c r="D13" s="40" t="s">
        <v>10</v>
      </c>
      <c r="E13" s="40" t="str">
        <f>IFERROR(IF(INDEX('de para abc'!$C:$C,MATCH($B13,'de para abc'!$A:$A,0))=0,"C",INDEX('de para abc'!$C:$C,MATCH($B13,'de para abc'!$A:$A,0))),IFERROR(IF(INDEX('de para abc'!$C:$C,MATCH($C13,'de para abc'!$B:$B,0))=0,"C",INDEX('de para abc'!$C:$C,MATCH($C13,'de para abc'!$B:$B,0))),"C"))</f>
        <v>A</v>
      </c>
      <c r="F13" s="56">
        <v>2</v>
      </c>
    </row>
    <row r="14" spans="1:10" x14ac:dyDescent="0.25">
      <c r="A14" s="55" t="s">
        <v>301</v>
      </c>
      <c r="B14" s="41">
        <v>1001110</v>
      </c>
      <c r="C14" s="39" t="s">
        <v>386</v>
      </c>
      <c r="D14" s="40" t="s">
        <v>10</v>
      </c>
      <c r="E14" s="40" t="str">
        <f>IFERROR(IF(INDEX('de para abc'!$C:$C,MATCH($B14,'de para abc'!$A:$A,0))=0,"C",INDEX('de para abc'!$C:$C,MATCH($B14,'de para abc'!$A:$A,0))),IFERROR(IF(INDEX('de para abc'!$C:$C,MATCH($C14,'de para abc'!$B:$B,0))=0,"C",INDEX('de para abc'!$C:$C,MATCH($C14,'de para abc'!$B:$B,0))),"C"))</f>
        <v>B</v>
      </c>
      <c r="F14" s="56">
        <v>4</v>
      </c>
    </row>
    <row r="15" spans="1:10" x14ac:dyDescent="0.25">
      <c r="A15" s="55" t="s">
        <v>301</v>
      </c>
      <c r="B15" s="41">
        <v>1000657</v>
      </c>
      <c r="C15" s="39" t="s">
        <v>387</v>
      </c>
      <c r="D15" s="40" t="s">
        <v>10</v>
      </c>
      <c r="E15" s="40" t="str">
        <f>IFERROR(IF(INDEX('de para abc'!$C:$C,MATCH($B15,'de para abc'!$A:$A,0))=0,"C",INDEX('de para abc'!$C:$C,MATCH($B15,'de para abc'!$A:$A,0))),IFERROR(IF(INDEX('de para abc'!$C:$C,MATCH($C15,'de para abc'!$B:$B,0))=0,"C",INDEX('de para abc'!$C:$C,MATCH($C15,'de para abc'!$B:$B,0))),"C"))</f>
        <v>C</v>
      </c>
      <c r="F15" s="56">
        <v>1</v>
      </c>
    </row>
    <row r="16" spans="1:10" x14ac:dyDescent="0.25">
      <c r="A16" s="55" t="s">
        <v>301</v>
      </c>
      <c r="B16" s="41">
        <v>1001262</v>
      </c>
      <c r="C16" s="39" t="s">
        <v>388</v>
      </c>
      <c r="D16" s="40" t="s">
        <v>14</v>
      </c>
      <c r="E16" s="40" t="str">
        <f>IFERROR(IF(INDEX('de para abc'!$C:$C,MATCH($B16,'de para abc'!$A:$A,0))=0,"C",INDEX('de para abc'!$C:$C,MATCH($B16,'de para abc'!$A:$A,0))),IFERROR(IF(INDEX('de para abc'!$C:$C,MATCH($C16,'de para abc'!$B:$B,0))=0,"C",INDEX('de para abc'!$C:$C,MATCH($C16,'de para abc'!$B:$B,0))),"C"))</f>
        <v>B</v>
      </c>
      <c r="F16" s="56">
        <v>2</v>
      </c>
    </row>
    <row r="17" spans="1:6" x14ac:dyDescent="0.25">
      <c r="A17" s="55" t="s">
        <v>301</v>
      </c>
      <c r="B17" s="41">
        <v>1000065</v>
      </c>
      <c r="C17" s="39" t="s">
        <v>131</v>
      </c>
      <c r="D17" s="40" t="s">
        <v>10</v>
      </c>
      <c r="E17" s="40" t="str">
        <f>IFERROR(IF(INDEX('de para abc'!$C:$C,MATCH($B17,'de para abc'!$A:$A,0))=0,"C",INDEX('de para abc'!$C:$C,MATCH($B17,'de para abc'!$A:$A,0))),IFERROR(IF(INDEX('de para abc'!$C:$C,MATCH($C17,'de para abc'!$B:$B,0))=0,"C",INDEX('de para abc'!$C:$C,MATCH($C17,'de para abc'!$B:$B,0))),"C"))</f>
        <v>A</v>
      </c>
      <c r="F17" s="56">
        <v>2</v>
      </c>
    </row>
    <row r="18" spans="1:6" x14ac:dyDescent="0.25">
      <c r="A18" s="55" t="s">
        <v>301</v>
      </c>
      <c r="B18" s="41">
        <v>1001307</v>
      </c>
      <c r="C18" s="39" t="s">
        <v>389</v>
      </c>
      <c r="D18" s="40" t="s">
        <v>14</v>
      </c>
      <c r="E18" s="40" t="str">
        <f>IFERROR(IF(INDEX('de para abc'!$C:$C,MATCH($B18,'de para abc'!$A:$A,0))=0,"C",INDEX('de para abc'!$C:$C,MATCH($B18,'de para abc'!$A:$A,0))),IFERROR(IF(INDEX('de para abc'!$C:$C,MATCH($C18,'de para abc'!$B:$B,0))=0,"C",INDEX('de para abc'!$C:$C,MATCH($C18,'de para abc'!$B:$B,0))),"C"))</f>
        <v>A</v>
      </c>
      <c r="F18" s="56">
        <v>1</v>
      </c>
    </row>
    <row r="19" spans="1:6" x14ac:dyDescent="0.25">
      <c r="A19" s="55" t="s">
        <v>301</v>
      </c>
      <c r="B19" s="41">
        <v>1001185</v>
      </c>
      <c r="C19" s="39" t="s">
        <v>3445</v>
      </c>
      <c r="D19" s="40" t="s">
        <v>18</v>
      </c>
      <c r="E19" s="40" t="str">
        <f>IFERROR(IF(INDEX('de para abc'!$C:$C,MATCH($B19,'de para abc'!$A:$A,0))=0,"C",INDEX('de para abc'!$C:$C,MATCH($B19,'de para abc'!$A:$A,0))),IFERROR(IF(INDEX('de para abc'!$C:$C,MATCH($C19,'de para abc'!$B:$B,0))=0,"C",INDEX('de para abc'!$C:$C,MATCH($C19,'de para abc'!$B:$B,0))),"C"))</f>
        <v>C</v>
      </c>
      <c r="F19" s="56">
        <v>1</v>
      </c>
    </row>
    <row r="20" spans="1:6" x14ac:dyDescent="0.25">
      <c r="A20" s="55" t="s">
        <v>301</v>
      </c>
      <c r="B20" s="41">
        <v>1001667</v>
      </c>
      <c r="C20" s="39" t="s">
        <v>139</v>
      </c>
      <c r="D20" s="40" t="s">
        <v>18</v>
      </c>
      <c r="E20" s="40" t="str">
        <f>IFERROR(IF(INDEX('de para abc'!$C:$C,MATCH($B20,'de para abc'!$A:$A,0))=0,"C",INDEX('de para abc'!$C:$C,MATCH($B20,'de para abc'!$A:$A,0))),IFERROR(IF(INDEX('de para abc'!$C:$C,MATCH($C20,'de para abc'!$B:$B,0))=0,"C",INDEX('de para abc'!$C:$C,MATCH($C20,'de para abc'!$B:$B,0))),"C"))</f>
        <v>A</v>
      </c>
      <c r="F20" s="56">
        <v>1</v>
      </c>
    </row>
    <row r="21" spans="1:6" x14ac:dyDescent="0.25">
      <c r="A21" s="55" t="s">
        <v>301</v>
      </c>
      <c r="B21" s="41">
        <v>1001122</v>
      </c>
      <c r="C21" s="39" t="s">
        <v>140</v>
      </c>
      <c r="D21" s="40" t="s">
        <v>10</v>
      </c>
      <c r="E21" s="40" t="str">
        <f>IFERROR(IF(INDEX('de para abc'!$C:$C,MATCH($B21,'de para abc'!$A:$A,0))=0,"C",INDEX('de para abc'!$C:$C,MATCH($B21,'de para abc'!$A:$A,0))),IFERROR(IF(INDEX('de para abc'!$C:$C,MATCH($C21,'de para abc'!$B:$B,0))=0,"C",INDEX('de para abc'!$C:$C,MATCH($C21,'de para abc'!$B:$B,0))),"C"))</f>
        <v>A</v>
      </c>
      <c r="F21" s="56">
        <v>1</v>
      </c>
    </row>
    <row r="22" spans="1:6" x14ac:dyDescent="0.25">
      <c r="A22" s="55" t="s">
        <v>301</v>
      </c>
      <c r="B22" s="41">
        <v>1000149</v>
      </c>
      <c r="C22" s="39" t="s">
        <v>397</v>
      </c>
      <c r="D22" s="40" t="s">
        <v>14</v>
      </c>
      <c r="E22" s="40" t="str">
        <f>IFERROR(IF(INDEX('de para abc'!$C:$C,MATCH($B22,'de para abc'!$A:$A,0))=0,"C",INDEX('de para abc'!$C:$C,MATCH($B22,'de para abc'!$A:$A,0))),IFERROR(IF(INDEX('de para abc'!$C:$C,MATCH($C22,'de para abc'!$B:$B,0))=0,"C",INDEX('de para abc'!$C:$C,MATCH($C22,'de para abc'!$B:$B,0))),"C"))</f>
        <v>C</v>
      </c>
      <c r="F22" s="56">
        <v>1</v>
      </c>
    </row>
    <row r="23" spans="1:6" x14ac:dyDescent="0.25">
      <c r="A23" s="55" t="s">
        <v>301</v>
      </c>
      <c r="B23" s="41">
        <v>1000834</v>
      </c>
      <c r="C23" s="39" t="s">
        <v>399</v>
      </c>
      <c r="D23" s="40" t="s">
        <v>14</v>
      </c>
      <c r="E23" s="40" t="str">
        <f>IFERROR(IF(INDEX('de para abc'!$C:$C,MATCH($B23,'de para abc'!$A:$A,0))=0,"C",INDEX('de para abc'!$C:$C,MATCH($B23,'de para abc'!$A:$A,0))),IFERROR(IF(INDEX('de para abc'!$C:$C,MATCH($C23,'de para abc'!$B:$B,0))=0,"C",INDEX('de para abc'!$C:$C,MATCH($C23,'de para abc'!$B:$B,0))),"C"))</f>
        <v>C</v>
      </c>
      <c r="F23" s="56">
        <v>1</v>
      </c>
    </row>
    <row r="24" spans="1:6" x14ac:dyDescent="0.25">
      <c r="A24" s="55" t="s">
        <v>301</v>
      </c>
      <c r="B24" s="41">
        <v>1000163</v>
      </c>
      <c r="C24" s="39" t="s">
        <v>400</v>
      </c>
      <c r="D24" s="40" t="s">
        <v>10</v>
      </c>
      <c r="E24" s="40" t="str">
        <f>IFERROR(IF(INDEX('de para abc'!$C:$C,MATCH($B24,'de para abc'!$A:$A,0))=0,"C",INDEX('de para abc'!$C:$C,MATCH($B24,'de para abc'!$A:$A,0))),IFERROR(IF(INDEX('de para abc'!$C:$C,MATCH($C24,'de para abc'!$B:$B,0))=0,"C",INDEX('de para abc'!$C:$C,MATCH($C24,'de para abc'!$B:$B,0))),"C"))</f>
        <v>C</v>
      </c>
      <c r="F24" s="56">
        <v>10</v>
      </c>
    </row>
    <row r="25" spans="1:6" x14ac:dyDescent="0.25">
      <c r="A25" s="55" t="s">
        <v>301</v>
      </c>
      <c r="B25" s="41">
        <v>1006850</v>
      </c>
      <c r="C25" s="39" t="s">
        <v>402</v>
      </c>
      <c r="D25" s="40" t="s">
        <v>10</v>
      </c>
      <c r="E25" s="40" t="str">
        <f>IFERROR(IF(INDEX('de para abc'!$C:$C,MATCH($B25,'de para abc'!$A:$A,0))=0,"C",INDEX('de para abc'!$C:$C,MATCH($B25,'de para abc'!$A:$A,0))),IFERROR(IF(INDEX('de para abc'!$C:$C,MATCH($C25,'de para abc'!$B:$B,0))=0,"C",INDEX('de para abc'!$C:$C,MATCH($C25,'de para abc'!$B:$B,0))),"C"))</f>
        <v>C</v>
      </c>
      <c r="F25" s="56">
        <v>3</v>
      </c>
    </row>
    <row r="26" spans="1:6" x14ac:dyDescent="0.25">
      <c r="A26" s="55" t="s">
        <v>301</v>
      </c>
      <c r="B26" s="41">
        <v>1006827</v>
      </c>
      <c r="C26" s="39" t="s">
        <v>408</v>
      </c>
      <c r="D26" s="40" t="s">
        <v>10</v>
      </c>
      <c r="E26" s="40" t="str">
        <f>IFERROR(IF(INDEX('de para abc'!$C:$C,MATCH($B26,'de para abc'!$A:$A,0))=0,"C",INDEX('de para abc'!$C:$C,MATCH($B26,'de para abc'!$A:$A,0))),IFERROR(IF(INDEX('de para abc'!$C:$C,MATCH($C26,'de para abc'!$B:$B,0))=0,"C",INDEX('de para abc'!$C:$C,MATCH($C26,'de para abc'!$B:$B,0))),"C"))</f>
        <v>C</v>
      </c>
      <c r="F26" s="56">
        <v>2</v>
      </c>
    </row>
    <row r="27" spans="1:6" x14ac:dyDescent="0.25">
      <c r="A27" s="55" t="s">
        <v>301</v>
      </c>
      <c r="B27" s="41">
        <v>1006828</v>
      </c>
      <c r="C27" s="39" t="s">
        <v>409</v>
      </c>
      <c r="D27" s="40" t="s">
        <v>10</v>
      </c>
      <c r="E27" s="40" t="str">
        <f>IFERROR(IF(INDEX('de para abc'!$C:$C,MATCH($B27,'de para abc'!$A:$A,0))=0,"C",INDEX('de para abc'!$C:$C,MATCH($B27,'de para abc'!$A:$A,0))),IFERROR(IF(INDEX('de para abc'!$C:$C,MATCH($C27,'de para abc'!$B:$B,0))=0,"C",INDEX('de para abc'!$C:$C,MATCH($C27,'de para abc'!$B:$B,0))),"C"))</f>
        <v>C</v>
      </c>
      <c r="F27" s="56">
        <v>2</v>
      </c>
    </row>
    <row r="28" spans="1:6" x14ac:dyDescent="0.25">
      <c r="A28" s="55" t="s">
        <v>301</v>
      </c>
      <c r="B28" s="41">
        <v>1002103</v>
      </c>
      <c r="C28" s="39" t="s">
        <v>410</v>
      </c>
      <c r="D28" s="40" t="s">
        <v>10</v>
      </c>
      <c r="E28" s="40" t="str">
        <f>IFERROR(IF(INDEX('de para abc'!$C:$C,MATCH($B28,'de para abc'!$A:$A,0))=0,"C",INDEX('de para abc'!$C:$C,MATCH($B28,'de para abc'!$A:$A,0))),IFERROR(IF(INDEX('de para abc'!$C:$C,MATCH($C28,'de para abc'!$B:$B,0))=0,"C",INDEX('de para abc'!$C:$C,MATCH($C28,'de para abc'!$B:$B,0))),"C"))</f>
        <v>C</v>
      </c>
      <c r="F28" s="56">
        <v>2</v>
      </c>
    </row>
    <row r="29" spans="1:6" x14ac:dyDescent="0.25">
      <c r="A29" s="55" t="s">
        <v>301</v>
      </c>
      <c r="B29" s="41">
        <v>1000838</v>
      </c>
      <c r="C29" s="39" t="s">
        <v>411</v>
      </c>
      <c r="D29" s="40" t="s">
        <v>14</v>
      </c>
      <c r="E29" s="40" t="str">
        <f>IFERROR(IF(INDEX('de para abc'!$C:$C,MATCH($B29,'de para abc'!$A:$A,0))=0,"C",INDEX('de para abc'!$C:$C,MATCH($B29,'de para abc'!$A:$A,0))),IFERROR(IF(INDEX('de para abc'!$C:$C,MATCH($C29,'de para abc'!$B:$B,0))=0,"C",INDEX('de para abc'!$C:$C,MATCH($C29,'de para abc'!$B:$B,0))),"C"))</f>
        <v>C</v>
      </c>
      <c r="F29" s="56">
        <v>2</v>
      </c>
    </row>
    <row r="30" spans="1:6" x14ac:dyDescent="0.25">
      <c r="A30" s="55" t="s">
        <v>301</v>
      </c>
      <c r="B30" s="41">
        <v>1000837</v>
      </c>
      <c r="C30" s="39" t="s">
        <v>413</v>
      </c>
      <c r="D30" s="40" t="s">
        <v>14</v>
      </c>
      <c r="E30" s="40" t="str">
        <f>IFERROR(IF(INDEX('de para abc'!$C:$C,MATCH($B30,'de para abc'!$A:$A,0))=0,"C",INDEX('de para abc'!$C:$C,MATCH($B30,'de para abc'!$A:$A,0))),IFERROR(IF(INDEX('de para abc'!$C:$C,MATCH($C30,'de para abc'!$B:$B,0))=0,"C",INDEX('de para abc'!$C:$C,MATCH($C30,'de para abc'!$B:$B,0))),"C"))</f>
        <v>C</v>
      </c>
      <c r="F30" s="56">
        <v>2</v>
      </c>
    </row>
    <row r="31" spans="1:6" x14ac:dyDescent="0.25">
      <c r="A31" s="55" t="s">
        <v>301</v>
      </c>
      <c r="B31" s="41">
        <v>1006829</v>
      </c>
      <c r="C31" s="39" t="s">
        <v>416</v>
      </c>
      <c r="D31" s="40" t="s">
        <v>10</v>
      </c>
      <c r="E31" s="40" t="str">
        <f>IFERROR(IF(INDEX('de para abc'!$C:$C,MATCH($B31,'de para abc'!$A:$A,0))=0,"C",INDEX('de para abc'!$C:$C,MATCH($B31,'de para abc'!$A:$A,0))),IFERROR(IF(INDEX('de para abc'!$C:$C,MATCH($C31,'de para abc'!$B:$B,0))=0,"C",INDEX('de para abc'!$C:$C,MATCH($C31,'de para abc'!$B:$B,0))),"C"))</f>
        <v>C</v>
      </c>
      <c r="F31" s="56">
        <v>2</v>
      </c>
    </row>
    <row r="32" spans="1:6" x14ac:dyDescent="0.25">
      <c r="A32" s="55" t="s">
        <v>301</v>
      </c>
      <c r="B32" s="41">
        <v>1006839</v>
      </c>
      <c r="C32" s="39" t="s">
        <v>417</v>
      </c>
      <c r="D32" s="40" t="s">
        <v>10</v>
      </c>
      <c r="E32" s="40" t="str">
        <f>IFERROR(IF(INDEX('de para abc'!$C:$C,MATCH($B32,'de para abc'!$A:$A,0))=0,"C",INDEX('de para abc'!$C:$C,MATCH($B32,'de para abc'!$A:$A,0))),IFERROR(IF(INDEX('de para abc'!$C:$C,MATCH($C32,'de para abc'!$B:$B,0))=0,"C",INDEX('de para abc'!$C:$C,MATCH($C32,'de para abc'!$B:$B,0))),"C"))</f>
        <v>C</v>
      </c>
      <c r="F32" s="56">
        <v>1</v>
      </c>
    </row>
    <row r="33" spans="1:6" x14ac:dyDescent="0.25">
      <c r="A33" s="55" t="s">
        <v>301</v>
      </c>
      <c r="B33" s="41">
        <v>1001677</v>
      </c>
      <c r="C33" s="39" t="s">
        <v>418</v>
      </c>
      <c r="D33" s="40" t="s">
        <v>18</v>
      </c>
      <c r="E33" s="40" t="str">
        <f>IFERROR(IF(INDEX('de para abc'!$C:$C,MATCH($B33,'de para abc'!$A:$A,0))=0,"C",INDEX('de para abc'!$C:$C,MATCH($B33,'de para abc'!$A:$A,0))),IFERROR(IF(INDEX('de para abc'!$C:$C,MATCH($C33,'de para abc'!$B:$B,0))=0,"C",INDEX('de para abc'!$C:$C,MATCH($C33,'de para abc'!$B:$B,0))),"C"))</f>
        <v>C</v>
      </c>
      <c r="F33" s="56">
        <v>1</v>
      </c>
    </row>
    <row r="34" spans="1:6" x14ac:dyDescent="0.25">
      <c r="A34" s="55" t="s">
        <v>301</v>
      </c>
      <c r="B34" s="41">
        <v>1006832</v>
      </c>
      <c r="C34" s="39" t="s">
        <v>422</v>
      </c>
      <c r="D34" s="40" t="s">
        <v>10</v>
      </c>
      <c r="E34" s="40" t="str">
        <f>IFERROR(IF(INDEX('de para abc'!$C:$C,MATCH($B34,'de para abc'!$A:$A,0))=0,"C",INDEX('de para abc'!$C:$C,MATCH($B34,'de para abc'!$A:$A,0))),IFERROR(IF(INDEX('de para abc'!$C:$C,MATCH($C34,'de para abc'!$B:$B,0))=0,"C",INDEX('de para abc'!$C:$C,MATCH($C34,'de para abc'!$B:$B,0))),"C"))</f>
        <v>C</v>
      </c>
      <c r="F34" s="56">
        <v>2</v>
      </c>
    </row>
    <row r="35" spans="1:6" x14ac:dyDescent="0.25">
      <c r="A35" s="55" t="s">
        <v>301</v>
      </c>
      <c r="B35" s="41">
        <v>1006843</v>
      </c>
      <c r="C35" s="39" t="s">
        <v>427</v>
      </c>
      <c r="D35" s="40" t="s">
        <v>10</v>
      </c>
      <c r="E35" s="40" t="str">
        <f>IFERROR(IF(INDEX('de para abc'!$C:$C,MATCH($B35,'de para abc'!$A:$A,0))=0,"C",INDEX('de para abc'!$C:$C,MATCH($B35,'de para abc'!$A:$A,0))),IFERROR(IF(INDEX('de para abc'!$C:$C,MATCH($C35,'de para abc'!$B:$B,0))=0,"C",INDEX('de para abc'!$C:$C,MATCH($C35,'de para abc'!$B:$B,0))),"C"))</f>
        <v>C</v>
      </c>
      <c r="F35" s="56">
        <v>3</v>
      </c>
    </row>
    <row r="36" spans="1:6" x14ac:dyDescent="0.25">
      <c r="A36" s="55" t="s">
        <v>301</v>
      </c>
      <c r="B36" s="41">
        <v>1006844</v>
      </c>
      <c r="C36" s="39" t="s">
        <v>428</v>
      </c>
      <c r="D36" s="40" t="s">
        <v>10</v>
      </c>
      <c r="E36" s="40" t="str">
        <f>IFERROR(IF(INDEX('de para abc'!$C:$C,MATCH($B36,'de para abc'!$A:$A,0))=0,"C",INDEX('de para abc'!$C:$C,MATCH($B36,'de para abc'!$A:$A,0))),IFERROR(IF(INDEX('de para abc'!$C:$C,MATCH($C36,'de para abc'!$B:$B,0))=0,"C",INDEX('de para abc'!$C:$C,MATCH($C36,'de para abc'!$B:$B,0))),"C"))</f>
        <v>C</v>
      </c>
      <c r="F36" s="56">
        <v>3</v>
      </c>
    </row>
    <row r="37" spans="1:6" x14ac:dyDescent="0.25">
      <c r="A37" s="55" t="s">
        <v>301</v>
      </c>
      <c r="B37" s="41">
        <v>1006845</v>
      </c>
      <c r="C37" s="39" t="s">
        <v>429</v>
      </c>
      <c r="D37" s="40" t="s">
        <v>10</v>
      </c>
      <c r="E37" s="40" t="str">
        <f>IFERROR(IF(INDEX('de para abc'!$C:$C,MATCH($B37,'de para abc'!$A:$A,0))=0,"C",INDEX('de para abc'!$C:$C,MATCH($B37,'de para abc'!$A:$A,0))),IFERROR(IF(INDEX('de para abc'!$C:$C,MATCH($C37,'de para abc'!$B:$B,0))=0,"C",INDEX('de para abc'!$C:$C,MATCH($C37,'de para abc'!$B:$B,0))),"C"))</f>
        <v>C</v>
      </c>
      <c r="F37" s="56">
        <v>2</v>
      </c>
    </row>
    <row r="38" spans="1:6" x14ac:dyDescent="0.25">
      <c r="A38" s="55" t="s">
        <v>301</v>
      </c>
      <c r="B38" s="41">
        <v>1006846</v>
      </c>
      <c r="C38" s="39" t="s">
        <v>430</v>
      </c>
      <c r="D38" s="40" t="s">
        <v>10</v>
      </c>
      <c r="E38" s="40" t="str">
        <f>IFERROR(IF(INDEX('de para abc'!$C:$C,MATCH($B38,'de para abc'!$A:$A,0))=0,"C",INDEX('de para abc'!$C:$C,MATCH($B38,'de para abc'!$A:$A,0))),IFERROR(IF(INDEX('de para abc'!$C:$C,MATCH($C38,'de para abc'!$B:$B,0))=0,"C",INDEX('de para abc'!$C:$C,MATCH($C38,'de para abc'!$B:$B,0))),"C"))</f>
        <v>C</v>
      </c>
      <c r="F38" s="56">
        <v>1</v>
      </c>
    </row>
    <row r="39" spans="1:6" x14ac:dyDescent="0.25">
      <c r="A39" s="55" t="s">
        <v>301</v>
      </c>
      <c r="B39" s="41">
        <v>1000182</v>
      </c>
      <c r="C39" s="39" t="s">
        <v>431</v>
      </c>
      <c r="D39" s="40" t="s">
        <v>10</v>
      </c>
      <c r="E39" s="40" t="str">
        <f>IFERROR(IF(INDEX('de para abc'!$C:$C,MATCH($B39,'de para abc'!$A:$A,0))=0,"C",INDEX('de para abc'!$C:$C,MATCH($B39,'de para abc'!$A:$A,0))),IFERROR(IF(INDEX('de para abc'!$C:$C,MATCH($C39,'de para abc'!$B:$B,0))=0,"C",INDEX('de para abc'!$C:$C,MATCH($C39,'de para abc'!$B:$B,0))),"C"))</f>
        <v>C</v>
      </c>
      <c r="F39" s="56">
        <v>1</v>
      </c>
    </row>
    <row r="40" spans="1:6" x14ac:dyDescent="0.25">
      <c r="A40" s="55" t="s">
        <v>301</v>
      </c>
      <c r="B40" s="41">
        <v>1000183</v>
      </c>
      <c r="C40" s="39" t="s">
        <v>51</v>
      </c>
      <c r="D40" s="40" t="s">
        <v>14</v>
      </c>
      <c r="E40" s="40" t="str">
        <f>IFERROR(IF(INDEX('de para abc'!$C:$C,MATCH($B40,'de para abc'!$A:$A,0))=0,"C",INDEX('de para abc'!$C:$C,MATCH($B40,'de para abc'!$A:$A,0))),IFERROR(IF(INDEX('de para abc'!$C:$C,MATCH($C40,'de para abc'!$B:$B,0))=0,"C",INDEX('de para abc'!$C:$C,MATCH($C40,'de para abc'!$B:$B,0))),"C"))</f>
        <v>A</v>
      </c>
      <c r="F40" s="56">
        <v>1</v>
      </c>
    </row>
    <row r="41" spans="1:6" x14ac:dyDescent="0.25">
      <c r="A41" s="55" t="s">
        <v>301</v>
      </c>
      <c r="B41" s="41">
        <v>1000184</v>
      </c>
      <c r="C41" s="39" t="s">
        <v>28</v>
      </c>
      <c r="D41" s="40" t="s">
        <v>14</v>
      </c>
      <c r="E41" s="40" t="str">
        <f>IFERROR(IF(INDEX('de para abc'!$C:$C,MATCH($B41,'de para abc'!$A:$A,0))=0,"C",INDEX('de para abc'!$C:$C,MATCH($B41,'de para abc'!$A:$A,0))),IFERROR(IF(INDEX('de para abc'!$C:$C,MATCH($C41,'de para abc'!$B:$B,0))=0,"C",INDEX('de para abc'!$C:$C,MATCH($C41,'de para abc'!$B:$B,0))),"C"))</f>
        <v>A</v>
      </c>
      <c r="F41" s="56">
        <v>2</v>
      </c>
    </row>
    <row r="42" spans="1:6" x14ac:dyDescent="0.25">
      <c r="A42" s="55" t="s">
        <v>301</v>
      </c>
      <c r="B42" s="41">
        <v>1000185</v>
      </c>
      <c r="C42" s="39" t="s">
        <v>52</v>
      </c>
      <c r="D42" s="40" t="s">
        <v>14</v>
      </c>
      <c r="E42" s="40" t="str">
        <f>IFERROR(IF(INDEX('de para abc'!$C:$C,MATCH($B42,'de para abc'!$A:$A,0))=0,"C",INDEX('de para abc'!$C:$C,MATCH($B42,'de para abc'!$A:$A,0))),IFERROR(IF(INDEX('de para abc'!$C:$C,MATCH($C42,'de para abc'!$B:$B,0))=0,"C",INDEX('de para abc'!$C:$C,MATCH($C42,'de para abc'!$B:$B,0))),"C"))</f>
        <v>A</v>
      </c>
      <c r="F42" s="56">
        <v>2</v>
      </c>
    </row>
    <row r="43" spans="1:6" x14ac:dyDescent="0.25">
      <c r="A43" s="55" t="s">
        <v>301</v>
      </c>
      <c r="B43" s="41">
        <v>1000195</v>
      </c>
      <c r="C43" s="39" t="s">
        <v>32</v>
      </c>
      <c r="D43" s="40" t="s">
        <v>10</v>
      </c>
      <c r="E43" s="40" t="str">
        <f>IFERROR(IF(INDEX('de para abc'!$C:$C,MATCH($B43,'de para abc'!$A:$A,0))=0,"C",INDEX('de para abc'!$C:$C,MATCH($B43,'de para abc'!$A:$A,0))),IFERROR(IF(INDEX('de para abc'!$C:$C,MATCH($C43,'de para abc'!$B:$B,0))=0,"C",INDEX('de para abc'!$C:$C,MATCH($C43,'de para abc'!$B:$B,0))),"C"))</f>
        <v>A</v>
      </c>
      <c r="F43" s="56">
        <v>5</v>
      </c>
    </row>
    <row r="44" spans="1:6" x14ac:dyDescent="0.25">
      <c r="A44" s="55" t="s">
        <v>301</v>
      </c>
      <c r="B44" s="41">
        <v>1006847</v>
      </c>
      <c r="C44" s="39" t="s">
        <v>434</v>
      </c>
      <c r="D44" s="40" t="s">
        <v>10</v>
      </c>
      <c r="E44" s="40" t="str">
        <f>IFERROR(IF(INDEX('de para abc'!$C:$C,MATCH($B44,'de para abc'!$A:$A,0))=0,"C",INDEX('de para abc'!$C:$C,MATCH($B44,'de para abc'!$A:$A,0))),IFERROR(IF(INDEX('de para abc'!$C:$C,MATCH($C44,'de para abc'!$B:$B,0))=0,"C",INDEX('de para abc'!$C:$C,MATCH($C44,'de para abc'!$B:$B,0))),"C"))</f>
        <v>C</v>
      </c>
      <c r="F44" s="56">
        <v>1</v>
      </c>
    </row>
    <row r="45" spans="1:6" x14ac:dyDescent="0.25">
      <c r="A45" s="55" t="s">
        <v>301</v>
      </c>
      <c r="B45" s="41">
        <v>1006848</v>
      </c>
      <c r="C45" s="39" t="s">
        <v>435</v>
      </c>
      <c r="D45" s="40" t="s">
        <v>10</v>
      </c>
      <c r="E45" s="40" t="str">
        <f>IFERROR(IF(INDEX('de para abc'!$C:$C,MATCH($B45,'de para abc'!$A:$A,0))=0,"C",INDEX('de para abc'!$C:$C,MATCH($B45,'de para abc'!$A:$A,0))),IFERROR(IF(INDEX('de para abc'!$C:$C,MATCH($C45,'de para abc'!$B:$B,0))=0,"C",INDEX('de para abc'!$C:$C,MATCH($C45,'de para abc'!$B:$B,0))),"C"))</f>
        <v>C</v>
      </c>
      <c r="F45" s="56">
        <v>4</v>
      </c>
    </row>
    <row r="46" spans="1:6" x14ac:dyDescent="0.25">
      <c r="A46" s="55" t="s">
        <v>301</v>
      </c>
      <c r="B46" s="41">
        <v>1006849</v>
      </c>
      <c r="C46" s="39" t="s">
        <v>436</v>
      </c>
      <c r="D46" s="40" t="s">
        <v>10</v>
      </c>
      <c r="E46" s="40" t="str">
        <f>IFERROR(IF(INDEX('de para abc'!$C:$C,MATCH($B46,'de para abc'!$A:$A,0))=0,"C",INDEX('de para abc'!$C:$C,MATCH($B46,'de para abc'!$A:$A,0))),IFERROR(IF(INDEX('de para abc'!$C:$C,MATCH($C46,'de para abc'!$B:$B,0))=0,"C",INDEX('de para abc'!$C:$C,MATCH($C46,'de para abc'!$B:$B,0))),"C"))</f>
        <v>C</v>
      </c>
      <c r="F46" s="56">
        <v>4</v>
      </c>
    </row>
    <row r="47" spans="1:6" x14ac:dyDescent="0.25">
      <c r="A47" s="55" t="s">
        <v>301</v>
      </c>
      <c r="B47" s="41">
        <v>1000196</v>
      </c>
      <c r="C47" s="39" t="s">
        <v>64</v>
      </c>
      <c r="D47" s="40" t="s">
        <v>14</v>
      </c>
      <c r="E47" s="40" t="str">
        <f>IFERROR(IF(INDEX('de para abc'!$C:$C,MATCH($B47,'de para abc'!$A:$A,0))=0,"C",INDEX('de para abc'!$C:$C,MATCH($B47,'de para abc'!$A:$A,0))),IFERROR(IF(INDEX('de para abc'!$C:$C,MATCH($C47,'de para abc'!$B:$B,0))=0,"C",INDEX('de para abc'!$C:$C,MATCH($C47,'de para abc'!$B:$B,0))),"C"))</f>
        <v>A</v>
      </c>
      <c r="F47" s="56">
        <v>2</v>
      </c>
    </row>
    <row r="48" spans="1:6" x14ac:dyDescent="0.25">
      <c r="A48" s="55" t="s">
        <v>301</v>
      </c>
      <c r="B48" s="41">
        <v>1000197</v>
      </c>
      <c r="C48" s="39" t="s">
        <v>53</v>
      </c>
      <c r="D48" s="40" t="s">
        <v>14</v>
      </c>
      <c r="E48" s="40" t="str">
        <f>IFERROR(IF(INDEX('de para abc'!$C:$C,MATCH($B48,'de para abc'!$A:$A,0))=0,"C",INDEX('de para abc'!$C:$C,MATCH($B48,'de para abc'!$A:$A,0))),IFERROR(IF(INDEX('de para abc'!$C:$C,MATCH($C48,'de para abc'!$B:$B,0))=0,"C",INDEX('de para abc'!$C:$C,MATCH($C48,'de para abc'!$B:$B,0))),"C"))</f>
        <v>A</v>
      </c>
      <c r="F48" s="56">
        <v>2</v>
      </c>
    </row>
    <row r="49" spans="1:6" x14ac:dyDescent="0.25">
      <c r="A49" s="55" t="s">
        <v>301</v>
      </c>
      <c r="B49" s="41">
        <v>1000198</v>
      </c>
      <c r="C49" s="39" t="s">
        <v>65</v>
      </c>
      <c r="D49" s="40" t="s">
        <v>14</v>
      </c>
      <c r="E49" s="40" t="str">
        <f>IFERROR(IF(INDEX('de para abc'!$C:$C,MATCH($B49,'de para abc'!$A:$A,0))=0,"C",INDEX('de para abc'!$C:$C,MATCH($B49,'de para abc'!$A:$A,0))),IFERROR(IF(INDEX('de para abc'!$C:$C,MATCH($C49,'de para abc'!$B:$B,0))=0,"C",INDEX('de para abc'!$C:$C,MATCH($C49,'de para abc'!$B:$B,0))),"C"))</f>
        <v>A</v>
      </c>
      <c r="F49" s="56">
        <v>2</v>
      </c>
    </row>
    <row r="50" spans="1:6" x14ac:dyDescent="0.25">
      <c r="A50" s="55" t="s">
        <v>301</v>
      </c>
      <c r="B50" s="41">
        <v>9000020</v>
      </c>
      <c r="C50" s="39" t="s">
        <v>144</v>
      </c>
      <c r="D50" s="40" t="s">
        <v>18</v>
      </c>
      <c r="E50" s="40" t="str">
        <f>IFERROR(IF(INDEX('de para abc'!$C:$C,MATCH($B50,'de para abc'!$A:$A,0))=0,"C",INDEX('de para abc'!$C:$C,MATCH($B50,'de para abc'!$A:$A,0))),IFERROR(IF(INDEX('de para abc'!$C:$C,MATCH($C50,'de para abc'!$B:$B,0))=0,"C",INDEX('de para abc'!$C:$C,MATCH($C50,'de para abc'!$B:$B,0))),"C"))</f>
        <v>C</v>
      </c>
      <c r="F50" s="56">
        <v>1</v>
      </c>
    </row>
    <row r="51" spans="1:6" x14ac:dyDescent="0.25">
      <c r="A51" s="55" t="s">
        <v>301</v>
      </c>
      <c r="B51" s="41">
        <v>1001045</v>
      </c>
      <c r="C51" s="39" t="s">
        <v>145</v>
      </c>
      <c r="D51" s="40" t="s">
        <v>10</v>
      </c>
      <c r="E51" s="40" t="str">
        <f>IFERROR(IF(INDEX('de para abc'!$C:$C,MATCH($B51,'de para abc'!$A:$A,0))=0,"C",INDEX('de para abc'!$C:$C,MATCH($B51,'de para abc'!$A:$A,0))),IFERROR(IF(INDEX('de para abc'!$C:$C,MATCH($C51,'de para abc'!$B:$B,0))=0,"C",INDEX('de para abc'!$C:$C,MATCH($C51,'de para abc'!$B:$B,0))),"C"))</f>
        <v>A</v>
      </c>
      <c r="F51" s="56">
        <v>3</v>
      </c>
    </row>
    <row r="52" spans="1:6" x14ac:dyDescent="0.25">
      <c r="A52" s="55" t="s">
        <v>301</v>
      </c>
      <c r="B52" s="41">
        <v>9000059</v>
      </c>
      <c r="C52" s="39" t="s">
        <v>736</v>
      </c>
      <c r="D52" s="40" t="s">
        <v>18</v>
      </c>
      <c r="E52" s="40" t="str">
        <f>IFERROR(IF(INDEX('de para abc'!$C:$C,MATCH($B52,'de para abc'!$A:$A,0))=0,"C",INDEX('de para abc'!$C:$C,MATCH($B52,'de para abc'!$A:$A,0))),IFERROR(IF(INDEX('de para abc'!$C:$C,MATCH($C52,'de para abc'!$B:$B,0))=0,"C",INDEX('de para abc'!$C:$C,MATCH($C52,'de para abc'!$B:$B,0))),"C"))</f>
        <v>C</v>
      </c>
      <c r="F52" s="56">
        <v>2</v>
      </c>
    </row>
    <row r="53" spans="1:6" x14ac:dyDescent="0.25">
      <c r="A53" s="55" t="s">
        <v>301</v>
      </c>
      <c r="B53" s="41">
        <v>1000224</v>
      </c>
      <c r="C53" s="39" t="s">
        <v>146</v>
      </c>
      <c r="D53" s="40" t="s">
        <v>14</v>
      </c>
      <c r="E53" s="40" t="str">
        <f>IFERROR(IF(INDEX('de para abc'!$C:$C,MATCH($B53,'de para abc'!$A:$A,0))=0,"C",INDEX('de para abc'!$C:$C,MATCH($B53,'de para abc'!$A:$A,0))),IFERROR(IF(INDEX('de para abc'!$C:$C,MATCH($C53,'de para abc'!$B:$B,0))=0,"C",INDEX('de para abc'!$C:$C,MATCH($C53,'de para abc'!$B:$B,0))),"C"))</f>
        <v>A</v>
      </c>
      <c r="F53" s="56">
        <v>4</v>
      </c>
    </row>
    <row r="54" spans="1:6" x14ac:dyDescent="0.25">
      <c r="A54" s="55" t="s">
        <v>301</v>
      </c>
      <c r="B54" s="41">
        <v>1000607</v>
      </c>
      <c r="C54" s="39" t="s">
        <v>442</v>
      </c>
      <c r="D54" s="40" t="s">
        <v>14</v>
      </c>
      <c r="E54" s="40" t="str">
        <f>IFERROR(IF(INDEX('de para abc'!$C:$C,MATCH($B54,'de para abc'!$A:$A,0))=0,"C",INDEX('de para abc'!$C:$C,MATCH($B54,'de para abc'!$A:$A,0))),IFERROR(IF(INDEX('de para abc'!$C:$C,MATCH($C54,'de para abc'!$B:$B,0))=0,"C",INDEX('de para abc'!$C:$C,MATCH($C54,'de para abc'!$B:$B,0))),"C"))</f>
        <v>C</v>
      </c>
      <c r="F54" s="56">
        <v>1</v>
      </c>
    </row>
    <row r="55" spans="1:6" x14ac:dyDescent="0.25">
      <c r="A55" s="55" t="s">
        <v>301</v>
      </c>
      <c r="B55" s="41">
        <v>1001299</v>
      </c>
      <c r="C55" s="39" t="s">
        <v>149</v>
      </c>
      <c r="D55" s="40" t="s">
        <v>14</v>
      </c>
      <c r="E55" s="40" t="str">
        <f>IFERROR(IF(INDEX('de para abc'!$C:$C,MATCH($B55,'de para abc'!$A:$A,0))=0,"C",INDEX('de para abc'!$C:$C,MATCH($B55,'de para abc'!$A:$A,0))),IFERROR(IF(INDEX('de para abc'!$C:$C,MATCH($C55,'de para abc'!$B:$B,0))=0,"C",INDEX('de para abc'!$C:$C,MATCH($C55,'de para abc'!$B:$B,0))),"C"))</f>
        <v>A</v>
      </c>
      <c r="F55" s="56">
        <v>1</v>
      </c>
    </row>
    <row r="56" spans="1:6" x14ac:dyDescent="0.25">
      <c r="A56" s="55" t="s">
        <v>301</v>
      </c>
      <c r="B56" s="41">
        <v>1001284</v>
      </c>
      <c r="C56" s="39" t="s">
        <v>449</v>
      </c>
      <c r="D56" s="40" t="s">
        <v>14</v>
      </c>
      <c r="E56" s="40" t="str">
        <f>IFERROR(IF(INDEX('de para abc'!$C:$C,MATCH($B56,'de para abc'!$A:$A,0))=0,"C",INDEX('de para abc'!$C:$C,MATCH($B56,'de para abc'!$A:$A,0))),IFERROR(IF(INDEX('de para abc'!$C:$C,MATCH($C56,'de para abc'!$B:$B,0))=0,"C",INDEX('de para abc'!$C:$C,MATCH($C56,'de para abc'!$B:$B,0))),"C"))</f>
        <v>C</v>
      </c>
      <c r="F56" s="56">
        <v>1</v>
      </c>
    </row>
    <row r="57" spans="1:6" x14ac:dyDescent="0.25">
      <c r="A57" s="55" t="s">
        <v>301</v>
      </c>
      <c r="B57" s="41">
        <v>1000254</v>
      </c>
      <c r="C57" s="39" t="s">
        <v>151</v>
      </c>
      <c r="D57" s="40" t="s">
        <v>10</v>
      </c>
      <c r="E57" s="40" t="str">
        <f>IFERROR(IF(INDEX('de para abc'!$C:$C,MATCH($B57,'de para abc'!$A:$A,0))=0,"C",INDEX('de para abc'!$C:$C,MATCH($B57,'de para abc'!$A:$A,0))),IFERROR(IF(INDEX('de para abc'!$C:$C,MATCH($C57,'de para abc'!$B:$B,0))=0,"C",INDEX('de para abc'!$C:$C,MATCH($C57,'de para abc'!$B:$B,0))),"C"))</f>
        <v>A</v>
      </c>
      <c r="F57" s="56">
        <v>2</v>
      </c>
    </row>
    <row r="58" spans="1:6" x14ac:dyDescent="0.25">
      <c r="A58" s="55" t="s">
        <v>301</v>
      </c>
      <c r="B58" s="41">
        <v>1000256</v>
      </c>
      <c r="C58" s="39" t="s">
        <v>36</v>
      </c>
      <c r="D58" s="40" t="s">
        <v>14</v>
      </c>
      <c r="E58" s="40" t="str">
        <f>IFERROR(IF(INDEX('de para abc'!$C:$C,MATCH($B58,'de para abc'!$A:$A,0))=0,"C",INDEX('de para abc'!$C:$C,MATCH($B58,'de para abc'!$A:$A,0))),IFERROR(IF(INDEX('de para abc'!$C:$C,MATCH($C58,'de para abc'!$B:$B,0))=0,"C",INDEX('de para abc'!$C:$C,MATCH($C58,'de para abc'!$B:$B,0))),"C"))</f>
        <v>B</v>
      </c>
      <c r="F58" s="56">
        <v>1</v>
      </c>
    </row>
    <row r="59" spans="1:6" x14ac:dyDescent="0.25">
      <c r="A59" s="55" t="s">
        <v>301</v>
      </c>
      <c r="B59" s="41">
        <v>1001264</v>
      </c>
      <c r="C59" s="39" t="s">
        <v>37</v>
      </c>
      <c r="D59" s="40" t="s">
        <v>14</v>
      </c>
      <c r="E59" s="40" t="str">
        <f>IFERROR(IF(INDEX('de para abc'!$C:$C,MATCH($B59,'de para abc'!$A:$A,0))=0,"C",INDEX('de para abc'!$C:$C,MATCH($B59,'de para abc'!$A:$A,0))),IFERROR(IF(INDEX('de para abc'!$C:$C,MATCH($C59,'de para abc'!$B:$B,0))=0,"C",INDEX('de para abc'!$C:$C,MATCH($C59,'de para abc'!$B:$B,0))),"C"))</f>
        <v>A</v>
      </c>
      <c r="F59" s="56">
        <v>3</v>
      </c>
    </row>
    <row r="60" spans="1:6" x14ac:dyDescent="0.25">
      <c r="A60" s="55" t="s">
        <v>301</v>
      </c>
      <c r="B60" s="41">
        <v>1001668</v>
      </c>
      <c r="C60" s="39" t="s">
        <v>153</v>
      </c>
      <c r="D60" s="40" t="s">
        <v>18</v>
      </c>
      <c r="E60" s="40" t="str">
        <f>IFERROR(IF(INDEX('de para abc'!$C:$C,MATCH($B60,'de para abc'!$A:$A,0))=0,"C",INDEX('de para abc'!$C:$C,MATCH($B60,'de para abc'!$A:$A,0))),IFERROR(IF(INDEX('de para abc'!$C:$C,MATCH($C60,'de para abc'!$B:$B,0))=0,"C",INDEX('de para abc'!$C:$C,MATCH($C60,'de para abc'!$B:$B,0))),"C"))</f>
        <v>B</v>
      </c>
      <c r="F60" s="56">
        <v>1</v>
      </c>
    </row>
    <row r="61" spans="1:6" x14ac:dyDescent="0.25">
      <c r="A61" s="55" t="s">
        <v>301</v>
      </c>
      <c r="B61" s="41">
        <v>1000586</v>
      </c>
      <c r="C61" s="39" t="s">
        <v>456</v>
      </c>
      <c r="D61" s="40" t="s">
        <v>14</v>
      </c>
      <c r="E61" s="40" t="str">
        <f>IFERROR(IF(INDEX('de para abc'!$C:$C,MATCH($B61,'de para abc'!$A:$A,0))=0,"C",INDEX('de para abc'!$C:$C,MATCH($B61,'de para abc'!$A:$A,0))),IFERROR(IF(INDEX('de para abc'!$C:$C,MATCH($C61,'de para abc'!$B:$B,0))=0,"C",INDEX('de para abc'!$C:$C,MATCH($C61,'de para abc'!$B:$B,0))),"C"))</f>
        <v>C</v>
      </c>
      <c r="F61" s="56">
        <v>3</v>
      </c>
    </row>
    <row r="62" spans="1:6" x14ac:dyDescent="0.25">
      <c r="A62" s="55" t="s">
        <v>301</v>
      </c>
      <c r="B62" s="41">
        <v>1000292</v>
      </c>
      <c r="C62" s="39" t="s">
        <v>457</v>
      </c>
      <c r="D62" s="40" t="s">
        <v>14</v>
      </c>
      <c r="E62" s="40" t="str">
        <f>IFERROR(IF(INDEX('de para abc'!$C:$C,MATCH($B62,'de para abc'!$A:$A,0))=0,"C",INDEX('de para abc'!$C:$C,MATCH($B62,'de para abc'!$A:$A,0))),IFERROR(IF(INDEX('de para abc'!$C:$C,MATCH($C62,'de para abc'!$B:$B,0))=0,"C",INDEX('de para abc'!$C:$C,MATCH($C62,'de para abc'!$B:$B,0))),"C"))</f>
        <v>C</v>
      </c>
      <c r="F62" s="56">
        <v>1</v>
      </c>
    </row>
    <row r="63" spans="1:6" x14ac:dyDescent="0.25">
      <c r="A63" s="55" t="s">
        <v>301</v>
      </c>
      <c r="B63" s="41">
        <v>1000293</v>
      </c>
      <c r="C63" s="39" t="s">
        <v>458</v>
      </c>
      <c r="D63" s="40" t="s">
        <v>14</v>
      </c>
      <c r="E63" s="40" t="str">
        <f>IFERROR(IF(INDEX('de para abc'!$C:$C,MATCH($B63,'de para abc'!$A:$A,0))=0,"C",INDEX('de para abc'!$C:$C,MATCH($B63,'de para abc'!$A:$A,0))),IFERROR(IF(INDEX('de para abc'!$C:$C,MATCH($C63,'de para abc'!$B:$B,0))=0,"C",INDEX('de para abc'!$C:$C,MATCH($C63,'de para abc'!$B:$B,0))),"C"))</f>
        <v>C</v>
      </c>
      <c r="F63" s="56">
        <v>2</v>
      </c>
    </row>
    <row r="64" spans="1:6" x14ac:dyDescent="0.25">
      <c r="A64" s="55" t="s">
        <v>301</v>
      </c>
      <c r="B64" s="41">
        <v>1001189</v>
      </c>
      <c r="C64" s="39" t="s">
        <v>459</v>
      </c>
      <c r="D64" s="40" t="s">
        <v>14</v>
      </c>
      <c r="E64" s="40" t="str">
        <f>IFERROR(IF(INDEX('de para abc'!$C:$C,MATCH($B64,'de para abc'!$A:$A,0))=0,"C",INDEX('de para abc'!$C:$C,MATCH($B64,'de para abc'!$A:$A,0))),IFERROR(IF(INDEX('de para abc'!$C:$C,MATCH($C64,'de para abc'!$B:$B,0))=0,"C",INDEX('de para abc'!$C:$C,MATCH($C64,'de para abc'!$B:$B,0))),"C"))</f>
        <v>C</v>
      </c>
      <c r="F64" s="56">
        <v>2</v>
      </c>
    </row>
    <row r="65" spans="1:6" x14ac:dyDescent="0.25">
      <c r="A65" s="55" t="s">
        <v>301</v>
      </c>
      <c r="B65" s="41">
        <v>1000300</v>
      </c>
      <c r="C65" s="39" t="s">
        <v>1785</v>
      </c>
      <c r="D65" s="40" t="s">
        <v>10</v>
      </c>
      <c r="E65" s="40" t="str">
        <f>IFERROR(IF(INDEX('de para abc'!$C:$C,MATCH($B65,'de para abc'!$A:$A,0))=0,"C",INDEX('de para abc'!$C:$C,MATCH($B65,'de para abc'!$A:$A,0))),IFERROR(IF(INDEX('de para abc'!$C:$C,MATCH($C65,'de para abc'!$B:$B,0))=0,"C",INDEX('de para abc'!$C:$C,MATCH($C65,'de para abc'!$B:$B,0))),"C"))</f>
        <v>B</v>
      </c>
      <c r="F65" s="56">
        <v>1</v>
      </c>
    </row>
    <row r="66" spans="1:6" x14ac:dyDescent="0.25">
      <c r="A66" s="55" t="s">
        <v>301</v>
      </c>
      <c r="B66" s="41">
        <v>1001241</v>
      </c>
      <c r="C66" s="39" t="s">
        <v>205</v>
      </c>
      <c r="D66" s="40" t="s">
        <v>14</v>
      </c>
      <c r="E66" s="40" t="str">
        <f>IFERROR(IF(INDEX('de para abc'!$C:$C,MATCH($B66,'de para abc'!$A:$A,0))=0,"C",INDEX('de para abc'!$C:$C,MATCH($B66,'de para abc'!$A:$A,0))),IFERROR(IF(INDEX('de para abc'!$C:$C,MATCH($C66,'de para abc'!$B:$B,0))=0,"C",INDEX('de para abc'!$C:$C,MATCH($C66,'de para abc'!$B:$B,0))),"C"))</f>
        <v>B</v>
      </c>
      <c r="F66" s="56">
        <v>1</v>
      </c>
    </row>
    <row r="67" spans="1:6" x14ac:dyDescent="0.25">
      <c r="A67" s="55" t="s">
        <v>301</v>
      </c>
      <c r="B67" s="41">
        <v>1008885</v>
      </c>
      <c r="C67" s="39" t="s">
        <v>1131</v>
      </c>
      <c r="D67" s="40" t="s">
        <v>157</v>
      </c>
      <c r="E67" s="40" t="str">
        <f>IFERROR(IF(INDEX('de para abc'!$C:$C,MATCH($B67,'de para abc'!$A:$A,0))=0,"C",INDEX('de para abc'!$C:$C,MATCH($B67,'de para abc'!$A:$A,0))),IFERROR(IF(INDEX('de para abc'!$C:$C,MATCH($C67,'de para abc'!$B:$B,0))=0,"C",INDEX('de para abc'!$C:$C,MATCH($C67,'de para abc'!$B:$B,0))),"C"))</f>
        <v>C</v>
      </c>
      <c r="F67" s="56">
        <v>1</v>
      </c>
    </row>
    <row r="68" spans="1:6" x14ac:dyDescent="0.25">
      <c r="A68" s="55" t="s">
        <v>301</v>
      </c>
      <c r="B68" s="41">
        <v>1002111</v>
      </c>
      <c r="C68" s="39" t="s">
        <v>462</v>
      </c>
      <c r="D68" s="40" t="s">
        <v>463</v>
      </c>
      <c r="E68" s="40" t="str">
        <f>IFERROR(IF(INDEX('de para abc'!$C:$C,MATCH($B68,'de para abc'!$A:$A,0))=0,"C",INDEX('de para abc'!$C:$C,MATCH($B68,'de para abc'!$A:$A,0))),IFERROR(IF(INDEX('de para abc'!$C:$C,MATCH($C68,'de para abc'!$B:$B,0))=0,"C",INDEX('de para abc'!$C:$C,MATCH($C68,'de para abc'!$B:$B,0))),"C"))</f>
        <v>C</v>
      </c>
      <c r="F68" s="56">
        <v>2</v>
      </c>
    </row>
    <row r="69" spans="1:6" x14ac:dyDescent="0.25">
      <c r="A69" s="55" t="s">
        <v>301</v>
      </c>
      <c r="B69" s="41">
        <v>1000319</v>
      </c>
      <c r="C69" s="39" t="s">
        <v>54</v>
      </c>
      <c r="D69" s="40" t="s">
        <v>14</v>
      </c>
      <c r="E69" s="40" t="str">
        <f>IFERROR(IF(INDEX('de para abc'!$C:$C,MATCH($B69,'de para abc'!$A:$A,0))=0,"C",INDEX('de para abc'!$C:$C,MATCH($B69,'de para abc'!$A:$A,0))),IFERROR(IF(INDEX('de para abc'!$C:$C,MATCH($C69,'de para abc'!$B:$B,0))=0,"C",INDEX('de para abc'!$C:$C,MATCH($C69,'de para abc'!$B:$B,0))),"C"))</f>
        <v>A</v>
      </c>
      <c r="F69" s="56">
        <v>3</v>
      </c>
    </row>
    <row r="70" spans="1:6" x14ac:dyDescent="0.25">
      <c r="A70" s="55" t="s">
        <v>301</v>
      </c>
      <c r="B70" s="41">
        <v>1001660</v>
      </c>
      <c r="C70" s="39" t="s">
        <v>41</v>
      </c>
      <c r="D70" s="40" t="s">
        <v>10</v>
      </c>
      <c r="E70" s="40" t="str">
        <f>IFERROR(IF(INDEX('de para abc'!$C:$C,MATCH($B70,'de para abc'!$A:$A,0))=0,"C",INDEX('de para abc'!$C:$C,MATCH($B70,'de para abc'!$A:$A,0))),IFERROR(IF(INDEX('de para abc'!$C:$C,MATCH($C70,'de para abc'!$B:$B,0))=0,"C",INDEX('de para abc'!$C:$C,MATCH($C70,'de para abc'!$B:$B,0))),"C"))</f>
        <v>B</v>
      </c>
      <c r="F70" s="56">
        <v>1</v>
      </c>
    </row>
    <row r="71" spans="1:6" x14ac:dyDescent="0.25">
      <c r="A71" s="55" t="s">
        <v>301</v>
      </c>
      <c r="B71" s="41">
        <v>9000018</v>
      </c>
      <c r="C71" s="39" t="s">
        <v>1174</v>
      </c>
      <c r="D71" s="40" t="s">
        <v>18</v>
      </c>
      <c r="E71" s="40" t="str">
        <f>IFERROR(IF(INDEX('de para abc'!$C:$C,MATCH($B71,'de para abc'!$A:$A,0))=0,"C",INDEX('de para abc'!$C:$C,MATCH($B71,'de para abc'!$A:$A,0))),IFERROR(IF(INDEX('de para abc'!$C:$C,MATCH($C71,'de para abc'!$B:$B,0))=0,"C",INDEX('de para abc'!$C:$C,MATCH($C71,'de para abc'!$B:$B,0))),"C"))</f>
        <v>C</v>
      </c>
      <c r="F71" s="56">
        <v>1</v>
      </c>
    </row>
    <row r="72" spans="1:6" x14ac:dyDescent="0.25">
      <c r="A72" s="55" t="s">
        <v>301</v>
      </c>
      <c r="B72" s="41">
        <v>1000340</v>
      </c>
      <c r="C72" s="39" t="s">
        <v>159</v>
      </c>
      <c r="D72" s="40" t="s">
        <v>10</v>
      </c>
      <c r="E72" s="40" t="str">
        <f>IFERROR(IF(INDEX('de para abc'!$C:$C,MATCH($B72,'de para abc'!$A:$A,0))=0,"C",INDEX('de para abc'!$C:$C,MATCH($B72,'de para abc'!$A:$A,0))),IFERROR(IF(INDEX('de para abc'!$C:$C,MATCH($C72,'de para abc'!$B:$B,0))=0,"C",INDEX('de para abc'!$C:$C,MATCH($C72,'de para abc'!$B:$B,0))),"C"))</f>
        <v>A</v>
      </c>
      <c r="F72" s="56">
        <v>2</v>
      </c>
    </row>
    <row r="73" spans="1:6" x14ac:dyDescent="0.25">
      <c r="A73" s="55" t="s">
        <v>301</v>
      </c>
      <c r="B73" s="41">
        <v>1000348</v>
      </c>
      <c r="C73" s="39" t="s">
        <v>43</v>
      </c>
      <c r="D73" s="40" t="s">
        <v>10</v>
      </c>
      <c r="E73" s="40" t="str">
        <f>IFERROR(IF(INDEX('de para abc'!$C:$C,MATCH($B73,'de para abc'!$A:$A,0))=0,"C",INDEX('de para abc'!$C:$C,MATCH($B73,'de para abc'!$A:$A,0))),IFERROR(IF(INDEX('de para abc'!$C:$C,MATCH($C73,'de para abc'!$B:$B,0))=0,"C",INDEX('de para abc'!$C:$C,MATCH($C73,'de para abc'!$B:$B,0))),"C"))</f>
        <v>A</v>
      </c>
      <c r="F73" s="56">
        <v>1</v>
      </c>
    </row>
    <row r="74" spans="1:6" x14ac:dyDescent="0.25">
      <c r="A74" s="55" t="s">
        <v>301</v>
      </c>
      <c r="B74" s="41">
        <v>1000503</v>
      </c>
      <c r="C74" s="39" t="s">
        <v>472</v>
      </c>
      <c r="D74" s="40" t="s">
        <v>10</v>
      </c>
      <c r="E74" s="40" t="str">
        <f>IFERROR(IF(INDEX('de para abc'!$C:$C,MATCH($B74,'de para abc'!$A:$A,0))=0,"C",INDEX('de para abc'!$C:$C,MATCH($B74,'de para abc'!$A:$A,0))),IFERROR(IF(INDEX('de para abc'!$C:$C,MATCH($C74,'de para abc'!$B:$B,0))=0,"C",INDEX('de para abc'!$C:$C,MATCH($C74,'de para abc'!$B:$B,0))),"C"))</f>
        <v>C</v>
      </c>
      <c r="F74" s="56">
        <v>1</v>
      </c>
    </row>
    <row r="75" spans="1:6" x14ac:dyDescent="0.25">
      <c r="A75" s="55" t="s">
        <v>301</v>
      </c>
      <c r="B75" s="41">
        <v>1000363</v>
      </c>
      <c r="C75" s="39" t="s">
        <v>160</v>
      </c>
      <c r="D75" s="40" t="s">
        <v>10</v>
      </c>
      <c r="E75" s="40" t="str">
        <f>IFERROR(IF(INDEX('de para abc'!$C:$C,MATCH($B75,'de para abc'!$A:$A,0))=0,"C",INDEX('de para abc'!$C:$C,MATCH($B75,'de para abc'!$A:$A,0))),IFERROR(IF(INDEX('de para abc'!$C:$C,MATCH($C75,'de para abc'!$B:$B,0))=0,"C",INDEX('de para abc'!$C:$C,MATCH($C75,'de para abc'!$B:$B,0))),"C"))</f>
        <v>A</v>
      </c>
      <c r="F75" s="56">
        <v>1</v>
      </c>
    </row>
    <row r="76" spans="1:6" x14ac:dyDescent="0.25">
      <c r="A76" s="55" t="s">
        <v>301</v>
      </c>
      <c r="B76" s="41">
        <v>9000038</v>
      </c>
      <c r="C76" s="39" t="s">
        <v>473</v>
      </c>
      <c r="D76" s="40" t="s">
        <v>18</v>
      </c>
      <c r="E76" s="40" t="str">
        <f>IFERROR(IF(INDEX('de para abc'!$C:$C,MATCH($B76,'de para abc'!$A:$A,0))=0,"C",INDEX('de para abc'!$C:$C,MATCH($B76,'de para abc'!$A:$A,0))),IFERROR(IF(INDEX('de para abc'!$C:$C,MATCH($C76,'de para abc'!$B:$B,0))=0,"C",INDEX('de para abc'!$C:$C,MATCH($C76,'de para abc'!$B:$B,0))),"C"))</f>
        <v>C</v>
      </c>
      <c r="F76" s="56">
        <v>1</v>
      </c>
    </row>
    <row r="77" spans="1:6" x14ac:dyDescent="0.25">
      <c r="A77" s="55" t="s">
        <v>301</v>
      </c>
      <c r="B77" s="41">
        <v>1000910</v>
      </c>
      <c r="C77" s="39" t="s">
        <v>476</v>
      </c>
      <c r="D77" s="40" t="s">
        <v>10</v>
      </c>
      <c r="E77" s="40" t="str">
        <f>IFERROR(IF(INDEX('de para abc'!$C:$C,MATCH($B77,'de para abc'!$A:$A,0))=0,"C",INDEX('de para abc'!$C:$C,MATCH($B77,'de para abc'!$A:$A,0))),IFERROR(IF(INDEX('de para abc'!$C:$C,MATCH($C77,'de para abc'!$B:$B,0))=0,"C",INDEX('de para abc'!$C:$C,MATCH($C77,'de para abc'!$B:$B,0))),"C"))</f>
        <v>C</v>
      </c>
      <c r="F77" s="56">
        <v>1</v>
      </c>
    </row>
    <row r="78" spans="1:6" x14ac:dyDescent="0.25">
      <c r="A78" s="55" t="s">
        <v>301</v>
      </c>
      <c r="B78" s="41">
        <v>1000545</v>
      </c>
      <c r="C78" s="39" t="s">
        <v>1783</v>
      </c>
      <c r="D78" s="40" t="s">
        <v>14</v>
      </c>
      <c r="E78" s="40" t="str">
        <f>IFERROR(IF(INDEX('de para abc'!$C:$C,MATCH($B78,'de para abc'!$A:$A,0))=0,"C",INDEX('de para abc'!$C:$C,MATCH($B78,'de para abc'!$A:$A,0))),IFERROR(IF(INDEX('de para abc'!$C:$C,MATCH($C78,'de para abc'!$B:$B,0))=0,"C",INDEX('de para abc'!$C:$C,MATCH($C78,'de para abc'!$B:$B,0))),"C"))</f>
        <v>A</v>
      </c>
      <c r="F78" s="56">
        <v>16</v>
      </c>
    </row>
    <row r="79" spans="1:6" x14ac:dyDescent="0.25">
      <c r="A79" s="55" t="s">
        <v>301</v>
      </c>
      <c r="B79" s="41">
        <v>1006136</v>
      </c>
      <c r="C79" s="39" t="s">
        <v>1787</v>
      </c>
      <c r="D79" s="40" t="s">
        <v>14</v>
      </c>
      <c r="E79" s="40" t="str">
        <f>IFERROR(IF(INDEX('de para abc'!$C:$C,MATCH($B79,'de para abc'!$A:$A,0))=0,"C",INDEX('de para abc'!$C:$C,MATCH($B79,'de para abc'!$A:$A,0))),IFERROR(IF(INDEX('de para abc'!$C:$C,MATCH($C79,'de para abc'!$B:$B,0))=0,"C",INDEX('de para abc'!$C:$C,MATCH($C79,'de para abc'!$B:$B,0))),"C"))</f>
        <v>B</v>
      </c>
      <c r="F79" s="56">
        <v>8</v>
      </c>
    </row>
    <row r="80" spans="1:6" x14ac:dyDescent="0.25">
      <c r="A80" s="55" t="s">
        <v>301</v>
      </c>
      <c r="B80" s="41">
        <v>1000417</v>
      </c>
      <c r="C80" s="39" t="s">
        <v>163</v>
      </c>
      <c r="D80" s="40" t="s">
        <v>14</v>
      </c>
      <c r="E80" s="40" t="str">
        <f>IFERROR(IF(INDEX('de para abc'!$C:$C,MATCH($B80,'de para abc'!$A:$A,0))=0,"C",INDEX('de para abc'!$C:$C,MATCH($B80,'de para abc'!$A:$A,0))),IFERROR(IF(INDEX('de para abc'!$C:$C,MATCH($C80,'de para abc'!$B:$B,0))=0,"C",INDEX('de para abc'!$C:$C,MATCH($C80,'de para abc'!$B:$B,0))),"C"))</f>
        <v>A</v>
      </c>
      <c r="F80" s="56">
        <v>3</v>
      </c>
    </row>
    <row r="81" spans="1:6" x14ac:dyDescent="0.25">
      <c r="A81" s="55" t="s">
        <v>301</v>
      </c>
      <c r="B81" s="41">
        <v>1006876</v>
      </c>
      <c r="C81" s="39" t="s">
        <v>2543</v>
      </c>
      <c r="D81" s="40" t="s">
        <v>10</v>
      </c>
      <c r="E81" s="40" t="str">
        <f>IFERROR(IF(INDEX('de para abc'!$C:$C,MATCH($B81,'de para abc'!$A:$A,0))=0,"C",INDEX('de para abc'!$C:$C,MATCH($B81,'de para abc'!$A:$A,0))),IFERROR(IF(INDEX('de para abc'!$C:$C,MATCH($C81,'de para abc'!$B:$B,0))=0,"C",INDEX('de para abc'!$C:$C,MATCH($C81,'de para abc'!$B:$B,0))),"C"))</f>
        <v>C</v>
      </c>
      <c r="F81" s="56">
        <v>1</v>
      </c>
    </row>
    <row r="82" spans="1:6" x14ac:dyDescent="0.25">
      <c r="A82" s="55" t="s">
        <v>301</v>
      </c>
      <c r="B82" s="41">
        <v>1000534</v>
      </c>
      <c r="C82" s="39" t="s">
        <v>484</v>
      </c>
      <c r="D82" s="40" t="s">
        <v>14</v>
      </c>
      <c r="E82" s="40" t="str">
        <f>IFERROR(IF(INDEX('de para abc'!$C:$C,MATCH($B82,'de para abc'!$A:$A,0))=0,"C",INDEX('de para abc'!$C:$C,MATCH($B82,'de para abc'!$A:$A,0))),IFERROR(IF(INDEX('de para abc'!$C:$C,MATCH($C82,'de para abc'!$B:$B,0))=0,"C",INDEX('de para abc'!$C:$C,MATCH($C82,'de para abc'!$B:$B,0))),"C"))</f>
        <v>C</v>
      </c>
      <c r="F82" s="56">
        <v>4</v>
      </c>
    </row>
    <row r="83" spans="1:6" x14ac:dyDescent="0.25">
      <c r="A83" s="55" t="s">
        <v>301</v>
      </c>
      <c r="B83" s="41">
        <v>1001197</v>
      </c>
      <c r="C83" s="39" t="s">
        <v>485</v>
      </c>
      <c r="D83" s="40" t="s">
        <v>14</v>
      </c>
      <c r="E83" s="40" t="str">
        <f>IFERROR(IF(INDEX('de para abc'!$C:$C,MATCH($B83,'de para abc'!$A:$A,0))=0,"C",INDEX('de para abc'!$C:$C,MATCH($B83,'de para abc'!$A:$A,0))),IFERROR(IF(INDEX('de para abc'!$C:$C,MATCH($C83,'de para abc'!$B:$B,0))=0,"C",INDEX('de para abc'!$C:$C,MATCH($C83,'de para abc'!$B:$B,0))),"C"))</f>
        <v>B</v>
      </c>
      <c r="F83" s="56">
        <v>1</v>
      </c>
    </row>
    <row r="84" spans="1:6" x14ac:dyDescent="0.25">
      <c r="A84" s="55" t="s">
        <v>301</v>
      </c>
      <c r="B84" s="41">
        <v>1002107</v>
      </c>
      <c r="C84" s="39" t="s">
        <v>486</v>
      </c>
      <c r="D84" s="40" t="s">
        <v>18</v>
      </c>
      <c r="E84" s="40" t="str">
        <f>IFERROR(IF(INDEX('de para abc'!$C:$C,MATCH($B84,'de para abc'!$A:$A,0))=0,"C",INDEX('de para abc'!$C:$C,MATCH($B84,'de para abc'!$A:$A,0))),IFERROR(IF(INDEX('de para abc'!$C:$C,MATCH($C84,'de para abc'!$B:$B,0))=0,"C",INDEX('de para abc'!$C:$C,MATCH($C84,'de para abc'!$B:$B,0))),"C"))</f>
        <v>C</v>
      </c>
      <c r="F84" s="56">
        <v>1</v>
      </c>
    </row>
    <row r="85" spans="1:6" x14ac:dyDescent="0.25">
      <c r="A85" s="55" t="s">
        <v>301</v>
      </c>
      <c r="B85" s="41">
        <v>1006875</v>
      </c>
      <c r="C85" s="39" t="s">
        <v>488</v>
      </c>
      <c r="D85" s="40" t="s">
        <v>3446</v>
      </c>
      <c r="E85" s="40" t="str">
        <f>IFERROR(IF(INDEX('de para abc'!$C:$C,MATCH($B85,'de para abc'!$A:$A,0))=0,"C",INDEX('de para abc'!$C:$C,MATCH($B85,'de para abc'!$A:$A,0))),IFERROR(IF(INDEX('de para abc'!$C:$C,MATCH($C85,'de para abc'!$B:$B,0))=0,"C",INDEX('de para abc'!$C:$C,MATCH($C85,'de para abc'!$B:$B,0))),"C"))</f>
        <v>C</v>
      </c>
      <c r="F85" s="56">
        <v>3</v>
      </c>
    </row>
    <row r="86" spans="1:6" x14ac:dyDescent="0.25">
      <c r="A86" s="55" t="s">
        <v>301</v>
      </c>
      <c r="B86" s="41">
        <v>1001200</v>
      </c>
      <c r="C86" s="39" t="s">
        <v>489</v>
      </c>
      <c r="D86" s="40" t="s">
        <v>14</v>
      </c>
      <c r="E86" s="40" t="str">
        <f>IFERROR(IF(INDEX('de para abc'!$C:$C,MATCH($B86,'de para abc'!$A:$A,0))=0,"C",INDEX('de para abc'!$C:$C,MATCH($B86,'de para abc'!$A:$A,0))),IFERROR(IF(INDEX('de para abc'!$C:$C,MATCH($C86,'de para abc'!$B:$B,0))=0,"C",INDEX('de para abc'!$C:$C,MATCH($C86,'de para abc'!$B:$B,0))),"C"))</f>
        <v>C</v>
      </c>
      <c r="F86" s="56">
        <v>2</v>
      </c>
    </row>
    <row r="87" spans="1:6" x14ac:dyDescent="0.25">
      <c r="A87" s="55" t="s">
        <v>301</v>
      </c>
      <c r="B87" s="41">
        <v>1001222</v>
      </c>
      <c r="C87" s="39" t="s">
        <v>491</v>
      </c>
      <c r="D87" s="40" t="s">
        <v>10</v>
      </c>
      <c r="E87" s="40" t="str">
        <f>IFERROR(IF(INDEX('de para abc'!$C:$C,MATCH($B87,'de para abc'!$A:$A,0))=0,"C",INDEX('de para abc'!$C:$C,MATCH($B87,'de para abc'!$A:$A,0))),IFERROR(IF(INDEX('de para abc'!$C:$C,MATCH($C87,'de para abc'!$B:$B,0))=0,"C",INDEX('de para abc'!$C:$C,MATCH($C87,'de para abc'!$B:$B,0))),"C"))</f>
        <v>C</v>
      </c>
      <c r="F87" s="56">
        <v>1</v>
      </c>
    </row>
    <row r="88" spans="1:6" x14ac:dyDescent="0.25">
      <c r="A88" s="55" t="s">
        <v>301</v>
      </c>
      <c r="B88" s="41">
        <v>1000455</v>
      </c>
      <c r="C88" s="39" t="s">
        <v>493</v>
      </c>
      <c r="D88" s="40" t="s">
        <v>14</v>
      </c>
      <c r="E88" s="40" t="str">
        <f>IFERROR(IF(INDEX('de para abc'!$C:$C,MATCH($B88,'de para abc'!$A:$A,0))=0,"C",INDEX('de para abc'!$C:$C,MATCH($B88,'de para abc'!$A:$A,0))),IFERROR(IF(INDEX('de para abc'!$C:$C,MATCH($C88,'de para abc'!$B:$B,0))=0,"C",INDEX('de para abc'!$C:$C,MATCH($C88,'de para abc'!$B:$B,0))),"C"))</f>
        <v>C</v>
      </c>
      <c r="F88" s="56">
        <v>1</v>
      </c>
    </row>
    <row r="89" spans="1:6" x14ac:dyDescent="0.25">
      <c r="A89" s="55" t="s">
        <v>301</v>
      </c>
      <c r="B89" s="41">
        <v>1000470</v>
      </c>
      <c r="C89" s="39" t="s">
        <v>67</v>
      </c>
      <c r="D89" s="40" t="s">
        <v>10</v>
      </c>
      <c r="E89" s="40" t="str">
        <f>IFERROR(IF(INDEX('de para abc'!$C:$C,MATCH($B89,'de para abc'!$A:$A,0))=0,"C",INDEX('de para abc'!$C:$C,MATCH($B89,'de para abc'!$A:$A,0))),IFERROR(IF(INDEX('de para abc'!$C:$C,MATCH($C89,'de para abc'!$B:$B,0))=0,"C",INDEX('de para abc'!$C:$C,MATCH($C89,'de para abc'!$B:$B,0))),"C"))</f>
        <v>B</v>
      </c>
      <c r="F89" s="56">
        <v>2</v>
      </c>
    </row>
    <row r="90" spans="1:6" x14ac:dyDescent="0.25">
      <c r="A90" s="55" t="s">
        <v>301</v>
      </c>
      <c r="B90" s="41">
        <v>1001480</v>
      </c>
      <c r="C90" s="39" t="s">
        <v>499</v>
      </c>
      <c r="D90" s="40" t="s">
        <v>18</v>
      </c>
      <c r="E90" s="40" t="str">
        <f>IFERROR(IF(INDEX('de para abc'!$C:$C,MATCH($B90,'de para abc'!$A:$A,0))=0,"C",INDEX('de para abc'!$C:$C,MATCH($B90,'de para abc'!$A:$A,0))),IFERROR(IF(INDEX('de para abc'!$C:$C,MATCH($C90,'de para abc'!$B:$B,0))=0,"C",INDEX('de para abc'!$C:$C,MATCH($C90,'de para abc'!$B:$B,0))),"C"))</f>
        <v>C</v>
      </c>
      <c r="F90" s="56">
        <v>1</v>
      </c>
    </row>
    <row r="91" spans="1:6" x14ac:dyDescent="0.25">
      <c r="A91" s="55" t="s">
        <v>69</v>
      </c>
      <c r="B91" s="41">
        <v>1001850</v>
      </c>
      <c r="C91" s="39" t="s">
        <v>167</v>
      </c>
      <c r="D91" s="40" t="s">
        <v>10</v>
      </c>
      <c r="E91" s="40" t="str">
        <f>IFERROR(IF(INDEX('de para abc'!$C:$C,MATCH($B91,'de para abc'!$A:$A,0))=0,"C",INDEX('de para abc'!$C:$C,MATCH($B91,'de para abc'!$A:$A,0))),IFERROR(IF(INDEX('de para abc'!$C:$C,MATCH($C91,'de para abc'!$B:$B,0))=0,"C",INDEX('de para abc'!$C:$C,MATCH($C91,'de para abc'!$B:$B,0))),"C"))</f>
        <v>C</v>
      </c>
      <c r="F91" s="56">
        <v>3</v>
      </c>
    </row>
    <row r="92" spans="1:6" x14ac:dyDescent="0.25">
      <c r="A92" s="55" t="s">
        <v>69</v>
      </c>
      <c r="B92" s="41">
        <v>1006180</v>
      </c>
      <c r="C92" s="39" t="s">
        <v>168</v>
      </c>
      <c r="D92" s="40" t="s">
        <v>18</v>
      </c>
      <c r="E92" s="40" t="str">
        <f>IFERROR(IF(INDEX('de para abc'!$C:$C,MATCH($B92,'de para abc'!$A:$A,0))=0,"C",INDEX('de para abc'!$C:$C,MATCH($B92,'de para abc'!$A:$A,0))),IFERROR(IF(INDEX('de para abc'!$C:$C,MATCH($C92,'de para abc'!$B:$B,0))=0,"C",INDEX('de para abc'!$C:$C,MATCH($C92,'de para abc'!$B:$B,0))),"C"))</f>
        <v>C</v>
      </c>
      <c r="F92" s="56">
        <v>3</v>
      </c>
    </row>
    <row r="93" spans="1:6" x14ac:dyDescent="0.25">
      <c r="A93" s="55" t="s">
        <v>69</v>
      </c>
      <c r="B93" s="41">
        <v>1001864</v>
      </c>
      <c r="C93" s="39" t="s">
        <v>567</v>
      </c>
      <c r="D93" s="40" t="s">
        <v>14</v>
      </c>
      <c r="E93" s="40" t="str">
        <f>IFERROR(IF(INDEX('de para abc'!$C:$C,MATCH($B93,'de para abc'!$A:$A,0))=0,"C",INDEX('de para abc'!$C:$C,MATCH($B93,'de para abc'!$A:$A,0))),IFERROR(IF(INDEX('de para abc'!$C:$C,MATCH($C93,'de para abc'!$B:$B,0))=0,"C",INDEX('de para abc'!$C:$C,MATCH($C93,'de para abc'!$B:$B,0))),"C"))</f>
        <v>C</v>
      </c>
      <c r="F93" s="56">
        <v>2</v>
      </c>
    </row>
    <row r="94" spans="1:6" x14ac:dyDescent="0.25">
      <c r="A94" s="55" t="s">
        <v>69</v>
      </c>
      <c r="B94" s="41">
        <v>1000069</v>
      </c>
      <c r="C94" s="39" t="s">
        <v>74</v>
      </c>
      <c r="D94" s="40" t="s">
        <v>71</v>
      </c>
      <c r="E94" s="40" t="str">
        <f>IFERROR(IF(INDEX('de para abc'!$C:$C,MATCH($B94,'de para abc'!$A:$A,0))=0,"C",INDEX('de para abc'!$C:$C,MATCH($B94,'de para abc'!$A:$A,0))),IFERROR(IF(INDEX('de para abc'!$C:$C,MATCH($C94,'de para abc'!$B:$B,0))=0,"C",INDEX('de para abc'!$C:$C,MATCH($C94,'de para abc'!$B:$B,0))),"C"))</f>
        <v>C</v>
      </c>
      <c r="F94" s="56">
        <v>2</v>
      </c>
    </row>
    <row r="95" spans="1:6" x14ac:dyDescent="0.25">
      <c r="A95" s="55" t="s">
        <v>69</v>
      </c>
      <c r="B95" s="41">
        <v>1000070</v>
      </c>
      <c r="C95" s="39" t="s">
        <v>75</v>
      </c>
      <c r="D95" s="40" t="s">
        <v>71</v>
      </c>
      <c r="E95" s="40" t="str">
        <f>IFERROR(IF(INDEX('de para abc'!$C:$C,MATCH($B95,'de para abc'!$A:$A,0))=0,"C",INDEX('de para abc'!$C:$C,MATCH($B95,'de para abc'!$A:$A,0))),IFERROR(IF(INDEX('de para abc'!$C:$C,MATCH($C95,'de para abc'!$B:$B,0))=0,"C",INDEX('de para abc'!$C:$C,MATCH($C95,'de para abc'!$B:$B,0))),"C"))</f>
        <v>C</v>
      </c>
      <c r="F95" s="56">
        <v>1</v>
      </c>
    </row>
    <row r="96" spans="1:6" x14ac:dyDescent="0.25">
      <c r="A96" s="55" t="s">
        <v>69</v>
      </c>
      <c r="B96" s="41">
        <v>1000074</v>
      </c>
      <c r="C96" s="39" t="s">
        <v>173</v>
      </c>
      <c r="D96" s="40" t="s">
        <v>71</v>
      </c>
      <c r="E96" s="40" t="str">
        <f>IFERROR(IF(INDEX('de para abc'!$C:$C,MATCH($B96,'de para abc'!$A:$A,0))=0,"C",INDEX('de para abc'!$C:$C,MATCH($B96,'de para abc'!$A:$A,0))),IFERROR(IF(INDEX('de para abc'!$C:$C,MATCH($C96,'de para abc'!$B:$B,0))=0,"C",INDEX('de para abc'!$C:$C,MATCH($C96,'de para abc'!$B:$B,0))),"C"))</f>
        <v>C</v>
      </c>
      <c r="F96" s="56">
        <v>1</v>
      </c>
    </row>
    <row r="97" spans="1:6" x14ac:dyDescent="0.25">
      <c r="A97" s="55" t="s">
        <v>69</v>
      </c>
      <c r="B97" s="41">
        <v>1001698</v>
      </c>
      <c r="C97" s="39" t="s">
        <v>2991</v>
      </c>
      <c r="D97" s="40" t="s">
        <v>14</v>
      </c>
      <c r="E97" s="40" t="str">
        <f>IFERROR(IF(INDEX('de para abc'!$C:$C,MATCH($B97,'de para abc'!$A:$A,0))=0,"C",INDEX('de para abc'!$C:$C,MATCH($B97,'de para abc'!$A:$A,0))),IFERROR(IF(INDEX('de para abc'!$C:$C,MATCH($C97,'de para abc'!$B:$B,0))=0,"C",INDEX('de para abc'!$C:$C,MATCH($C97,'de para abc'!$B:$B,0))),"C"))</f>
        <v>C</v>
      </c>
      <c r="F97" s="56">
        <v>6</v>
      </c>
    </row>
    <row r="98" spans="1:6" x14ac:dyDescent="0.25">
      <c r="A98" s="55" t="s">
        <v>69</v>
      </c>
      <c r="B98" s="41">
        <v>1001699</v>
      </c>
      <c r="C98" s="39" t="s">
        <v>3008</v>
      </c>
      <c r="D98" s="40" t="s">
        <v>14</v>
      </c>
      <c r="E98" s="40" t="str">
        <f>IFERROR(IF(INDEX('de para abc'!$C:$C,MATCH($B98,'de para abc'!$A:$A,0))=0,"C",INDEX('de para abc'!$C:$C,MATCH($B98,'de para abc'!$A:$A,0))),IFERROR(IF(INDEX('de para abc'!$C:$C,MATCH($C98,'de para abc'!$B:$B,0))=0,"C",INDEX('de para abc'!$C:$C,MATCH($C98,'de para abc'!$B:$B,0))),"C"))</f>
        <v>C</v>
      </c>
      <c r="F98" s="56">
        <v>2</v>
      </c>
    </row>
    <row r="99" spans="1:6" x14ac:dyDescent="0.25">
      <c r="A99" s="55" t="s">
        <v>69</v>
      </c>
      <c r="B99" s="41">
        <v>1006853</v>
      </c>
      <c r="C99" s="39" t="s">
        <v>510</v>
      </c>
      <c r="D99" s="40" t="s">
        <v>10</v>
      </c>
      <c r="E99" s="40" t="str">
        <f>IFERROR(IF(INDEX('de para abc'!$C:$C,MATCH($B99,'de para abc'!$A:$A,0))=0,"C",INDEX('de para abc'!$C:$C,MATCH($B99,'de para abc'!$A:$A,0))),IFERROR(IF(INDEX('de para abc'!$C:$C,MATCH($C99,'de para abc'!$B:$B,0))=0,"C",INDEX('de para abc'!$C:$C,MATCH($C99,'de para abc'!$B:$B,0))),"C"))</f>
        <v>C</v>
      </c>
      <c r="F99" s="56">
        <v>1</v>
      </c>
    </row>
    <row r="100" spans="1:6" x14ac:dyDescent="0.25">
      <c r="A100" s="55" t="s">
        <v>69</v>
      </c>
      <c r="B100" s="41">
        <v>1006854</v>
      </c>
      <c r="C100" s="39" t="s">
        <v>511</v>
      </c>
      <c r="D100" s="40" t="s">
        <v>10</v>
      </c>
      <c r="E100" s="40" t="str">
        <f>IFERROR(IF(INDEX('de para abc'!$C:$C,MATCH($B100,'de para abc'!$A:$A,0))=0,"C",INDEX('de para abc'!$C:$C,MATCH($B100,'de para abc'!$A:$A,0))),IFERROR(IF(INDEX('de para abc'!$C:$C,MATCH($C100,'de para abc'!$B:$B,0))=0,"C",INDEX('de para abc'!$C:$C,MATCH($C100,'de para abc'!$B:$B,0))),"C"))</f>
        <v>C</v>
      </c>
      <c r="F100" s="56">
        <v>5</v>
      </c>
    </row>
    <row r="101" spans="1:6" x14ac:dyDescent="0.25">
      <c r="A101" s="55" t="s">
        <v>69</v>
      </c>
      <c r="B101" s="41">
        <v>1006852</v>
      </c>
      <c r="C101" s="39" t="s">
        <v>512</v>
      </c>
      <c r="D101" s="40" t="s">
        <v>10</v>
      </c>
      <c r="E101" s="40" t="str">
        <f>IFERROR(IF(INDEX('de para abc'!$C:$C,MATCH($B101,'de para abc'!$A:$A,0))=0,"C",INDEX('de para abc'!$C:$C,MATCH($B101,'de para abc'!$A:$A,0))),IFERROR(IF(INDEX('de para abc'!$C:$C,MATCH($C101,'de para abc'!$B:$B,0))=0,"C",INDEX('de para abc'!$C:$C,MATCH($C101,'de para abc'!$B:$B,0))),"C"))</f>
        <v>C</v>
      </c>
      <c r="F101" s="56">
        <v>3</v>
      </c>
    </row>
    <row r="102" spans="1:6" x14ac:dyDescent="0.25">
      <c r="A102" s="55" t="s">
        <v>69</v>
      </c>
      <c r="B102" s="41">
        <v>1006851</v>
      </c>
      <c r="C102" s="39" t="s">
        <v>513</v>
      </c>
      <c r="D102" s="40" t="s">
        <v>10</v>
      </c>
      <c r="E102" s="40" t="str">
        <f>IFERROR(IF(INDEX('de para abc'!$C:$C,MATCH($B102,'de para abc'!$A:$A,0))=0,"C",INDEX('de para abc'!$C:$C,MATCH($B102,'de para abc'!$A:$A,0))),IFERROR(IF(INDEX('de para abc'!$C:$C,MATCH($C102,'de para abc'!$B:$B,0))=0,"C",INDEX('de para abc'!$C:$C,MATCH($C102,'de para abc'!$B:$B,0))),"C"))</f>
        <v>C</v>
      </c>
      <c r="F102" s="56">
        <v>1</v>
      </c>
    </row>
    <row r="103" spans="1:6" x14ac:dyDescent="0.25">
      <c r="A103" s="55" t="s">
        <v>69</v>
      </c>
      <c r="B103" s="41">
        <v>1001906</v>
      </c>
      <c r="C103" s="39" t="s">
        <v>516</v>
      </c>
      <c r="D103" s="40" t="s">
        <v>18</v>
      </c>
      <c r="E103" s="40" t="str">
        <f>IFERROR(IF(INDEX('de para abc'!$C:$C,MATCH($B103,'de para abc'!$A:$A,0))=0,"C",INDEX('de para abc'!$C:$C,MATCH($B103,'de para abc'!$A:$A,0))),IFERROR(IF(INDEX('de para abc'!$C:$C,MATCH($C103,'de para abc'!$B:$B,0))=0,"C",INDEX('de para abc'!$C:$C,MATCH($C103,'de para abc'!$B:$B,0))),"C"))</f>
        <v>C</v>
      </c>
      <c r="F103" s="56">
        <v>2</v>
      </c>
    </row>
    <row r="104" spans="1:6" x14ac:dyDescent="0.25">
      <c r="A104" s="55" t="s">
        <v>69</v>
      </c>
      <c r="B104" s="41">
        <v>1001905</v>
      </c>
      <c r="C104" s="39" t="s">
        <v>3039</v>
      </c>
      <c r="D104" s="40" t="s">
        <v>18</v>
      </c>
      <c r="E104" s="40" t="str">
        <f>IFERROR(IF(INDEX('de para abc'!$C:$C,MATCH($B104,'de para abc'!$A:$A,0))=0,"C",INDEX('de para abc'!$C:$C,MATCH($B104,'de para abc'!$A:$A,0))),IFERROR(IF(INDEX('de para abc'!$C:$C,MATCH($C104,'de para abc'!$B:$B,0))=0,"C",INDEX('de para abc'!$C:$C,MATCH($C104,'de para abc'!$B:$B,0))),"C"))</f>
        <v>C</v>
      </c>
      <c r="F104" s="56">
        <v>2</v>
      </c>
    </row>
    <row r="105" spans="1:6" x14ac:dyDescent="0.25">
      <c r="A105" s="55" t="s">
        <v>69</v>
      </c>
      <c r="B105" s="41">
        <v>1001289</v>
      </c>
      <c r="C105" s="39" t="s">
        <v>517</v>
      </c>
      <c r="D105" s="40" t="s">
        <v>14</v>
      </c>
      <c r="E105" s="40" t="str">
        <f>IFERROR(IF(INDEX('de para abc'!$C:$C,MATCH($B105,'de para abc'!$A:$A,0))=0,"C",INDEX('de para abc'!$C:$C,MATCH($B105,'de para abc'!$A:$A,0))),IFERROR(IF(INDEX('de para abc'!$C:$C,MATCH($C105,'de para abc'!$B:$B,0))=0,"C",INDEX('de para abc'!$C:$C,MATCH($C105,'de para abc'!$B:$B,0))),"C"))</f>
        <v>C</v>
      </c>
      <c r="F105" s="56">
        <v>17</v>
      </c>
    </row>
    <row r="106" spans="1:6" x14ac:dyDescent="0.25">
      <c r="A106" s="55" t="s">
        <v>69</v>
      </c>
      <c r="B106" s="41">
        <v>1001302</v>
      </c>
      <c r="C106" s="39" t="s">
        <v>96</v>
      </c>
      <c r="D106" s="40" t="s">
        <v>10</v>
      </c>
      <c r="E106" s="40" t="str">
        <f>IFERROR(IF(INDEX('de para abc'!$C:$C,MATCH($B106,'de para abc'!$A:$A,0))=0,"C",INDEX('de para abc'!$C:$C,MATCH($B106,'de para abc'!$A:$A,0))),IFERROR(IF(INDEX('de para abc'!$C:$C,MATCH($C106,'de para abc'!$B:$B,0))=0,"C",INDEX('de para abc'!$C:$C,MATCH($C106,'de para abc'!$B:$B,0))),"C"))</f>
        <v>C</v>
      </c>
      <c r="F106" s="56">
        <v>2</v>
      </c>
    </row>
    <row r="107" spans="1:6" x14ac:dyDescent="0.25">
      <c r="A107" s="55" t="s">
        <v>69</v>
      </c>
      <c r="B107" s="41">
        <v>1001190</v>
      </c>
      <c r="C107" s="39" t="s">
        <v>97</v>
      </c>
      <c r="D107" s="40" t="s">
        <v>10</v>
      </c>
      <c r="E107" s="40" t="str">
        <f>IFERROR(IF(INDEX('de para abc'!$C:$C,MATCH($B107,'de para abc'!$A:$A,0))=0,"C",INDEX('de para abc'!$C:$C,MATCH($B107,'de para abc'!$A:$A,0))),IFERROR(IF(INDEX('de para abc'!$C:$C,MATCH($C107,'de para abc'!$B:$B,0))=0,"C",INDEX('de para abc'!$C:$C,MATCH($C107,'de para abc'!$B:$B,0))),"C"))</f>
        <v>C</v>
      </c>
      <c r="F107" s="56">
        <v>2</v>
      </c>
    </row>
    <row r="108" spans="1:6" x14ac:dyDescent="0.25">
      <c r="A108" s="55" t="s">
        <v>69</v>
      </c>
      <c r="B108" s="41">
        <v>1000146</v>
      </c>
      <c r="C108" s="39" t="s">
        <v>99</v>
      </c>
      <c r="D108" s="40" t="s">
        <v>10</v>
      </c>
      <c r="E108" s="40" t="str">
        <f>IFERROR(IF(INDEX('de para abc'!$C:$C,MATCH($B108,'de para abc'!$A:$A,0))=0,"C",INDEX('de para abc'!$C:$C,MATCH($B108,'de para abc'!$A:$A,0))),IFERROR(IF(INDEX('de para abc'!$C:$C,MATCH($C108,'de para abc'!$B:$B,0))=0,"C",INDEX('de para abc'!$C:$C,MATCH($C108,'de para abc'!$B:$B,0))),"C"))</f>
        <v>C</v>
      </c>
      <c r="F108" s="56">
        <v>2</v>
      </c>
    </row>
    <row r="109" spans="1:6" x14ac:dyDescent="0.25">
      <c r="A109" s="55" t="s">
        <v>69</v>
      </c>
      <c r="B109" s="41">
        <v>1000204</v>
      </c>
      <c r="C109" s="39" t="s">
        <v>519</v>
      </c>
      <c r="D109" s="40" t="s">
        <v>10</v>
      </c>
      <c r="E109" s="40" t="str">
        <f>IFERROR(IF(INDEX('de para abc'!$C:$C,MATCH($B109,'de para abc'!$A:$A,0))=0,"C",INDEX('de para abc'!$C:$C,MATCH($B109,'de para abc'!$A:$A,0))),IFERROR(IF(INDEX('de para abc'!$C:$C,MATCH($C109,'de para abc'!$B:$B,0))=0,"C",INDEX('de para abc'!$C:$C,MATCH($C109,'de para abc'!$B:$B,0))),"C"))</f>
        <v>C</v>
      </c>
      <c r="F109" s="56">
        <v>2</v>
      </c>
    </row>
    <row r="110" spans="1:6" x14ac:dyDescent="0.25">
      <c r="A110" s="55" t="s">
        <v>69</v>
      </c>
      <c r="B110" s="41">
        <v>1000206</v>
      </c>
      <c r="C110" s="39" t="s">
        <v>102</v>
      </c>
      <c r="D110" s="40" t="s">
        <v>10</v>
      </c>
      <c r="E110" s="40" t="str">
        <f>IFERROR(IF(INDEX('de para abc'!$C:$C,MATCH($B110,'de para abc'!$A:$A,0))=0,"C",INDEX('de para abc'!$C:$C,MATCH($B110,'de para abc'!$A:$A,0))),IFERROR(IF(INDEX('de para abc'!$C:$C,MATCH($C110,'de para abc'!$B:$B,0))=0,"C",INDEX('de para abc'!$C:$C,MATCH($C110,'de para abc'!$B:$B,0))),"C"))</f>
        <v>C</v>
      </c>
      <c r="F110" s="56">
        <v>4</v>
      </c>
    </row>
    <row r="111" spans="1:6" x14ac:dyDescent="0.25">
      <c r="A111" s="55" t="s">
        <v>69</v>
      </c>
      <c r="B111" s="41">
        <v>1000208</v>
      </c>
      <c r="C111" s="39" t="s">
        <v>103</v>
      </c>
      <c r="D111" s="40" t="s">
        <v>14</v>
      </c>
      <c r="E111" s="40" t="str">
        <f>IFERROR(IF(INDEX('de para abc'!$C:$C,MATCH($B111,'de para abc'!$A:$A,0))=0,"C",INDEX('de para abc'!$C:$C,MATCH($B111,'de para abc'!$A:$A,0))),IFERROR(IF(INDEX('de para abc'!$C:$C,MATCH($C111,'de para abc'!$B:$B,0))=0,"C",INDEX('de para abc'!$C:$C,MATCH($C111,'de para abc'!$B:$B,0))),"C"))</f>
        <v>C</v>
      </c>
      <c r="F111" s="56">
        <v>6</v>
      </c>
    </row>
    <row r="112" spans="1:6" x14ac:dyDescent="0.25">
      <c r="A112" s="55" t="s">
        <v>69</v>
      </c>
      <c r="B112" s="41">
        <v>1001854</v>
      </c>
      <c r="C112" s="39" t="s">
        <v>105</v>
      </c>
      <c r="D112" s="40" t="s">
        <v>10</v>
      </c>
      <c r="E112" s="40" t="str">
        <f>IFERROR(IF(INDEX('de para abc'!$C:$C,MATCH($B112,'de para abc'!$A:$A,0))=0,"C",INDEX('de para abc'!$C:$C,MATCH($B112,'de para abc'!$A:$A,0))),IFERROR(IF(INDEX('de para abc'!$C:$C,MATCH($C112,'de para abc'!$B:$B,0))=0,"C",INDEX('de para abc'!$C:$C,MATCH($C112,'de para abc'!$B:$B,0))),"C"))</f>
        <v>C</v>
      </c>
      <c r="F112" s="56">
        <v>1</v>
      </c>
    </row>
    <row r="113" spans="1:6" x14ac:dyDescent="0.25">
      <c r="A113" s="55" t="s">
        <v>69</v>
      </c>
      <c r="B113" s="41">
        <v>1001851</v>
      </c>
      <c r="C113" s="39" t="s">
        <v>180</v>
      </c>
      <c r="D113" s="40" t="s">
        <v>10</v>
      </c>
      <c r="E113" s="40" t="str">
        <f>IFERROR(IF(INDEX('de para abc'!$C:$C,MATCH($B113,'de para abc'!$A:$A,0))=0,"C",INDEX('de para abc'!$C:$C,MATCH($B113,'de para abc'!$A:$A,0))),IFERROR(IF(INDEX('de para abc'!$C:$C,MATCH($C113,'de para abc'!$B:$B,0))=0,"C",INDEX('de para abc'!$C:$C,MATCH($C113,'de para abc'!$B:$B,0))),"C"))</f>
        <v>C</v>
      </c>
      <c r="F113" s="56">
        <v>3</v>
      </c>
    </row>
    <row r="114" spans="1:6" x14ac:dyDescent="0.25">
      <c r="A114" s="55" t="s">
        <v>69</v>
      </c>
      <c r="B114" s="41">
        <v>1001855</v>
      </c>
      <c r="C114" s="39" t="s">
        <v>521</v>
      </c>
      <c r="D114" s="40" t="s">
        <v>10</v>
      </c>
      <c r="E114" s="40" t="str">
        <f>IFERROR(IF(INDEX('de para abc'!$C:$C,MATCH($B114,'de para abc'!$A:$A,0))=0,"C",INDEX('de para abc'!$C:$C,MATCH($B114,'de para abc'!$A:$A,0))),IFERROR(IF(INDEX('de para abc'!$C:$C,MATCH($C114,'de para abc'!$B:$B,0))=0,"C",INDEX('de para abc'!$C:$C,MATCH($C114,'de para abc'!$B:$B,0))),"C"))</f>
        <v>C</v>
      </c>
      <c r="F114" s="56">
        <v>3</v>
      </c>
    </row>
    <row r="115" spans="1:6" x14ac:dyDescent="0.25">
      <c r="A115" s="55" t="s">
        <v>69</v>
      </c>
      <c r="B115" s="41">
        <v>1000277</v>
      </c>
      <c r="C115" s="39" t="s">
        <v>182</v>
      </c>
      <c r="D115" s="40" t="s">
        <v>183</v>
      </c>
      <c r="E115" s="40" t="str">
        <f>IFERROR(IF(INDEX('de para abc'!$C:$C,MATCH($B115,'de para abc'!$A:$A,0))=0,"C",INDEX('de para abc'!$C:$C,MATCH($B115,'de para abc'!$A:$A,0))),IFERROR(IF(INDEX('de para abc'!$C:$C,MATCH($C115,'de para abc'!$B:$B,0))=0,"C",INDEX('de para abc'!$C:$C,MATCH($C115,'de para abc'!$B:$B,0))),"C"))</f>
        <v>C</v>
      </c>
      <c r="F115" s="56">
        <v>8</v>
      </c>
    </row>
    <row r="116" spans="1:6" x14ac:dyDescent="0.25">
      <c r="A116" s="55" t="s">
        <v>69</v>
      </c>
      <c r="B116" s="41">
        <v>1006179</v>
      </c>
      <c r="C116" s="39" t="s">
        <v>106</v>
      </c>
      <c r="D116" s="40" t="s">
        <v>18</v>
      </c>
      <c r="E116" s="40" t="str">
        <f>IFERROR(IF(INDEX('de para abc'!$C:$C,MATCH($B116,'de para abc'!$A:$A,0))=0,"C",INDEX('de para abc'!$C:$C,MATCH($B116,'de para abc'!$A:$A,0))),IFERROR(IF(INDEX('de para abc'!$C:$C,MATCH($C116,'de para abc'!$B:$B,0))=0,"C",INDEX('de para abc'!$C:$C,MATCH($C116,'de para abc'!$B:$B,0))),"C"))</f>
        <v>C</v>
      </c>
      <c r="F116" s="56">
        <v>2</v>
      </c>
    </row>
    <row r="117" spans="1:6" x14ac:dyDescent="0.25">
      <c r="A117" s="55" t="s">
        <v>69</v>
      </c>
      <c r="B117" s="41">
        <v>1000305</v>
      </c>
      <c r="C117" s="39" t="s">
        <v>111</v>
      </c>
      <c r="D117" s="40" t="s">
        <v>10</v>
      </c>
      <c r="E117" s="40" t="str">
        <f>IFERROR(IF(INDEX('de para abc'!$C:$C,MATCH($B117,'de para abc'!$A:$A,0))=0,"C",INDEX('de para abc'!$C:$C,MATCH($B117,'de para abc'!$A:$A,0))),IFERROR(IF(INDEX('de para abc'!$C:$C,MATCH($C117,'de para abc'!$B:$B,0))=0,"C",INDEX('de para abc'!$C:$C,MATCH($C117,'de para abc'!$B:$B,0))),"C"))</f>
        <v>C</v>
      </c>
      <c r="F117" s="56">
        <v>2</v>
      </c>
    </row>
    <row r="118" spans="1:6" x14ac:dyDescent="0.25">
      <c r="A118" s="55" t="s">
        <v>69</v>
      </c>
      <c r="B118" s="41">
        <v>1000665</v>
      </c>
      <c r="C118" s="39" t="s">
        <v>113</v>
      </c>
      <c r="D118" s="40" t="s">
        <v>71</v>
      </c>
      <c r="E118" s="40" t="str">
        <f>IFERROR(IF(INDEX('de para abc'!$C:$C,MATCH($B118,'de para abc'!$A:$A,0))=0,"C",INDEX('de para abc'!$C:$C,MATCH($B118,'de para abc'!$A:$A,0))),IFERROR(IF(INDEX('de para abc'!$C:$C,MATCH($C118,'de para abc'!$B:$B,0))=0,"C",INDEX('de para abc'!$C:$C,MATCH($C118,'de para abc'!$B:$B,0))),"C"))</f>
        <v>C</v>
      </c>
      <c r="F118" s="56">
        <v>6</v>
      </c>
    </row>
    <row r="119" spans="1:6" x14ac:dyDescent="0.25">
      <c r="A119" s="55" t="s">
        <v>69</v>
      </c>
      <c r="B119" s="41">
        <v>1000327</v>
      </c>
      <c r="C119" s="39" t="s">
        <v>114</v>
      </c>
      <c r="D119" s="40" t="s">
        <v>71</v>
      </c>
      <c r="E119" s="40" t="str">
        <f>IFERROR(IF(INDEX('de para abc'!$C:$C,MATCH($B119,'de para abc'!$A:$A,0))=0,"C",INDEX('de para abc'!$C:$C,MATCH($B119,'de para abc'!$A:$A,0))),IFERROR(IF(INDEX('de para abc'!$C:$C,MATCH($C119,'de para abc'!$B:$B,0))=0,"C",INDEX('de para abc'!$C:$C,MATCH($C119,'de para abc'!$B:$B,0))),"C"))</f>
        <v>C</v>
      </c>
      <c r="F119" s="56">
        <v>6</v>
      </c>
    </row>
    <row r="120" spans="1:6" x14ac:dyDescent="0.25">
      <c r="A120" s="55" t="s">
        <v>69</v>
      </c>
      <c r="B120" s="41">
        <v>1006150</v>
      </c>
      <c r="C120" s="39" t="s">
        <v>115</v>
      </c>
      <c r="D120" s="40" t="s">
        <v>71</v>
      </c>
      <c r="E120" s="40" t="str">
        <f>IFERROR(IF(INDEX('de para abc'!$C:$C,MATCH($B120,'de para abc'!$A:$A,0))=0,"C",INDEX('de para abc'!$C:$C,MATCH($B120,'de para abc'!$A:$A,0))),IFERROR(IF(INDEX('de para abc'!$C:$C,MATCH($C120,'de para abc'!$B:$B,0))=0,"C",INDEX('de para abc'!$C:$C,MATCH($C120,'de para abc'!$B:$B,0))),"C"))</f>
        <v>C</v>
      </c>
      <c r="F120" s="56">
        <v>4</v>
      </c>
    </row>
    <row r="121" spans="1:6" x14ac:dyDescent="0.25">
      <c r="A121" s="55" t="s">
        <v>69</v>
      </c>
      <c r="B121" s="41">
        <v>1001852</v>
      </c>
      <c r="C121" s="39" t="s">
        <v>185</v>
      </c>
      <c r="D121" s="40" t="s">
        <v>10</v>
      </c>
      <c r="E121" s="40" t="str">
        <f>IFERROR(IF(INDEX('de para abc'!$C:$C,MATCH($B121,'de para abc'!$A:$A,0))=0,"C",INDEX('de para abc'!$C:$C,MATCH($B121,'de para abc'!$A:$A,0))),IFERROR(IF(INDEX('de para abc'!$C:$C,MATCH($C121,'de para abc'!$B:$B,0))=0,"C",INDEX('de para abc'!$C:$C,MATCH($C121,'de para abc'!$B:$B,0))),"C"))</f>
        <v>C</v>
      </c>
      <c r="F121" s="56">
        <v>12</v>
      </c>
    </row>
    <row r="122" spans="1:6" x14ac:dyDescent="0.25">
      <c r="A122" s="55" t="s">
        <v>69</v>
      </c>
      <c r="B122" s="41">
        <v>1001562</v>
      </c>
      <c r="C122" s="39" t="s">
        <v>1190</v>
      </c>
      <c r="D122" s="40" t="s">
        <v>18</v>
      </c>
      <c r="E122" s="40" t="str">
        <f>IFERROR(IF(INDEX('de para abc'!$C:$C,MATCH($B122,'de para abc'!$A:$A,0))=0,"C",INDEX('de para abc'!$C:$C,MATCH($B122,'de para abc'!$A:$A,0))),IFERROR(IF(INDEX('de para abc'!$C:$C,MATCH($C122,'de para abc'!$B:$B,0))=0,"C",INDEX('de para abc'!$C:$C,MATCH($C122,'de para abc'!$B:$B,0))),"C"))</f>
        <v>C</v>
      </c>
      <c r="F122" s="56">
        <v>3</v>
      </c>
    </row>
    <row r="123" spans="1:6" x14ac:dyDescent="0.25">
      <c r="A123" s="55" t="s">
        <v>69</v>
      </c>
      <c r="B123" s="41">
        <v>1000366</v>
      </c>
      <c r="C123" s="39" t="s">
        <v>117</v>
      </c>
      <c r="D123" s="40" t="s">
        <v>14</v>
      </c>
      <c r="E123" s="40" t="str">
        <f>IFERROR(IF(INDEX('de para abc'!$C:$C,MATCH($B123,'de para abc'!$A:$A,0))=0,"C",INDEX('de para abc'!$C:$C,MATCH($B123,'de para abc'!$A:$A,0))),IFERROR(IF(INDEX('de para abc'!$C:$C,MATCH($C123,'de para abc'!$B:$B,0))=0,"C",INDEX('de para abc'!$C:$C,MATCH($C123,'de para abc'!$B:$B,0))),"C"))</f>
        <v>C</v>
      </c>
      <c r="F123" s="56">
        <v>2</v>
      </c>
    </row>
    <row r="124" spans="1:6" x14ac:dyDescent="0.25">
      <c r="A124" s="55" t="s">
        <v>69</v>
      </c>
      <c r="B124" s="41">
        <v>1000367</v>
      </c>
      <c r="C124" s="39" t="s">
        <v>124</v>
      </c>
      <c r="D124" s="40" t="s">
        <v>14</v>
      </c>
      <c r="E124" s="40" t="str">
        <f>IFERROR(IF(INDEX('de para abc'!$C:$C,MATCH($B124,'de para abc'!$A:$A,0))=0,"C",INDEX('de para abc'!$C:$C,MATCH($B124,'de para abc'!$A:$A,0))),IFERROR(IF(INDEX('de para abc'!$C:$C,MATCH($C124,'de para abc'!$B:$B,0))=0,"C",INDEX('de para abc'!$C:$C,MATCH($C124,'de para abc'!$B:$B,0))),"C"))</f>
        <v>C</v>
      </c>
      <c r="F124" s="56">
        <v>2</v>
      </c>
    </row>
    <row r="125" spans="1:6" x14ac:dyDescent="0.25">
      <c r="A125" s="55" t="s">
        <v>69</v>
      </c>
      <c r="B125" s="41">
        <v>1000583</v>
      </c>
      <c r="C125" s="39" t="s">
        <v>121</v>
      </c>
      <c r="D125" s="40" t="s">
        <v>14</v>
      </c>
      <c r="E125" s="40" t="str">
        <f>IFERROR(IF(INDEX('de para abc'!$C:$C,MATCH($B125,'de para abc'!$A:$A,0))=0,"C",INDEX('de para abc'!$C:$C,MATCH($B125,'de para abc'!$A:$A,0))),IFERROR(IF(INDEX('de para abc'!$C:$C,MATCH($C125,'de para abc'!$B:$B,0))=0,"C",INDEX('de para abc'!$C:$C,MATCH($C125,'de para abc'!$B:$B,0))),"C"))</f>
        <v>C</v>
      </c>
      <c r="F125" s="56">
        <v>5</v>
      </c>
    </row>
    <row r="126" spans="1:6" x14ac:dyDescent="0.25">
      <c r="A126" s="55" t="s">
        <v>69</v>
      </c>
      <c r="B126" s="41">
        <v>1006841</v>
      </c>
      <c r="C126" s="39" t="s">
        <v>2645</v>
      </c>
      <c r="D126" s="40" t="s">
        <v>18</v>
      </c>
      <c r="E126" s="40" t="str">
        <f>IFERROR(IF(INDEX('de para abc'!$C:$C,MATCH($B126,'de para abc'!$A:$A,0))=0,"C",INDEX('de para abc'!$C:$C,MATCH($B126,'de para abc'!$A:$A,0))),IFERROR(IF(INDEX('de para abc'!$C:$C,MATCH($C126,'de para abc'!$B:$B,0))=0,"C",INDEX('de para abc'!$C:$C,MATCH($C126,'de para abc'!$B:$B,0))),"C"))</f>
        <v>C</v>
      </c>
      <c r="F126" s="56">
        <v>5</v>
      </c>
    </row>
    <row r="127" spans="1:6" x14ac:dyDescent="0.25">
      <c r="A127" s="55" t="s">
        <v>69</v>
      </c>
      <c r="B127" s="41">
        <v>1000648</v>
      </c>
      <c r="C127" s="39" t="s">
        <v>1758</v>
      </c>
      <c r="D127" s="40" t="s">
        <v>14</v>
      </c>
      <c r="E127" s="40" t="str">
        <f>IFERROR(IF(INDEX('de para abc'!$C:$C,MATCH($B127,'de para abc'!$A:$A,0))=0,"C",INDEX('de para abc'!$C:$C,MATCH($B127,'de para abc'!$A:$A,0))),IFERROR(IF(INDEX('de para abc'!$C:$C,MATCH($C127,'de para abc'!$B:$B,0))=0,"C",INDEX('de para abc'!$C:$C,MATCH($C127,'de para abc'!$B:$B,0))),"C"))</f>
        <v>C</v>
      </c>
      <c r="F127" s="56">
        <v>4</v>
      </c>
    </row>
    <row r="128" spans="1:6" x14ac:dyDescent="0.25">
      <c r="A128" s="55" t="s">
        <v>69</v>
      </c>
      <c r="B128" s="41">
        <v>1000995</v>
      </c>
      <c r="C128" s="39" t="s">
        <v>530</v>
      </c>
      <c r="D128" s="40" t="s">
        <v>14</v>
      </c>
      <c r="E128" s="40" t="str">
        <f>IFERROR(IF(INDEX('de para abc'!$C:$C,MATCH($B128,'de para abc'!$A:$A,0))=0,"C",INDEX('de para abc'!$C:$C,MATCH($B128,'de para abc'!$A:$A,0))),IFERROR(IF(INDEX('de para abc'!$C:$C,MATCH($C128,'de para abc'!$B:$B,0))=0,"C",INDEX('de para abc'!$C:$C,MATCH($C128,'de para abc'!$B:$B,0))),"C"))</f>
        <v>C</v>
      </c>
      <c r="F128" s="56">
        <v>2</v>
      </c>
    </row>
    <row r="129" spans="1:6" x14ac:dyDescent="0.25">
      <c r="A129" s="57" t="s">
        <v>69</v>
      </c>
      <c r="B129" s="58">
        <v>1001853</v>
      </c>
      <c r="C129" s="59" t="s">
        <v>531</v>
      </c>
      <c r="D129" s="60" t="s">
        <v>10</v>
      </c>
      <c r="E129" s="60" t="str">
        <f>IFERROR(IF(INDEX('de para abc'!$C:$C,MATCH($B129,'de para abc'!$A:$A,0))=0,"C",INDEX('de para abc'!$C:$C,MATCH($B129,'de para abc'!$A:$A,0))),IFERROR(IF(INDEX('de para abc'!$C:$C,MATCH($C129,'de para abc'!$B:$B,0))=0,"C",INDEX('de para abc'!$C:$C,MATCH($C129,'de para abc'!$B:$B,0))),"C"))</f>
        <v>C</v>
      </c>
      <c r="F129" s="61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48DE-8B90-4559-8553-54CFD085EB64}">
  <dimension ref="A1:J171"/>
  <sheetViews>
    <sheetView workbookViewId="0">
      <pane ySplit="4" topLeftCell="A5" activePane="bottomLeft" state="frozen"/>
      <selection pane="bottomLeft" activeCell="A4" sqref="A4:F171"/>
    </sheetView>
  </sheetViews>
  <sheetFormatPr defaultRowHeight="15" x14ac:dyDescent="0.25"/>
  <cols>
    <col min="1" max="1" width="29" bestFit="1" customWidth="1"/>
    <col min="2" max="2" width="9.28515625" customWidth="1"/>
    <col min="3" max="3" width="49.5703125" customWidth="1"/>
    <col min="4" max="4" width="10.7109375" customWidth="1"/>
    <col min="5" max="5" width="15.85546875" customWidth="1"/>
    <col min="6" max="6" width="13.5703125" customWidth="1"/>
  </cols>
  <sheetData>
    <row r="1" spans="1:10" ht="18.75" x14ac:dyDescent="0.3">
      <c r="A1" s="37" t="s">
        <v>3453</v>
      </c>
    </row>
    <row r="2" spans="1:10" x14ac:dyDescent="0.25">
      <c r="A2" s="38" t="s">
        <v>3454</v>
      </c>
    </row>
    <row r="4" spans="1:10" x14ac:dyDescent="0.25">
      <c r="A4" s="47" t="s">
        <v>2</v>
      </c>
      <c r="B4" s="48" t="s">
        <v>3</v>
      </c>
      <c r="C4" s="48" t="s">
        <v>4</v>
      </c>
      <c r="D4" s="48" t="s">
        <v>5</v>
      </c>
      <c r="E4" s="48" t="s">
        <v>128</v>
      </c>
      <c r="F4" s="49" t="s">
        <v>7</v>
      </c>
      <c r="H4" s="31" t="s">
        <v>2</v>
      </c>
      <c r="I4" s="31" t="s">
        <v>192</v>
      </c>
      <c r="J4" s="31" t="s">
        <v>7</v>
      </c>
    </row>
    <row r="5" spans="1:10" x14ac:dyDescent="0.25">
      <c r="A5" s="55" t="s">
        <v>301</v>
      </c>
      <c r="B5" s="41">
        <v>1000032</v>
      </c>
      <c r="C5" s="39" t="s">
        <v>9</v>
      </c>
      <c r="D5" s="40" t="s">
        <v>10</v>
      </c>
      <c r="E5" s="40" t="str">
        <f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f>
        <v>A</v>
      </c>
      <c r="F5" s="56">
        <v>0</v>
      </c>
      <c r="H5" t="s">
        <v>301</v>
      </c>
      <c r="I5" s="36">
        <f>COUNTIF($A$5:$A$171,H5)</f>
        <v>120</v>
      </c>
      <c r="J5" s="36">
        <f>SUMIF($A$5:$A$171,H5,$F$5:$F$171)</f>
        <v>65</v>
      </c>
    </row>
    <row r="6" spans="1:10" x14ac:dyDescent="0.25">
      <c r="A6" s="55" t="s">
        <v>301</v>
      </c>
      <c r="B6" s="41">
        <v>1000033</v>
      </c>
      <c r="C6" s="39" t="s">
        <v>12</v>
      </c>
      <c r="D6" s="40" t="s">
        <v>10</v>
      </c>
      <c r="E6" s="40" t="str">
        <f>IFERROR(IF(INDEX('de para abc'!$C:$C,MATCH($B6,'de para abc'!$A:$A,0))=0,"C",INDEX('de para abc'!$C:$C,MATCH($B6,'de para abc'!$A:$A,0))),IFERROR(IF(INDEX('de para abc'!$C:$C,MATCH($C6,'de para abc'!$B:$B,0))=0,"C",INDEX('de para abc'!$C:$C,MATCH($C6,'de para abc'!$B:$B,0))),"C"))</f>
        <v>A</v>
      </c>
      <c r="F6" s="56">
        <v>1</v>
      </c>
      <c r="H6" t="s">
        <v>69</v>
      </c>
      <c r="I6" s="36">
        <f>COUNTIF($A$5:$A$171,H6)</f>
        <v>47</v>
      </c>
      <c r="J6" s="36">
        <f>SUMIF($A$5:$A$171,H6,$F$5:$F$171)</f>
        <v>58</v>
      </c>
    </row>
    <row r="7" spans="1:10" x14ac:dyDescent="0.25">
      <c r="A7" s="55" t="s">
        <v>301</v>
      </c>
      <c r="B7" s="41">
        <v>1000035</v>
      </c>
      <c r="C7" s="39" t="s">
        <v>381</v>
      </c>
      <c r="D7" s="40" t="s">
        <v>14</v>
      </c>
      <c r="E7" s="40" t="str">
        <f>IFERROR(IF(INDEX('de para abc'!$C:$C,MATCH($B7,'de para abc'!$A:$A,0))=0,"C",INDEX('de para abc'!$C:$C,MATCH($B7,'de para abc'!$A:$A,0))),IFERROR(IF(INDEX('de para abc'!$C:$C,MATCH($C7,'de para abc'!$B:$B,0))=0,"C",INDEX('de para abc'!$C:$C,MATCH($C7,'de para abc'!$B:$B,0))),"C"))</f>
        <v>B</v>
      </c>
      <c r="F7" s="56">
        <v>0</v>
      </c>
      <c r="H7" t="s">
        <v>194</v>
      </c>
      <c r="I7" s="36">
        <f>SUM(I5:I6)</f>
        <v>167</v>
      </c>
      <c r="J7" s="36">
        <f>SUM(J5:J6)</f>
        <v>123</v>
      </c>
    </row>
    <row r="8" spans="1:10" x14ac:dyDescent="0.25">
      <c r="A8" s="55" t="s">
        <v>301</v>
      </c>
      <c r="B8" s="41">
        <v>1000037</v>
      </c>
      <c r="C8" s="39" t="s">
        <v>46</v>
      </c>
      <c r="D8" s="40" t="s">
        <v>10</v>
      </c>
      <c r="E8" s="40" t="str">
        <f>IFERROR(IF(INDEX('de para abc'!$C:$C,MATCH($B8,'de para abc'!$A:$A,0))=0,"C",INDEX('de para abc'!$C:$C,MATCH($B8,'de para abc'!$A:$A,0))),IFERROR(IF(INDEX('de para abc'!$C:$C,MATCH($C8,'de para abc'!$B:$B,0))=0,"C",INDEX('de para abc'!$C:$C,MATCH($C8,'de para abc'!$B:$B,0))),"C"))</f>
        <v>A</v>
      </c>
      <c r="F8" s="56">
        <v>0</v>
      </c>
    </row>
    <row r="9" spans="1:10" x14ac:dyDescent="0.25">
      <c r="A9" s="55" t="s">
        <v>301</v>
      </c>
      <c r="B9" s="41">
        <v>1001260</v>
      </c>
      <c r="C9" s="39" t="s">
        <v>382</v>
      </c>
      <c r="D9" s="40" t="s">
        <v>14</v>
      </c>
      <c r="E9" s="40" t="str">
        <f>IFERROR(IF(INDEX('de para abc'!$C:$C,MATCH($B9,'de para abc'!$A:$A,0))=0,"C",INDEX('de para abc'!$C:$C,MATCH($B9,'de para abc'!$A:$A,0))),IFERROR(IF(INDEX('de para abc'!$C:$C,MATCH($C9,'de para abc'!$B:$B,0))=0,"C",INDEX('de para abc'!$C:$C,MATCH($C9,'de para abc'!$B:$B,0))),"C"))</f>
        <v>C</v>
      </c>
      <c r="F9" s="56">
        <v>0</v>
      </c>
    </row>
    <row r="10" spans="1:10" x14ac:dyDescent="0.25">
      <c r="A10" s="55" t="s">
        <v>301</v>
      </c>
      <c r="B10" s="41">
        <v>1000039</v>
      </c>
      <c r="C10" s="39" t="s">
        <v>16</v>
      </c>
      <c r="D10" s="40" t="s">
        <v>10</v>
      </c>
      <c r="E10" s="40" t="str">
        <f>IFERROR(IF(INDEX('de para abc'!$C:$C,MATCH($B10,'de para abc'!$A:$A,0))=0,"C",INDEX('de para abc'!$C:$C,MATCH($B10,'de para abc'!$A:$A,0))),IFERROR(IF(INDEX('de para abc'!$C:$C,MATCH($C10,'de para abc'!$B:$B,0))=0,"C",INDEX('de para abc'!$C:$C,MATCH($C10,'de para abc'!$B:$B,0))),"C"))</f>
        <v>A</v>
      </c>
      <c r="F10" s="56">
        <v>1</v>
      </c>
    </row>
    <row r="11" spans="1:10" x14ac:dyDescent="0.25">
      <c r="A11" s="55" t="s">
        <v>301</v>
      </c>
      <c r="B11" s="41">
        <v>30030829</v>
      </c>
      <c r="C11" s="39" t="s">
        <v>383</v>
      </c>
      <c r="D11" s="40" t="s">
        <v>10</v>
      </c>
      <c r="E11" s="40" t="str">
        <f>IFERROR(IF(INDEX('de para abc'!$C:$C,MATCH($B11,'de para abc'!$A:$A,0))=0,"C",INDEX('de para abc'!$C:$C,MATCH($B11,'de para abc'!$A:$A,0))),IFERROR(IF(INDEX('de para abc'!$C:$C,MATCH($C11,'de para abc'!$B:$B,0))=0,"C",INDEX('de para abc'!$C:$C,MATCH($C11,'de para abc'!$B:$B,0))),"C"))</f>
        <v>C</v>
      </c>
      <c r="F11" s="56">
        <v>0</v>
      </c>
    </row>
    <row r="12" spans="1:10" x14ac:dyDescent="0.25">
      <c r="A12" s="55" t="s">
        <v>301</v>
      </c>
      <c r="B12" s="41">
        <v>1001029</v>
      </c>
      <c r="C12" s="39" t="s">
        <v>384</v>
      </c>
      <c r="D12" s="40" t="s">
        <v>14</v>
      </c>
      <c r="E12" s="40" t="str">
        <f>IFERROR(IF(INDEX('de para abc'!$C:$C,MATCH($B12,'de para abc'!$A:$A,0))=0,"C",INDEX('de para abc'!$C:$C,MATCH($B12,'de para abc'!$A:$A,0))),IFERROR(IF(INDEX('de para abc'!$C:$C,MATCH($C12,'de para abc'!$B:$B,0))=0,"C",INDEX('de para abc'!$C:$C,MATCH($C12,'de para abc'!$B:$B,0))),"C"))</f>
        <v>C</v>
      </c>
      <c r="F12" s="56">
        <v>0</v>
      </c>
    </row>
    <row r="13" spans="1:10" x14ac:dyDescent="0.25">
      <c r="A13" s="55" t="s">
        <v>301</v>
      </c>
      <c r="B13" s="41">
        <v>1000043</v>
      </c>
      <c r="C13" s="39" t="s">
        <v>385</v>
      </c>
      <c r="D13" s="40" t="s">
        <v>14</v>
      </c>
      <c r="E13" s="40" t="str">
        <f>IFERROR(IF(INDEX('de para abc'!$C:$C,MATCH($B13,'de para abc'!$A:$A,0))=0,"C",INDEX('de para abc'!$C:$C,MATCH($B13,'de para abc'!$A:$A,0))),IFERROR(IF(INDEX('de para abc'!$C:$C,MATCH($C13,'de para abc'!$B:$B,0))=0,"C",INDEX('de para abc'!$C:$C,MATCH($C13,'de para abc'!$B:$B,0))),"C"))</f>
        <v>C</v>
      </c>
      <c r="F13" s="56">
        <v>1</v>
      </c>
    </row>
    <row r="14" spans="1:10" x14ac:dyDescent="0.25">
      <c r="A14" s="55" t="s">
        <v>301</v>
      </c>
      <c r="B14" s="41">
        <v>1000049</v>
      </c>
      <c r="C14" s="39" t="s">
        <v>48</v>
      </c>
      <c r="D14" s="40" t="s">
        <v>10</v>
      </c>
      <c r="E14" s="40" t="str">
        <f>IFERROR(IF(INDEX('de para abc'!$C:$C,MATCH($B14,'de para abc'!$A:$A,0))=0,"C",INDEX('de para abc'!$C:$C,MATCH($B14,'de para abc'!$A:$A,0))),IFERROR(IF(INDEX('de para abc'!$C:$C,MATCH($C14,'de para abc'!$B:$B,0))=0,"C",INDEX('de para abc'!$C:$C,MATCH($C14,'de para abc'!$B:$B,0))),"C"))</f>
        <v>A</v>
      </c>
      <c r="F14" s="56">
        <v>0</v>
      </c>
    </row>
    <row r="15" spans="1:10" x14ac:dyDescent="0.25">
      <c r="A15" s="55" t="s">
        <v>301</v>
      </c>
      <c r="B15" s="41">
        <v>1001262</v>
      </c>
      <c r="C15" s="39" t="s">
        <v>388</v>
      </c>
      <c r="D15" s="40" t="s">
        <v>14</v>
      </c>
      <c r="E15" s="40" t="str">
        <f>IFERROR(IF(INDEX('de para abc'!$C:$C,MATCH($B15,'de para abc'!$A:$A,0))=0,"C",INDEX('de para abc'!$C:$C,MATCH($B15,'de para abc'!$A:$A,0))),IFERROR(IF(INDEX('de para abc'!$C:$C,MATCH($C15,'de para abc'!$B:$B,0))=0,"C",INDEX('de para abc'!$C:$C,MATCH($C15,'de para abc'!$B:$B,0))),"C"))</f>
        <v>B</v>
      </c>
      <c r="F15" s="56">
        <v>0</v>
      </c>
    </row>
    <row r="16" spans="1:10" x14ac:dyDescent="0.25">
      <c r="A16" s="55" t="s">
        <v>301</v>
      </c>
      <c r="B16" s="41">
        <v>1000066</v>
      </c>
      <c r="C16" s="39" t="s">
        <v>390</v>
      </c>
      <c r="D16" s="40" t="s">
        <v>14</v>
      </c>
      <c r="E16" s="40" t="str">
        <f>IFERROR(IF(INDEX('de para abc'!$C:$C,MATCH($B16,'de para abc'!$A:$A,0))=0,"C",INDEX('de para abc'!$C:$C,MATCH($B16,'de para abc'!$A:$A,0))),IFERROR(IF(INDEX('de para abc'!$C:$C,MATCH($C16,'de para abc'!$B:$B,0))=0,"C",INDEX('de para abc'!$C:$C,MATCH($C16,'de para abc'!$B:$B,0))),"C"))</f>
        <v>C</v>
      </c>
      <c r="F16" s="56">
        <v>0</v>
      </c>
    </row>
    <row r="17" spans="1:6" x14ac:dyDescent="0.25">
      <c r="A17" s="55" t="s">
        <v>301</v>
      </c>
      <c r="B17" s="41">
        <v>1001430</v>
      </c>
      <c r="C17" s="39" t="s">
        <v>391</v>
      </c>
      <c r="D17" s="40" t="s">
        <v>14</v>
      </c>
      <c r="E17" s="40" t="str">
        <f>IFERROR(IF(INDEX('de para abc'!$C:$C,MATCH($B17,'de para abc'!$A:$A,0))=0,"C",INDEX('de para abc'!$C:$C,MATCH($B17,'de para abc'!$A:$A,0))),IFERROR(IF(INDEX('de para abc'!$C:$C,MATCH($C17,'de para abc'!$B:$B,0))=0,"C",INDEX('de para abc'!$C:$C,MATCH($C17,'de para abc'!$B:$B,0))),"C"))</f>
        <v>C</v>
      </c>
      <c r="F17" s="56">
        <v>0</v>
      </c>
    </row>
    <row r="18" spans="1:6" x14ac:dyDescent="0.25">
      <c r="A18" s="55" t="s">
        <v>301</v>
      </c>
      <c r="B18" s="41">
        <v>1001686</v>
      </c>
      <c r="C18" s="39" t="s">
        <v>392</v>
      </c>
      <c r="D18" s="40" t="s">
        <v>14</v>
      </c>
      <c r="E18" s="40" t="str">
        <f>IFERROR(IF(INDEX('de para abc'!$C:$C,MATCH($B18,'de para abc'!$A:$A,0))=0,"C",INDEX('de para abc'!$C:$C,MATCH($B18,'de para abc'!$A:$A,0))),IFERROR(IF(INDEX('de para abc'!$C:$C,MATCH($C18,'de para abc'!$B:$B,0))=0,"C",INDEX('de para abc'!$C:$C,MATCH($C18,'de para abc'!$B:$B,0))),"C"))</f>
        <v>C</v>
      </c>
      <c r="F18" s="56">
        <v>0</v>
      </c>
    </row>
    <row r="19" spans="1:6" x14ac:dyDescent="0.25">
      <c r="A19" s="55" t="s">
        <v>301</v>
      </c>
      <c r="B19" s="41">
        <v>1001680</v>
      </c>
      <c r="C19" s="39" t="s">
        <v>135</v>
      </c>
      <c r="D19" s="40" t="s">
        <v>10</v>
      </c>
      <c r="E19" s="40" t="str">
        <f>IFERROR(IF(INDEX('de para abc'!$C:$C,MATCH($B19,'de para abc'!$A:$A,0))=0,"C",INDEX('de para abc'!$C:$C,MATCH($B19,'de para abc'!$A:$A,0))),IFERROR(IF(INDEX('de para abc'!$C:$C,MATCH($C19,'de para abc'!$B:$B,0))=0,"C",INDEX('de para abc'!$C:$C,MATCH($C19,'de para abc'!$B:$B,0))),"C"))</f>
        <v>A</v>
      </c>
      <c r="F19" s="56">
        <v>0</v>
      </c>
    </row>
    <row r="20" spans="1:6" x14ac:dyDescent="0.25">
      <c r="A20" s="55" t="s">
        <v>301</v>
      </c>
      <c r="B20" s="41">
        <v>1001941</v>
      </c>
      <c r="C20" s="39" t="s">
        <v>58</v>
      </c>
      <c r="D20" s="40" t="s">
        <v>59</v>
      </c>
      <c r="E20" s="40" t="str">
        <f>IFERROR(IF(INDEX('de para abc'!$C:$C,MATCH($B20,'de para abc'!$A:$A,0))=0,"C",INDEX('de para abc'!$C:$C,MATCH($B20,'de para abc'!$A:$A,0))),IFERROR(IF(INDEX('de para abc'!$C:$C,MATCH($C20,'de para abc'!$B:$B,0))=0,"C",INDEX('de para abc'!$C:$C,MATCH($C20,'de para abc'!$B:$B,0))),"C"))</f>
        <v>A</v>
      </c>
      <c r="F20" s="56">
        <v>0</v>
      </c>
    </row>
    <row r="21" spans="1:6" x14ac:dyDescent="0.25">
      <c r="A21" s="55" t="s">
        <v>301</v>
      </c>
      <c r="B21" s="41">
        <v>1002144</v>
      </c>
      <c r="C21" s="39" t="s">
        <v>393</v>
      </c>
      <c r="D21" s="40" t="s">
        <v>59</v>
      </c>
      <c r="E21" s="40" t="str">
        <f>IFERROR(IF(INDEX('de para abc'!$C:$C,MATCH($B21,'de para abc'!$A:$A,0))=0,"C",INDEX('de para abc'!$C:$C,MATCH($B21,'de para abc'!$A:$A,0))),IFERROR(IF(INDEX('de para abc'!$C:$C,MATCH($C21,'de para abc'!$B:$B,0))=0,"C",INDEX('de para abc'!$C:$C,MATCH($C21,'de para abc'!$B:$B,0))),"C"))</f>
        <v>C</v>
      </c>
      <c r="F21" s="56">
        <v>0</v>
      </c>
    </row>
    <row r="22" spans="1:6" x14ac:dyDescent="0.25">
      <c r="A22" s="55" t="s">
        <v>301</v>
      </c>
      <c r="B22" s="41">
        <v>1001667</v>
      </c>
      <c r="C22" s="39" t="s">
        <v>139</v>
      </c>
      <c r="D22" s="40" t="s">
        <v>18</v>
      </c>
      <c r="E22" s="40" t="str">
        <f>IFERROR(IF(INDEX('de para abc'!$C:$C,MATCH($B22,'de para abc'!$A:$A,0))=0,"C",INDEX('de para abc'!$C:$C,MATCH($B22,'de para abc'!$A:$A,0))),IFERROR(IF(INDEX('de para abc'!$C:$C,MATCH($C22,'de para abc'!$B:$B,0))=0,"C",INDEX('de para abc'!$C:$C,MATCH($C22,'de para abc'!$B:$B,0))),"C"))</f>
        <v>A</v>
      </c>
      <c r="F22" s="56">
        <v>1</v>
      </c>
    </row>
    <row r="23" spans="1:6" x14ac:dyDescent="0.25">
      <c r="A23" s="55" t="s">
        <v>301</v>
      </c>
      <c r="B23" s="41">
        <v>1001122</v>
      </c>
      <c r="C23" s="39" t="s">
        <v>140</v>
      </c>
      <c r="D23" s="40" t="s">
        <v>10</v>
      </c>
      <c r="E23" s="40" t="str">
        <f>IFERROR(IF(INDEX('de para abc'!$C:$C,MATCH($B23,'de para abc'!$A:$A,0))=0,"C",INDEX('de para abc'!$C:$C,MATCH($B23,'de para abc'!$A:$A,0))),IFERROR(IF(INDEX('de para abc'!$C:$C,MATCH($C23,'de para abc'!$B:$B,0))=0,"C",INDEX('de para abc'!$C:$C,MATCH($C23,'de para abc'!$B:$B,0))),"C"))</f>
        <v>A</v>
      </c>
      <c r="F23" s="56">
        <v>2</v>
      </c>
    </row>
    <row r="24" spans="1:6" x14ac:dyDescent="0.25">
      <c r="A24" s="55" t="s">
        <v>301</v>
      </c>
      <c r="B24" s="41">
        <v>1000137</v>
      </c>
      <c r="C24" s="39" t="s">
        <v>395</v>
      </c>
      <c r="D24" s="40" t="s">
        <v>14</v>
      </c>
      <c r="E24" s="40" t="str">
        <f>IFERROR(IF(INDEX('de para abc'!$C:$C,MATCH($B24,'de para abc'!$A:$A,0))=0,"C",INDEX('de para abc'!$C:$C,MATCH($B24,'de para abc'!$A:$A,0))),IFERROR(IF(INDEX('de para abc'!$C:$C,MATCH($C24,'de para abc'!$B:$B,0))=0,"C",INDEX('de para abc'!$C:$C,MATCH($C24,'de para abc'!$B:$B,0))),"C"))</f>
        <v>C</v>
      </c>
      <c r="F24" s="56">
        <v>1</v>
      </c>
    </row>
    <row r="25" spans="1:6" x14ac:dyDescent="0.25">
      <c r="A25" s="55" t="s">
        <v>301</v>
      </c>
      <c r="B25" s="41">
        <v>1001190</v>
      </c>
      <c r="C25" s="39" t="s">
        <v>97</v>
      </c>
      <c r="D25" s="40" t="s">
        <v>10</v>
      </c>
      <c r="E25" s="40" t="str">
        <f>IFERROR(IF(INDEX('de para abc'!$C:$C,MATCH($B25,'de para abc'!$A:$A,0))=0,"C",INDEX('de para abc'!$C:$C,MATCH($B25,'de para abc'!$A:$A,0))),IFERROR(IF(INDEX('de para abc'!$C:$C,MATCH($C25,'de para abc'!$B:$B,0))=0,"C",INDEX('de para abc'!$C:$C,MATCH($C25,'de para abc'!$B:$B,0))),"C"))</f>
        <v>C</v>
      </c>
      <c r="F25" s="56">
        <v>4</v>
      </c>
    </row>
    <row r="26" spans="1:6" x14ac:dyDescent="0.25">
      <c r="A26" s="55" t="s">
        <v>301</v>
      </c>
      <c r="B26" s="41">
        <v>1000149</v>
      </c>
      <c r="C26" s="39" t="s">
        <v>397</v>
      </c>
      <c r="D26" s="40" t="s">
        <v>14</v>
      </c>
      <c r="E26" s="40" t="str">
        <f>IFERROR(IF(INDEX('de para abc'!$C:$C,MATCH($B26,'de para abc'!$A:$A,0))=0,"C",INDEX('de para abc'!$C:$C,MATCH($B26,'de para abc'!$A:$A,0))),IFERROR(IF(INDEX('de para abc'!$C:$C,MATCH($C26,'de para abc'!$B:$B,0))=0,"C",INDEX('de para abc'!$C:$C,MATCH($C26,'de para abc'!$B:$B,0))),"C"))</f>
        <v>C</v>
      </c>
      <c r="F26" s="56">
        <v>0</v>
      </c>
    </row>
    <row r="27" spans="1:6" x14ac:dyDescent="0.25">
      <c r="A27" s="55" t="s">
        <v>301</v>
      </c>
      <c r="B27" s="41">
        <v>1000150</v>
      </c>
      <c r="C27" s="39" t="s">
        <v>398</v>
      </c>
      <c r="D27" s="40" t="s">
        <v>10</v>
      </c>
      <c r="E27" s="40" t="str">
        <f>IFERROR(IF(INDEX('de para abc'!$C:$C,MATCH($B27,'de para abc'!$A:$A,0))=0,"C",INDEX('de para abc'!$C:$C,MATCH($B27,'de para abc'!$A:$A,0))),IFERROR(IF(INDEX('de para abc'!$C:$C,MATCH($C27,'de para abc'!$B:$B,0))=0,"C",INDEX('de para abc'!$C:$C,MATCH($C27,'de para abc'!$B:$B,0))),"C"))</f>
        <v>C</v>
      </c>
      <c r="F27" s="56">
        <v>1</v>
      </c>
    </row>
    <row r="28" spans="1:6" x14ac:dyDescent="0.25">
      <c r="A28" s="55" t="s">
        <v>301</v>
      </c>
      <c r="B28" s="41">
        <v>1000852</v>
      </c>
      <c r="C28" s="39" t="s">
        <v>1793</v>
      </c>
      <c r="D28" s="40" t="s">
        <v>71</v>
      </c>
      <c r="E28" s="40" t="str">
        <f>IFERROR(IF(INDEX('de para abc'!$C:$C,MATCH($B28,'de para abc'!$A:$A,0))=0,"C",INDEX('de para abc'!$C:$C,MATCH($B28,'de para abc'!$A:$A,0))),IFERROR(IF(INDEX('de para abc'!$C:$C,MATCH($C28,'de para abc'!$B:$B,0))=0,"C",INDEX('de para abc'!$C:$C,MATCH($C28,'de para abc'!$B:$B,0))),"C"))</f>
        <v>C</v>
      </c>
      <c r="F28" s="56">
        <v>1</v>
      </c>
    </row>
    <row r="29" spans="1:6" x14ac:dyDescent="0.25">
      <c r="A29" s="55" t="s">
        <v>301</v>
      </c>
      <c r="B29" s="41">
        <v>1000834</v>
      </c>
      <c r="C29" s="39" t="s">
        <v>399</v>
      </c>
      <c r="D29" s="40" t="s">
        <v>14</v>
      </c>
      <c r="E29" s="40" t="str">
        <f>IFERROR(IF(INDEX('de para abc'!$C:$C,MATCH($B29,'de para abc'!$A:$A,0))=0,"C",INDEX('de para abc'!$C:$C,MATCH($B29,'de para abc'!$A:$A,0))),IFERROR(IF(INDEX('de para abc'!$C:$C,MATCH($C29,'de para abc'!$B:$B,0))=0,"C",INDEX('de para abc'!$C:$C,MATCH($C29,'de para abc'!$B:$B,0))),"C"))</f>
        <v>C</v>
      </c>
      <c r="F29" s="56">
        <v>0</v>
      </c>
    </row>
    <row r="30" spans="1:6" x14ac:dyDescent="0.25">
      <c r="A30" s="55" t="s">
        <v>301</v>
      </c>
      <c r="B30" s="41">
        <v>1000163</v>
      </c>
      <c r="C30" s="39" t="s">
        <v>400</v>
      </c>
      <c r="D30" s="40" t="s">
        <v>10</v>
      </c>
      <c r="E30" s="40" t="str">
        <f>IFERROR(IF(INDEX('de para abc'!$C:$C,MATCH($B30,'de para abc'!$A:$A,0))=0,"C",INDEX('de para abc'!$C:$C,MATCH($B30,'de para abc'!$A:$A,0))),IFERROR(IF(INDEX('de para abc'!$C:$C,MATCH($C30,'de para abc'!$B:$B,0))=0,"C",INDEX('de para abc'!$C:$C,MATCH($C30,'de para abc'!$B:$B,0))),"C"))</f>
        <v>C</v>
      </c>
      <c r="F30" s="56">
        <v>5</v>
      </c>
    </row>
    <row r="31" spans="1:6" x14ac:dyDescent="0.25">
      <c r="A31" s="55" t="s">
        <v>301</v>
      </c>
      <c r="B31" s="41">
        <v>1006833</v>
      </c>
      <c r="C31" s="39" t="s">
        <v>401</v>
      </c>
      <c r="D31" s="40" t="s">
        <v>10</v>
      </c>
      <c r="E31" s="40" t="str">
        <f>IFERROR(IF(INDEX('de para abc'!$C:$C,MATCH($B31,'de para abc'!$A:$A,0))=0,"C",INDEX('de para abc'!$C:$C,MATCH($B31,'de para abc'!$A:$A,0))),IFERROR(IF(INDEX('de para abc'!$C:$C,MATCH($C31,'de para abc'!$B:$B,0))=0,"C",INDEX('de para abc'!$C:$C,MATCH($C31,'de para abc'!$B:$B,0))),"C"))</f>
        <v>C</v>
      </c>
      <c r="F31" s="56">
        <v>0</v>
      </c>
    </row>
    <row r="32" spans="1:6" x14ac:dyDescent="0.25">
      <c r="A32" s="55" t="s">
        <v>301</v>
      </c>
      <c r="B32" s="41">
        <v>1006850</v>
      </c>
      <c r="C32" s="39" t="s">
        <v>402</v>
      </c>
      <c r="D32" s="40" t="s">
        <v>10</v>
      </c>
      <c r="E32" s="40" t="str">
        <f>IFERROR(IF(INDEX('de para abc'!$C:$C,MATCH($B32,'de para abc'!$A:$A,0))=0,"C",INDEX('de para abc'!$C:$C,MATCH($B32,'de para abc'!$A:$A,0))),IFERROR(IF(INDEX('de para abc'!$C:$C,MATCH($C32,'de para abc'!$B:$B,0))=0,"C",INDEX('de para abc'!$C:$C,MATCH($C32,'de para abc'!$B:$B,0))),"C"))</f>
        <v>C</v>
      </c>
      <c r="F32" s="56">
        <v>0</v>
      </c>
    </row>
    <row r="33" spans="1:6" x14ac:dyDescent="0.25">
      <c r="A33" s="55" t="s">
        <v>301</v>
      </c>
      <c r="B33" s="41">
        <v>100120</v>
      </c>
      <c r="C33" s="39" t="s">
        <v>403</v>
      </c>
      <c r="D33" s="40" t="s">
        <v>18</v>
      </c>
      <c r="E33" s="40" t="str">
        <f>IFERROR(IF(INDEX('de para abc'!$C:$C,MATCH($B33,'de para abc'!$A:$A,0))=0,"C",INDEX('de para abc'!$C:$C,MATCH($B33,'de para abc'!$A:$A,0))),IFERROR(IF(INDEX('de para abc'!$C:$C,MATCH($C33,'de para abc'!$B:$B,0))=0,"C",INDEX('de para abc'!$C:$C,MATCH($C33,'de para abc'!$B:$B,0))),"C"))</f>
        <v>C</v>
      </c>
      <c r="F33" s="56">
        <v>0</v>
      </c>
    </row>
    <row r="34" spans="1:6" x14ac:dyDescent="0.25">
      <c r="A34" s="55" t="s">
        <v>301</v>
      </c>
      <c r="B34" s="41">
        <v>1006835</v>
      </c>
      <c r="C34" s="39" t="s">
        <v>404</v>
      </c>
      <c r="D34" s="40" t="s">
        <v>10</v>
      </c>
      <c r="E34" s="40" t="str">
        <f>IFERROR(IF(INDEX('de para abc'!$C:$C,MATCH($B34,'de para abc'!$A:$A,0))=0,"C",INDEX('de para abc'!$C:$C,MATCH($B34,'de para abc'!$A:$A,0))),IFERROR(IF(INDEX('de para abc'!$C:$C,MATCH($C34,'de para abc'!$B:$B,0))=0,"C",INDEX('de para abc'!$C:$C,MATCH($C34,'de para abc'!$B:$B,0))),"C"))</f>
        <v>C</v>
      </c>
      <c r="F34" s="56">
        <v>0</v>
      </c>
    </row>
    <row r="35" spans="1:6" x14ac:dyDescent="0.25">
      <c r="A35" s="55" t="s">
        <v>301</v>
      </c>
      <c r="B35" s="41">
        <v>1006836</v>
      </c>
      <c r="C35" s="39" t="s">
        <v>405</v>
      </c>
      <c r="D35" s="40" t="s">
        <v>10</v>
      </c>
      <c r="E35" s="40" t="str">
        <f>IFERROR(IF(INDEX('de para abc'!$C:$C,MATCH($B35,'de para abc'!$A:$A,0))=0,"C",INDEX('de para abc'!$C:$C,MATCH($B35,'de para abc'!$A:$A,0))),IFERROR(IF(INDEX('de para abc'!$C:$C,MATCH($C35,'de para abc'!$B:$B,0))=0,"C",INDEX('de para abc'!$C:$C,MATCH($C35,'de para abc'!$B:$B,0))),"C"))</f>
        <v>C</v>
      </c>
      <c r="F35" s="56">
        <v>0</v>
      </c>
    </row>
    <row r="36" spans="1:6" x14ac:dyDescent="0.25">
      <c r="A36" s="55" t="s">
        <v>301</v>
      </c>
      <c r="B36" s="41">
        <v>1006837</v>
      </c>
      <c r="C36" s="39" t="s">
        <v>406</v>
      </c>
      <c r="D36" s="40" t="s">
        <v>10</v>
      </c>
      <c r="E36" s="40" t="str">
        <f>IFERROR(IF(INDEX('de para abc'!$C:$C,MATCH($B36,'de para abc'!$A:$A,0))=0,"C",INDEX('de para abc'!$C:$C,MATCH($B36,'de para abc'!$A:$A,0))),IFERROR(IF(INDEX('de para abc'!$C:$C,MATCH($C36,'de para abc'!$B:$B,0))=0,"C",INDEX('de para abc'!$C:$C,MATCH($C36,'de para abc'!$B:$B,0))),"C"))</f>
        <v>C</v>
      </c>
      <c r="F36" s="56">
        <v>0</v>
      </c>
    </row>
    <row r="37" spans="1:6" x14ac:dyDescent="0.25">
      <c r="A37" s="55" t="s">
        <v>301</v>
      </c>
      <c r="B37" s="41">
        <v>1006838</v>
      </c>
      <c r="C37" s="39" t="s">
        <v>407</v>
      </c>
      <c r="D37" s="40" t="s">
        <v>10</v>
      </c>
      <c r="E37" s="40" t="str">
        <f>IFERROR(IF(INDEX('de para abc'!$C:$C,MATCH($B37,'de para abc'!$A:$A,0))=0,"C",INDEX('de para abc'!$C:$C,MATCH($B37,'de para abc'!$A:$A,0))),IFERROR(IF(INDEX('de para abc'!$C:$C,MATCH($C37,'de para abc'!$B:$B,0))=0,"C",INDEX('de para abc'!$C:$C,MATCH($C37,'de para abc'!$B:$B,0))),"C"))</f>
        <v>C</v>
      </c>
      <c r="F37" s="56">
        <v>0</v>
      </c>
    </row>
    <row r="38" spans="1:6" x14ac:dyDescent="0.25">
      <c r="A38" s="55" t="s">
        <v>301</v>
      </c>
      <c r="B38" s="41">
        <v>1006827</v>
      </c>
      <c r="C38" s="39" t="s">
        <v>408</v>
      </c>
      <c r="D38" s="40" t="s">
        <v>10</v>
      </c>
      <c r="E38" s="40" t="str">
        <f>IFERROR(IF(INDEX('de para abc'!$C:$C,MATCH($B38,'de para abc'!$A:$A,0))=0,"C",INDEX('de para abc'!$C:$C,MATCH($B38,'de para abc'!$A:$A,0))),IFERROR(IF(INDEX('de para abc'!$C:$C,MATCH($C38,'de para abc'!$B:$B,0))=0,"C",INDEX('de para abc'!$C:$C,MATCH($C38,'de para abc'!$B:$B,0))),"C"))</f>
        <v>C</v>
      </c>
      <c r="F38" s="56">
        <v>0</v>
      </c>
    </row>
    <row r="39" spans="1:6" x14ac:dyDescent="0.25">
      <c r="A39" s="55" t="s">
        <v>301</v>
      </c>
      <c r="B39" s="41">
        <v>1006828</v>
      </c>
      <c r="C39" s="39" t="s">
        <v>409</v>
      </c>
      <c r="D39" s="40" t="s">
        <v>10</v>
      </c>
      <c r="E39" s="40" t="str">
        <f>IFERROR(IF(INDEX('de para abc'!$C:$C,MATCH($B39,'de para abc'!$A:$A,0))=0,"C",INDEX('de para abc'!$C:$C,MATCH($B39,'de para abc'!$A:$A,0))),IFERROR(IF(INDEX('de para abc'!$C:$C,MATCH($C39,'de para abc'!$B:$B,0))=0,"C",INDEX('de para abc'!$C:$C,MATCH($C39,'de para abc'!$B:$B,0))),"C"))</f>
        <v>C</v>
      </c>
      <c r="F39" s="56">
        <v>0</v>
      </c>
    </row>
    <row r="40" spans="1:6" x14ac:dyDescent="0.25">
      <c r="A40" s="55" t="s">
        <v>301</v>
      </c>
      <c r="B40" s="41">
        <v>1002103</v>
      </c>
      <c r="C40" s="39" t="s">
        <v>410</v>
      </c>
      <c r="D40" s="40" t="s">
        <v>10</v>
      </c>
      <c r="E40" s="40" t="str">
        <f>IFERROR(IF(INDEX('de para abc'!$C:$C,MATCH($B40,'de para abc'!$A:$A,0))=0,"C",INDEX('de para abc'!$C:$C,MATCH($B40,'de para abc'!$A:$A,0))),IFERROR(IF(INDEX('de para abc'!$C:$C,MATCH($C40,'de para abc'!$B:$B,0))=0,"C",INDEX('de para abc'!$C:$C,MATCH($C40,'de para abc'!$B:$B,0))),"C"))</f>
        <v>C</v>
      </c>
      <c r="F40" s="56">
        <v>0</v>
      </c>
    </row>
    <row r="41" spans="1:6" x14ac:dyDescent="0.25">
      <c r="A41" s="55" t="s">
        <v>301</v>
      </c>
      <c r="B41" s="41">
        <v>1000169</v>
      </c>
      <c r="C41" s="39" t="s">
        <v>415</v>
      </c>
      <c r="D41" s="40" t="s">
        <v>10</v>
      </c>
      <c r="E41" s="40" t="str">
        <f>IFERROR(IF(INDEX('de para abc'!$C:$C,MATCH($B41,'de para abc'!$A:$A,0))=0,"C",INDEX('de para abc'!$C:$C,MATCH($B41,'de para abc'!$A:$A,0))),IFERROR(IF(INDEX('de para abc'!$C:$C,MATCH($C41,'de para abc'!$B:$B,0))=0,"C",INDEX('de para abc'!$C:$C,MATCH($C41,'de para abc'!$B:$B,0))),"C"))</f>
        <v>C</v>
      </c>
      <c r="F41" s="56">
        <v>1</v>
      </c>
    </row>
    <row r="42" spans="1:6" x14ac:dyDescent="0.25">
      <c r="A42" s="55" t="s">
        <v>301</v>
      </c>
      <c r="B42" s="41">
        <v>1006829</v>
      </c>
      <c r="C42" s="39" t="s">
        <v>416</v>
      </c>
      <c r="D42" s="40" t="s">
        <v>10</v>
      </c>
      <c r="E42" s="40" t="str">
        <f>IFERROR(IF(INDEX('de para abc'!$C:$C,MATCH($B42,'de para abc'!$A:$A,0))=0,"C",INDEX('de para abc'!$C:$C,MATCH($B42,'de para abc'!$A:$A,0))),IFERROR(IF(INDEX('de para abc'!$C:$C,MATCH($C42,'de para abc'!$B:$B,0))=0,"C",INDEX('de para abc'!$C:$C,MATCH($C42,'de para abc'!$B:$B,0))),"C"))</f>
        <v>C</v>
      </c>
      <c r="F42" s="56">
        <v>0</v>
      </c>
    </row>
    <row r="43" spans="1:6" x14ac:dyDescent="0.25">
      <c r="A43" s="55" t="s">
        <v>301</v>
      </c>
      <c r="B43" s="41">
        <v>1006839</v>
      </c>
      <c r="C43" s="39" t="s">
        <v>417</v>
      </c>
      <c r="D43" s="40" t="s">
        <v>10</v>
      </c>
      <c r="E43" s="40" t="str">
        <f>IFERROR(IF(INDEX('de para abc'!$C:$C,MATCH($B43,'de para abc'!$A:$A,0))=0,"C",INDEX('de para abc'!$C:$C,MATCH($B43,'de para abc'!$A:$A,0))),IFERROR(IF(INDEX('de para abc'!$C:$C,MATCH($C43,'de para abc'!$B:$B,0))=0,"C",INDEX('de para abc'!$C:$C,MATCH($C43,'de para abc'!$B:$B,0))),"C"))</f>
        <v>C</v>
      </c>
      <c r="F43" s="56">
        <v>0</v>
      </c>
    </row>
    <row r="44" spans="1:6" x14ac:dyDescent="0.25">
      <c r="A44" s="55" t="s">
        <v>301</v>
      </c>
      <c r="B44" s="41">
        <v>1001677</v>
      </c>
      <c r="C44" s="39" t="s">
        <v>418</v>
      </c>
      <c r="D44" s="40" t="s">
        <v>18</v>
      </c>
      <c r="E44" s="40" t="str">
        <f>IFERROR(IF(INDEX('de para abc'!$C:$C,MATCH($B44,'de para abc'!$A:$A,0))=0,"C",INDEX('de para abc'!$C:$C,MATCH($B44,'de para abc'!$A:$A,0))),IFERROR(IF(INDEX('de para abc'!$C:$C,MATCH($C44,'de para abc'!$B:$B,0))=0,"C",INDEX('de para abc'!$C:$C,MATCH($C44,'de para abc'!$B:$B,0))),"C"))</f>
        <v>C</v>
      </c>
      <c r="F44" s="56">
        <v>1</v>
      </c>
    </row>
    <row r="45" spans="1:6" x14ac:dyDescent="0.25">
      <c r="A45" s="55" t="s">
        <v>301</v>
      </c>
      <c r="B45" s="41">
        <v>1006950</v>
      </c>
      <c r="C45" s="39" t="s">
        <v>419</v>
      </c>
      <c r="D45" s="40" t="s">
        <v>18</v>
      </c>
      <c r="E45" s="40" t="str">
        <f>IFERROR(IF(INDEX('de para abc'!$C:$C,MATCH($B45,'de para abc'!$A:$A,0))=0,"C",INDEX('de para abc'!$C:$C,MATCH($B45,'de para abc'!$A:$A,0))),IFERROR(IF(INDEX('de para abc'!$C:$C,MATCH($C45,'de para abc'!$B:$B,0))=0,"C",INDEX('de para abc'!$C:$C,MATCH($C45,'de para abc'!$B:$B,0))),"C"))</f>
        <v>C</v>
      </c>
      <c r="F45" s="56">
        <v>0</v>
      </c>
    </row>
    <row r="46" spans="1:6" x14ac:dyDescent="0.25">
      <c r="A46" s="55" t="s">
        <v>301</v>
      </c>
      <c r="B46" s="41">
        <v>1001293</v>
      </c>
      <c r="C46" s="39" t="s">
        <v>420</v>
      </c>
      <c r="D46" s="40" t="s">
        <v>14</v>
      </c>
      <c r="E46" s="40" t="str">
        <f>IFERROR(IF(INDEX('de para abc'!$C:$C,MATCH($B46,'de para abc'!$A:$A,0))=0,"C",INDEX('de para abc'!$C:$C,MATCH($B46,'de para abc'!$A:$A,0))),IFERROR(IF(INDEX('de para abc'!$C:$C,MATCH($C46,'de para abc'!$B:$B,0))=0,"C",INDEX('de para abc'!$C:$C,MATCH($C46,'de para abc'!$B:$B,0))),"C"))</f>
        <v>C</v>
      </c>
      <c r="F46" s="56">
        <v>0</v>
      </c>
    </row>
    <row r="47" spans="1:6" x14ac:dyDescent="0.25">
      <c r="A47" s="55" t="s">
        <v>301</v>
      </c>
      <c r="B47" s="41">
        <v>1006831</v>
      </c>
      <c r="C47" s="39" t="s">
        <v>421</v>
      </c>
      <c r="D47" s="40" t="s">
        <v>18</v>
      </c>
      <c r="E47" s="40" t="str">
        <f>IFERROR(IF(INDEX('de para abc'!$C:$C,MATCH($B47,'de para abc'!$A:$A,0))=0,"C",INDEX('de para abc'!$C:$C,MATCH($B47,'de para abc'!$A:$A,0))),IFERROR(IF(INDEX('de para abc'!$C:$C,MATCH($C47,'de para abc'!$B:$B,0))=0,"C",INDEX('de para abc'!$C:$C,MATCH($C47,'de para abc'!$B:$B,0))),"C"))</f>
        <v>C</v>
      </c>
      <c r="F47" s="56">
        <v>0</v>
      </c>
    </row>
    <row r="48" spans="1:6" x14ac:dyDescent="0.25">
      <c r="A48" s="55" t="s">
        <v>301</v>
      </c>
      <c r="B48" s="41">
        <v>1006832</v>
      </c>
      <c r="C48" s="39" t="s">
        <v>422</v>
      </c>
      <c r="D48" s="40" t="s">
        <v>10</v>
      </c>
      <c r="E48" s="40" t="str">
        <f>IFERROR(IF(INDEX('de para abc'!$C:$C,MATCH($B48,'de para abc'!$A:$A,0))=0,"C",INDEX('de para abc'!$C:$C,MATCH($B48,'de para abc'!$A:$A,0))),IFERROR(IF(INDEX('de para abc'!$C:$C,MATCH($C48,'de para abc'!$B:$B,0))=0,"C",INDEX('de para abc'!$C:$C,MATCH($C48,'de para abc'!$B:$B,0))),"C"))</f>
        <v>C</v>
      </c>
      <c r="F48" s="56">
        <v>0</v>
      </c>
    </row>
    <row r="49" spans="1:6" x14ac:dyDescent="0.25">
      <c r="A49" s="55" t="s">
        <v>301</v>
      </c>
      <c r="B49" s="41">
        <v>1000838</v>
      </c>
      <c r="C49" s="39" t="s">
        <v>411</v>
      </c>
      <c r="D49" s="40" t="s">
        <v>14</v>
      </c>
      <c r="E49" s="40" t="str">
        <f>IFERROR(IF(INDEX('de para abc'!$C:$C,MATCH($B49,'de para abc'!$A:$A,0))=0,"C",INDEX('de para abc'!$C:$C,MATCH($B49,'de para abc'!$A:$A,0))),IFERROR(IF(INDEX('de para abc'!$C:$C,MATCH($C49,'de para abc'!$B:$B,0))=0,"C",INDEX('de para abc'!$C:$C,MATCH($C49,'de para abc'!$B:$B,0))),"C"))</f>
        <v>C</v>
      </c>
      <c r="F49" s="56">
        <v>0</v>
      </c>
    </row>
    <row r="50" spans="1:6" x14ac:dyDescent="0.25">
      <c r="A50" s="55" t="s">
        <v>301</v>
      </c>
      <c r="B50" s="41">
        <v>1000167</v>
      </c>
      <c r="C50" s="39" t="s">
        <v>412</v>
      </c>
      <c r="D50" s="40" t="s">
        <v>10</v>
      </c>
      <c r="E50" s="40" t="str">
        <f>IFERROR(IF(INDEX('de para abc'!$C:$C,MATCH($B50,'de para abc'!$A:$A,0))=0,"C",INDEX('de para abc'!$C:$C,MATCH($B50,'de para abc'!$A:$A,0))),IFERROR(IF(INDEX('de para abc'!$C:$C,MATCH($C50,'de para abc'!$B:$B,0))=0,"C",INDEX('de para abc'!$C:$C,MATCH($C50,'de para abc'!$B:$B,0))),"C"))</f>
        <v>B</v>
      </c>
      <c r="F50" s="56">
        <v>1</v>
      </c>
    </row>
    <row r="51" spans="1:6" x14ac:dyDescent="0.25">
      <c r="A51" s="55" t="s">
        <v>301</v>
      </c>
      <c r="B51" s="41">
        <v>1000837</v>
      </c>
      <c r="C51" s="39" t="s">
        <v>413</v>
      </c>
      <c r="D51" s="40" t="s">
        <v>14</v>
      </c>
      <c r="E51" s="40" t="str">
        <f>IFERROR(IF(INDEX('de para abc'!$C:$C,MATCH($B51,'de para abc'!$A:$A,0))=0,"C",INDEX('de para abc'!$C:$C,MATCH($B51,'de para abc'!$A:$A,0))),IFERROR(IF(INDEX('de para abc'!$C:$C,MATCH($C51,'de para abc'!$B:$B,0))=0,"C",INDEX('de para abc'!$C:$C,MATCH($C51,'de para abc'!$B:$B,0))),"C"))</f>
        <v>C</v>
      </c>
      <c r="F51" s="56">
        <v>1</v>
      </c>
    </row>
    <row r="52" spans="1:6" x14ac:dyDescent="0.25">
      <c r="A52" s="55" t="s">
        <v>301</v>
      </c>
      <c r="B52" s="41">
        <v>1000553</v>
      </c>
      <c r="C52" s="39" t="s">
        <v>414</v>
      </c>
      <c r="D52" s="40" t="s">
        <v>10</v>
      </c>
      <c r="E52" s="40" t="str">
        <f>IFERROR(IF(INDEX('de para abc'!$C:$C,MATCH($B52,'de para abc'!$A:$A,0))=0,"C",INDEX('de para abc'!$C:$C,MATCH($B52,'de para abc'!$A:$A,0))),IFERROR(IF(INDEX('de para abc'!$C:$C,MATCH($C52,'de para abc'!$B:$B,0))=0,"C",INDEX('de para abc'!$C:$C,MATCH($C52,'de para abc'!$B:$B,0))),"C"))</f>
        <v>C</v>
      </c>
      <c r="F52" s="56">
        <v>0</v>
      </c>
    </row>
    <row r="53" spans="1:6" x14ac:dyDescent="0.25">
      <c r="A53" s="55" t="s">
        <v>301</v>
      </c>
      <c r="B53" s="41">
        <v>1000170</v>
      </c>
      <c r="C53" s="39" t="s">
        <v>61</v>
      </c>
      <c r="D53" s="40" t="s">
        <v>10</v>
      </c>
      <c r="E53" s="40" t="str">
        <f>IFERROR(IF(INDEX('de para abc'!$C:$C,MATCH($B53,'de para abc'!$A:$A,0))=0,"C",INDEX('de para abc'!$C:$C,MATCH($B53,'de para abc'!$A:$A,0))),IFERROR(IF(INDEX('de para abc'!$C:$C,MATCH($C53,'de para abc'!$B:$B,0))=0,"C",INDEX('de para abc'!$C:$C,MATCH($C53,'de para abc'!$B:$B,0))),"C"))</f>
        <v>C</v>
      </c>
      <c r="F53" s="56">
        <v>0</v>
      </c>
    </row>
    <row r="54" spans="1:6" x14ac:dyDescent="0.25">
      <c r="A54" s="55" t="s">
        <v>301</v>
      </c>
      <c r="B54" s="41">
        <v>1000171</v>
      </c>
      <c r="C54" s="39" t="s">
        <v>62</v>
      </c>
      <c r="D54" s="40" t="s">
        <v>10</v>
      </c>
      <c r="E54" s="40" t="str">
        <f>IFERROR(IF(INDEX('de para abc'!$C:$C,MATCH($B54,'de para abc'!$A:$A,0))=0,"C",INDEX('de para abc'!$C:$C,MATCH($B54,'de para abc'!$A:$A,0))),IFERROR(IF(INDEX('de para abc'!$C:$C,MATCH($C54,'de para abc'!$B:$B,0))=0,"C",INDEX('de para abc'!$C:$C,MATCH($C54,'de para abc'!$B:$B,0))),"C"))</f>
        <v>B</v>
      </c>
      <c r="F54" s="56">
        <v>0</v>
      </c>
    </row>
    <row r="55" spans="1:6" x14ac:dyDescent="0.25">
      <c r="A55" s="55" t="s">
        <v>301</v>
      </c>
      <c r="B55" s="41">
        <v>1001218</v>
      </c>
      <c r="C55" s="39" t="s">
        <v>423</v>
      </c>
      <c r="D55" s="40" t="s">
        <v>14</v>
      </c>
      <c r="E55" s="40" t="str">
        <f>IFERROR(IF(INDEX('de para abc'!$C:$C,MATCH($B55,'de para abc'!$A:$A,0))=0,"C",INDEX('de para abc'!$C:$C,MATCH($B55,'de para abc'!$A:$A,0))),IFERROR(IF(INDEX('de para abc'!$C:$C,MATCH($C55,'de para abc'!$B:$B,0))=0,"C",INDEX('de para abc'!$C:$C,MATCH($C55,'de para abc'!$B:$B,0))),"C"))</f>
        <v>C</v>
      </c>
      <c r="F55" s="56">
        <v>0</v>
      </c>
    </row>
    <row r="56" spans="1:6" x14ac:dyDescent="0.25">
      <c r="A56" s="55" t="s">
        <v>301</v>
      </c>
      <c r="B56" s="41">
        <v>1006952</v>
      </c>
      <c r="C56" s="39" t="s">
        <v>424</v>
      </c>
      <c r="D56" s="40" t="s">
        <v>18</v>
      </c>
      <c r="E56" s="40" t="str">
        <f>IFERROR(IF(INDEX('de para abc'!$C:$C,MATCH($B56,'de para abc'!$A:$A,0))=0,"C",INDEX('de para abc'!$C:$C,MATCH($B56,'de para abc'!$A:$A,0))),IFERROR(IF(INDEX('de para abc'!$C:$C,MATCH($C56,'de para abc'!$B:$B,0))=0,"C",INDEX('de para abc'!$C:$C,MATCH($C56,'de para abc'!$B:$B,0))),"C"))</f>
        <v>C</v>
      </c>
      <c r="F56" s="56">
        <v>0</v>
      </c>
    </row>
    <row r="57" spans="1:6" x14ac:dyDescent="0.25">
      <c r="A57" s="55" t="s">
        <v>301</v>
      </c>
      <c r="B57" s="41">
        <v>1006951</v>
      </c>
      <c r="C57" s="39" t="s">
        <v>425</v>
      </c>
      <c r="D57" s="40" t="s">
        <v>18</v>
      </c>
      <c r="E57" s="40" t="str">
        <f>IFERROR(IF(INDEX('de para abc'!$C:$C,MATCH($B57,'de para abc'!$A:$A,0))=0,"C",INDEX('de para abc'!$C:$C,MATCH($B57,'de para abc'!$A:$A,0))),IFERROR(IF(INDEX('de para abc'!$C:$C,MATCH($C57,'de para abc'!$B:$B,0))=0,"C",INDEX('de para abc'!$C:$C,MATCH($C57,'de para abc'!$B:$B,0))),"C"))</f>
        <v>C</v>
      </c>
      <c r="F57" s="56">
        <v>1</v>
      </c>
    </row>
    <row r="58" spans="1:6" x14ac:dyDescent="0.25">
      <c r="A58" s="55" t="s">
        <v>301</v>
      </c>
      <c r="B58" s="41">
        <v>1000174</v>
      </c>
      <c r="C58" s="39" t="s">
        <v>426</v>
      </c>
      <c r="D58" s="40" t="s">
        <v>10</v>
      </c>
      <c r="E58" s="40" t="str">
        <f>IFERROR(IF(INDEX('de para abc'!$C:$C,MATCH($B58,'de para abc'!$A:$A,0))=0,"C",INDEX('de para abc'!$C:$C,MATCH($B58,'de para abc'!$A:$A,0))),IFERROR(IF(INDEX('de para abc'!$C:$C,MATCH($C58,'de para abc'!$B:$B,0))=0,"C",INDEX('de para abc'!$C:$C,MATCH($C58,'de para abc'!$B:$B,0))),"C"))</f>
        <v>C</v>
      </c>
      <c r="F58" s="56">
        <v>0</v>
      </c>
    </row>
    <row r="59" spans="1:6" x14ac:dyDescent="0.25">
      <c r="A59" s="55" t="s">
        <v>301</v>
      </c>
      <c r="B59" s="41">
        <v>1006843</v>
      </c>
      <c r="C59" s="39" t="s">
        <v>427</v>
      </c>
      <c r="D59" s="40" t="s">
        <v>10</v>
      </c>
      <c r="E59" s="40" t="str">
        <f>IFERROR(IF(INDEX('de para abc'!$C:$C,MATCH($B59,'de para abc'!$A:$A,0))=0,"C",INDEX('de para abc'!$C:$C,MATCH($B59,'de para abc'!$A:$A,0))),IFERROR(IF(INDEX('de para abc'!$C:$C,MATCH($C59,'de para abc'!$B:$B,0))=0,"C",INDEX('de para abc'!$C:$C,MATCH($C59,'de para abc'!$B:$B,0))),"C"))</f>
        <v>C</v>
      </c>
      <c r="F59" s="56">
        <v>0</v>
      </c>
    </row>
    <row r="60" spans="1:6" x14ac:dyDescent="0.25">
      <c r="A60" s="55" t="s">
        <v>301</v>
      </c>
      <c r="B60" s="41">
        <v>1006844</v>
      </c>
      <c r="C60" s="39" t="s">
        <v>428</v>
      </c>
      <c r="D60" s="40" t="s">
        <v>10</v>
      </c>
      <c r="E60" s="40" t="str">
        <f>IFERROR(IF(INDEX('de para abc'!$C:$C,MATCH($B60,'de para abc'!$A:$A,0))=0,"C",INDEX('de para abc'!$C:$C,MATCH($B60,'de para abc'!$A:$A,0))),IFERROR(IF(INDEX('de para abc'!$C:$C,MATCH($C60,'de para abc'!$B:$B,0))=0,"C",INDEX('de para abc'!$C:$C,MATCH($C60,'de para abc'!$B:$B,0))),"C"))</f>
        <v>C</v>
      </c>
      <c r="F60" s="56">
        <v>0</v>
      </c>
    </row>
    <row r="61" spans="1:6" x14ac:dyDescent="0.25">
      <c r="A61" s="55" t="s">
        <v>301</v>
      </c>
      <c r="B61" s="41">
        <v>1006845</v>
      </c>
      <c r="C61" s="39" t="s">
        <v>429</v>
      </c>
      <c r="D61" s="40" t="s">
        <v>10</v>
      </c>
      <c r="E61" s="40" t="str">
        <f>IFERROR(IF(INDEX('de para abc'!$C:$C,MATCH($B61,'de para abc'!$A:$A,0))=0,"C",INDEX('de para abc'!$C:$C,MATCH($B61,'de para abc'!$A:$A,0))),IFERROR(IF(INDEX('de para abc'!$C:$C,MATCH($C61,'de para abc'!$B:$B,0))=0,"C",INDEX('de para abc'!$C:$C,MATCH($C61,'de para abc'!$B:$B,0))),"C"))</f>
        <v>C</v>
      </c>
      <c r="F61" s="56">
        <v>0</v>
      </c>
    </row>
    <row r="62" spans="1:6" x14ac:dyDescent="0.25">
      <c r="A62" s="55" t="s">
        <v>301</v>
      </c>
      <c r="B62" s="41">
        <v>1006846</v>
      </c>
      <c r="C62" s="39" t="s">
        <v>430</v>
      </c>
      <c r="D62" s="40" t="s">
        <v>10</v>
      </c>
      <c r="E62" s="40" t="str">
        <f>IFERROR(IF(INDEX('de para abc'!$C:$C,MATCH($B62,'de para abc'!$A:$A,0))=0,"C",INDEX('de para abc'!$C:$C,MATCH($B62,'de para abc'!$A:$A,0))),IFERROR(IF(INDEX('de para abc'!$C:$C,MATCH($C62,'de para abc'!$B:$B,0))=0,"C",INDEX('de para abc'!$C:$C,MATCH($C62,'de para abc'!$B:$B,0))),"C"))</f>
        <v>C</v>
      </c>
      <c r="F62" s="56">
        <v>0</v>
      </c>
    </row>
    <row r="63" spans="1:6" x14ac:dyDescent="0.25">
      <c r="A63" s="55" t="s">
        <v>301</v>
      </c>
      <c r="B63" s="41">
        <v>1000182</v>
      </c>
      <c r="C63" s="39" t="s">
        <v>431</v>
      </c>
      <c r="D63" s="40" t="s">
        <v>10</v>
      </c>
      <c r="E63" s="40" t="str">
        <f>IFERROR(IF(INDEX('de para abc'!$C:$C,MATCH($B63,'de para abc'!$A:$A,0))=0,"C",INDEX('de para abc'!$C:$C,MATCH($B63,'de para abc'!$A:$A,0))),IFERROR(IF(INDEX('de para abc'!$C:$C,MATCH($C63,'de para abc'!$B:$B,0))=0,"C",INDEX('de para abc'!$C:$C,MATCH($C63,'de para abc'!$B:$B,0))),"C"))</f>
        <v>C</v>
      </c>
      <c r="F63" s="56">
        <v>0</v>
      </c>
    </row>
    <row r="64" spans="1:6" x14ac:dyDescent="0.25">
      <c r="A64" s="55" t="s">
        <v>301</v>
      </c>
      <c r="B64" s="41">
        <v>1000183</v>
      </c>
      <c r="C64" s="39" t="s">
        <v>51</v>
      </c>
      <c r="D64" s="40" t="s">
        <v>14</v>
      </c>
      <c r="E64" s="40" t="str">
        <f>IFERROR(IF(INDEX('de para abc'!$C:$C,MATCH($B64,'de para abc'!$A:$A,0))=0,"C",INDEX('de para abc'!$C:$C,MATCH($B64,'de para abc'!$A:$A,0))),IFERROR(IF(INDEX('de para abc'!$C:$C,MATCH($C64,'de para abc'!$B:$B,0))=0,"C",INDEX('de para abc'!$C:$C,MATCH($C64,'de para abc'!$B:$B,0))),"C"))</f>
        <v>A</v>
      </c>
      <c r="F64" s="56">
        <v>0</v>
      </c>
    </row>
    <row r="65" spans="1:6" x14ac:dyDescent="0.25">
      <c r="A65" s="55" t="s">
        <v>301</v>
      </c>
      <c r="B65" s="41">
        <v>1000184</v>
      </c>
      <c r="C65" s="39" t="s">
        <v>28</v>
      </c>
      <c r="D65" s="40" t="s">
        <v>14</v>
      </c>
      <c r="E65" s="40" t="str">
        <f>IFERROR(IF(INDEX('de para abc'!$C:$C,MATCH($B65,'de para abc'!$A:$A,0))=0,"C",INDEX('de para abc'!$C:$C,MATCH($B65,'de para abc'!$A:$A,0))),IFERROR(IF(INDEX('de para abc'!$C:$C,MATCH($C65,'de para abc'!$B:$B,0))=0,"C",INDEX('de para abc'!$C:$C,MATCH($C65,'de para abc'!$B:$B,0))),"C"))</f>
        <v>A</v>
      </c>
      <c r="F65" s="56">
        <v>0</v>
      </c>
    </row>
    <row r="66" spans="1:6" x14ac:dyDescent="0.25">
      <c r="A66" s="55" t="s">
        <v>301</v>
      </c>
      <c r="B66" s="41">
        <v>1000185</v>
      </c>
      <c r="C66" s="39" t="s">
        <v>52</v>
      </c>
      <c r="D66" s="40" t="s">
        <v>14</v>
      </c>
      <c r="E66" s="40" t="str">
        <f>IFERROR(IF(INDEX('de para abc'!$C:$C,MATCH($B66,'de para abc'!$A:$A,0))=0,"C",INDEX('de para abc'!$C:$C,MATCH($B66,'de para abc'!$A:$A,0))),IFERROR(IF(INDEX('de para abc'!$C:$C,MATCH($C66,'de para abc'!$B:$B,0))=0,"C",INDEX('de para abc'!$C:$C,MATCH($C66,'de para abc'!$B:$B,0))),"C"))</f>
        <v>A</v>
      </c>
      <c r="F66" s="56">
        <v>2</v>
      </c>
    </row>
    <row r="67" spans="1:6" x14ac:dyDescent="0.25">
      <c r="A67" s="55" t="s">
        <v>301</v>
      </c>
      <c r="B67" s="41">
        <v>100879</v>
      </c>
      <c r="C67" s="39" t="s">
        <v>432</v>
      </c>
      <c r="D67" s="40" t="s">
        <v>18</v>
      </c>
      <c r="E67" s="40" t="str">
        <f>IFERROR(IF(INDEX('de para abc'!$C:$C,MATCH($B67,'de para abc'!$A:$A,0))=0,"C",INDEX('de para abc'!$C:$C,MATCH($B67,'de para abc'!$A:$A,0))),IFERROR(IF(INDEX('de para abc'!$C:$C,MATCH($C67,'de para abc'!$B:$B,0))=0,"C",INDEX('de para abc'!$C:$C,MATCH($C67,'de para abc'!$B:$B,0))),"C"))</f>
        <v>C</v>
      </c>
      <c r="F67" s="56">
        <v>0</v>
      </c>
    </row>
    <row r="68" spans="1:6" x14ac:dyDescent="0.25">
      <c r="A68" s="55" t="s">
        <v>301</v>
      </c>
      <c r="B68" s="41">
        <v>1000190</v>
      </c>
      <c r="C68" s="39" t="s">
        <v>433</v>
      </c>
      <c r="D68" s="40" t="s">
        <v>14</v>
      </c>
      <c r="E68" s="40" t="str">
        <f>IFERROR(IF(INDEX('de para abc'!$C:$C,MATCH($B68,'de para abc'!$A:$A,0))=0,"C",INDEX('de para abc'!$C:$C,MATCH($B68,'de para abc'!$A:$A,0))),IFERROR(IF(INDEX('de para abc'!$C:$C,MATCH($C68,'de para abc'!$B:$B,0))=0,"C",INDEX('de para abc'!$C:$C,MATCH($C68,'de para abc'!$B:$B,0))),"C"))</f>
        <v>C</v>
      </c>
      <c r="F68" s="56">
        <v>0</v>
      </c>
    </row>
    <row r="69" spans="1:6" x14ac:dyDescent="0.25">
      <c r="A69" s="55" t="s">
        <v>301</v>
      </c>
      <c r="B69" s="41">
        <v>1000195</v>
      </c>
      <c r="C69" s="39" t="s">
        <v>32</v>
      </c>
      <c r="D69" s="40" t="s">
        <v>10</v>
      </c>
      <c r="E69" s="40" t="str">
        <f>IFERROR(IF(INDEX('de para abc'!$C:$C,MATCH($B69,'de para abc'!$A:$A,0))=0,"C",INDEX('de para abc'!$C:$C,MATCH($B69,'de para abc'!$A:$A,0))),IFERROR(IF(INDEX('de para abc'!$C:$C,MATCH($C69,'de para abc'!$B:$B,0))=0,"C",INDEX('de para abc'!$C:$C,MATCH($C69,'de para abc'!$B:$B,0))),"C"))</f>
        <v>A</v>
      </c>
      <c r="F69" s="56">
        <v>0</v>
      </c>
    </row>
    <row r="70" spans="1:6" x14ac:dyDescent="0.25">
      <c r="A70" s="55" t="s">
        <v>301</v>
      </c>
      <c r="B70" s="41">
        <v>1006847</v>
      </c>
      <c r="C70" s="39" t="s">
        <v>434</v>
      </c>
      <c r="D70" s="40" t="s">
        <v>10</v>
      </c>
      <c r="E70" s="40" t="str">
        <f>IFERROR(IF(INDEX('de para abc'!$C:$C,MATCH($B70,'de para abc'!$A:$A,0))=0,"C",INDEX('de para abc'!$C:$C,MATCH($B70,'de para abc'!$A:$A,0))),IFERROR(IF(INDEX('de para abc'!$C:$C,MATCH($C70,'de para abc'!$B:$B,0))=0,"C",INDEX('de para abc'!$C:$C,MATCH($C70,'de para abc'!$B:$B,0))),"C"))</f>
        <v>C</v>
      </c>
      <c r="F70" s="56">
        <v>0</v>
      </c>
    </row>
    <row r="71" spans="1:6" x14ac:dyDescent="0.25">
      <c r="A71" s="55" t="s">
        <v>301</v>
      </c>
      <c r="B71" s="41">
        <v>1006848</v>
      </c>
      <c r="C71" s="39" t="s">
        <v>435</v>
      </c>
      <c r="D71" s="40" t="s">
        <v>10</v>
      </c>
      <c r="E71" s="40" t="str">
        <f>IFERROR(IF(INDEX('de para abc'!$C:$C,MATCH($B71,'de para abc'!$A:$A,0))=0,"C",INDEX('de para abc'!$C:$C,MATCH($B71,'de para abc'!$A:$A,0))),IFERROR(IF(INDEX('de para abc'!$C:$C,MATCH($C71,'de para abc'!$B:$B,0))=0,"C",INDEX('de para abc'!$C:$C,MATCH($C71,'de para abc'!$B:$B,0))),"C"))</f>
        <v>C</v>
      </c>
      <c r="F71" s="56">
        <v>0</v>
      </c>
    </row>
    <row r="72" spans="1:6" x14ac:dyDescent="0.25">
      <c r="A72" s="55" t="s">
        <v>301</v>
      </c>
      <c r="B72" s="41">
        <v>1006849</v>
      </c>
      <c r="C72" s="39" t="s">
        <v>436</v>
      </c>
      <c r="D72" s="40" t="s">
        <v>10</v>
      </c>
      <c r="E72" s="40" t="str">
        <f>IFERROR(IF(INDEX('de para abc'!$C:$C,MATCH($B72,'de para abc'!$A:$A,0))=0,"C",INDEX('de para abc'!$C:$C,MATCH($B72,'de para abc'!$A:$A,0))),IFERROR(IF(INDEX('de para abc'!$C:$C,MATCH($C72,'de para abc'!$B:$B,0))=0,"C",INDEX('de para abc'!$C:$C,MATCH($C72,'de para abc'!$B:$B,0))),"C"))</f>
        <v>C</v>
      </c>
      <c r="F72" s="56">
        <v>0</v>
      </c>
    </row>
    <row r="73" spans="1:6" x14ac:dyDescent="0.25">
      <c r="A73" s="55" t="s">
        <v>301</v>
      </c>
      <c r="B73" s="41">
        <v>1001787</v>
      </c>
      <c r="C73" s="39" t="s">
        <v>437</v>
      </c>
      <c r="D73" s="40" t="s">
        <v>14</v>
      </c>
      <c r="E73" s="40" t="str">
        <f>IFERROR(IF(INDEX('de para abc'!$C:$C,MATCH($B73,'de para abc'!$A:$A,0))=0,"C",INDEX('de para abc'!$C:$C,MATCH($B73,'de para abc'!$A:$A,0))),IFERROR(IF(INDEX('de para abc'!$C:$C,MATCH($C73,'de para abc'!$B:$B,0))=0,"C",INDEX('de para abc'!$C:$C,MATCH($C73,'de para abc'!$B:$B,0))),"C"))</f>
        <v>C</v>
      </c>
      <c r="F73" s="56">
        <v>0</v>
      </c>
    </row>
    <row r="74" spans="1:6" x14ac:dyDescent="0.25">
      <c r="A74" s="55" t="s">
        <v>301</v>
      </c>
      <c r="B74" s="41">
        <v>1002334</v>
      </c>
      <c r="C74" s="39" t="s">
        <v>438</v>
      </c>
      <c r="D74" s="40" t="s">
        <v>18</v>
      </c>
      <c r="E74" s="40" t="str">
        <f>IFERROR(IF(INDEX('de para abc'!$C:$C,MATCH($B74,'de para abc'!$A:$A,0))=0,"C",INDEX('de para abc'!$C:$C,MATCH($B74,'de para abc'!$A:$A,0))),IFERROR(IF(INDEX('de para abc'!$C:$C,MATCH($C74,'de para abc'!$B:$B,0))=0,"C",INDEX('de para abc'!$C:$C,MATCH($C74,'de para abc'!$B:$B,0))),"C"))</f>
        <v>C</v>
      </c>
      <c r="F74" s="56">
        <v>0</v>
      </c>
    </row>
    <row r="75" spans="1:6" x14ac:dyDescent="0.25">
      <c r="A75" s="55" t="s">
        <v>301</v>
      </c>
      <c r="B75" s="41">
        <v>1000196</v>
      </c>
      <c r="C75" s="39" t="s">
        <v>64</v>
      </c>
      <c r="D75" s="40" t="s">
        <v>14</v>
      </c>
      <c r="E75" s="40" t="str">
        <f>IFERROR(IF(INDEX('de para abc'!$C:$C,MATCH($B75,'de para abc'!$A:$A,0))=0,"C",INDEX('de para abc'!$C:$C,MATCH($B75,'de para abc'!$A:$A,0))),IFERROR(IF(INDEX('de para abc'!$C:$C,MATCH($C75,'de para abc'!$B:$B,0))=0,"C",INDEX('de para abc'!$C:$C,MATCH($C75,'de para abc'!$B:$B,0))),"C"))</f>
        <v>A</v>
      </c>
      <c r="F75" s="56">
        <v>0</v>
      </c>
    </row>
    <row r="76" spans="1:6" x14ac:dyDescent="0.25">
      <c r="A76" s="55" t="s">
        <v>301</v>
      </c>
      <c r="B76" s="41">
        <v>1000197</v>
      </c>
      <c r="C76" s="39" t="s">
        <v>53</v>
      </c>
      <c r="D76" s="40" t="s">
        <v>14</v>
      </c>
      <c r="E76" s="40" t="str">
        <f>IFERROR(IF(INDEX('de para abc'!$C:$C,MATCH($B76,'de para abc'!$A:$A,0))=0,"C",INDEX('de para abc'!$C:$C,MATCH($B76,'de para abc'!$A:$A,0))),IFERROR(IF(INDEX('de para abc'!$C:$C,MATCH($C76,'de para abc'!$B:$B,0))=0,"C",INDEX('de para abc'!$C:$C,MATCH($C76,'de para abc'!$B:$B,0))),"C"))</f>
        <v>A</v>
      </c>
      <c r="F76" s="56">
        <v>2</v>
      </c>
    </row>
    <row r="77" spans="1:6" x14ac:dyDescent="0.25">
      <c r="A77" s="55" t="s">
        <v>301</v>
      </c>
      <c r="B77" s="41">
        <v>1000198</v>
      </c>
      <c r="C77" s="39" t="s">
        <v>65</v>
      </c>
      <c r="D77" s="40" t="s">
        <v>14</v>
      </c>
      <c r="E77" s="40" t="str">
        <f>IFERROR(IF(INDEX('de para abc'!$C:$C,MATCH($B77,'de para abc'!$A:$A,0))=0,"C",INDEX('de para abc'!$C:$C,MATCH($B77,'de para abc'!$A:$A,0))),IFERROR(IF(INDEX('de para abc'!$C:$C,MATCH($C77,'de para abc'!$B:$B,0))=0,"C",INDEX('de para abc'!$C:$C,MATCH($C77,'de para abc'!$B:$B,0))),"C"))</f>
        <v>A</v>
      </c>
      <c r="F77" s="56">
        <v>1</v>
      </c>
    </row>
    <row r="78" spans="1:6" x14ac:dyDescent="0.25">
      <c r="A78" s="55" t="s">
        <v>301</v>
      </c>
      <c r="B78" s="41">
        <v>2000456</v>
      </c>
      <c r="C78" s="39" t="s">
        <v>440</v>
      </c>
      <c r="D78" s="40"/>
      <c r="E78" s="40" t="str">
        <f>IFERROR(IF(INDEX('de para abc'!$C:$C,MATCH($B78,'de para abc'!$A:$A,0))=0,"C",INDEX('de para abc'!$C:$C,MATCH($B78,'de para abc'!$A:$A,0))),IFERROR(IF(INDEX('de para abc'!$C:$C,MATCH($C78,'de para abc'!$B:$B,0))=0,"C",INDEX('de para abc'!$C:$C,MATCH($C78,'de para abc'!$B:$B,0))),"C"))</f>
        <v>C</v>
      </c>
      <c r="F78" s="56">
        <v>0</v>
      </c>
    </row>
    <row r="79" spans="1:6" x14ac:dyDescent="0.25">
      <c r="A79" s="55" t="s">
        <v>301</v>
      </c>
      <c r="B79" s="41">
        <v>1000207</v>
      </c>
      <c r="C79" s="39" t="s">
        <v>441</v>
      </c>
      <c r="D79" s="40" t="s">
        <v>10</v>
      </c>
      <c r="E79" s="40" t="str">
        <f>IFERROR(IF(INDEX('de para abc'!$C:$C,MATCH($B79,'de para abc'!$A:$A,0))=0,"C",INDEX('de para abc'!$C:$C,MATCH($B79,'de para abc'!$A:$A,0))),IFERROR(IF(INDEX('de para abc'!$C:$C,MATCH($C79,'de para abc'!$B:$B,0))=0,"C",INDEX('de para abc'!$C:$C,MATCH($C79,'de para abc'!$B:$B,0))),"C"))</f>
        <v>C</v>
      </c>
      <c r="F79" s="56">
        <v>0</v>
      </c>
    </row>
    <row r="80" spans="1:6" x14ac:dyDescent="0.25">
      <c r="A80" s="55" t="s">
        <v>301</v>
      </c>
      <c r="B80" s="41">
        <v>1000480</v>
      </c>
      <c r="C80" s="39" t="s">
        <v>520</v>
      </c>
      <c r="D80" s="40" t="s">
        <v>14</v>
      </c>
      <c r="E80" s="40" t="str">
        <f>IFERROR(IF(INDEX('de para abc'!$C:$C,MATCH($B80,'de para abc'!$A:$A,0))=0,"C",INDEX('de para abc'!$C:$C,MATCH($B80,'de para abc'!$A:$A,0))),IFERROR(IF(INDEX('de para abc'!$C:$C,MATCH($C80,'de para abc'!$B:$B,0))=0,"C",INDEX('de para abc'!$C:$C,MATCH($C80,'de para abc'!$B:$B,0))),"C"))</f>
        <v>C</v>
      </c>
      <c r="F80" s="56">
        <v>0</v>
      </c>
    </row>
    <row r="81" spans="1:6" x14ac:dyDescent="0.25">
      <c r="A81" s="55" t="s">
        <v>301</v>
      </c>
      <c r="B81" s="41">
        <v>1001854</v>
      </c>
      <c r="C81" s="39" t="s">
        <v>105</v>
      </c>
      <c r="D81" s="40" t="s">
        <v>10</v>
      </c>
      <c r="E81" s="40" t="str">
        <f>IFERROR(IF(INDEX('de para abc'!$C:$C,MATCH($B81,'de para abc'!$A:$A,0))=0,"C",INDEX('de para abc'!$C:$C,MATCH($B81,'de para abc'!$A:$A,0))),IFERROR(IF(INDEX('de para abc'!$C:$C,MATCH($C81,'de para abc'!$B:$B,0))=0,"C",INDEX('de para abc'!$C:$C,MATCH($C81,'de para abc'!$B:$B,0))),"C"))</f>
        <v>C</v>
      </c>
      <c r="F81" s="56">
        <v>0</v>
      </c>
    </row>
    <row r="82" spans="1:6" x14ac:dyDescent="0.25">
      <c r="A82" s="55" t="s">
        <v>301</v>
      </c>
      <c r="B82" s="41">
        <v>1000658</v>
      </c>
      <c r="C82" s="39" t="s">
        <v>443</v>
      </c>
      <c r="D82" s="40" t="s">
        <v>10</v>
      </c>
      <c r="E82" s="40" t="str">
        <f>IFERROR(IF(INDEX('de para abc'!$C:$C,MATCH($B82,'de para abc'!$A:$A,0))=0,"C",INDEX('de para abc'!$C:$C,MATCH($B82,'de para abc'!$A:$A,0))),IFERROR(IF(INDEX('de para abc'!$C:$C,MATCH($C82,'de para abc'!$B:$B,0))=0,"C",INDEX('de para abc'!$C:$C,MATCH($C82,'de para abc'!$B:$B,0))),"C"))</f>
        <v>C</v>
      </c>
      <c r="F82" s="56">
        <v>0</v>
      </c>
    </row>
    <row r="83" spans="1:6" x14ac:dyDescent="0.25">
      <c r="A83" s="55" t="s">
        <v>301</v>
      </c>
      <c r="B83" s="41">
        <v>1000240</v>
      </c>
      <c r="C83" s="39" t="s">
        <v>446</v>
      </c>
      <c r="D83" s="40" t="s">
        <v>10</v>
      </c>
      <c r="E83" s="40" t="str">
        <f>IFERROR(IF(INDEX('de para abc'!$C:$C,MATCH($B83,'de para abc'!$A:$A,0))=0,"C",INDEX('de para abc'!$C:$C,MATCH($B83,'de para abc'!$A:$A,0))),IFERROR(IF(INDEX('de para abc'!$C:$C,MATCH($C83,'de para abc'!$B:$B,0))=0,"C",INDEX('de para abc'!$C:$C,MATCH($C83,'de para abc'!$B:$B,0))),"C"))</f>
        <v>C</v>
      </c>
      <c r="F83" s="56">
        <v>0</v>
      </c>
    </row>
    <row r="84" spans="1:6" x14ac:dyDescent="0.25">
      <c r="A84" s="55" t="s">
        <v>301</v>
      </c>
      <c r="B84" s="41">
        <v>1001025</v>
      </c>
      <c r="C84" s="39" t="s">
        <v>447</v>
      </c>
      <c r="D84" s="40" t="s">
        <v>14</v>
      </c>
      <c r="E84" s="40" t="str">
        <f>IFERROR(IF(INDEX('de para abc'!$C:$C,MATCH($B84,'de para abc'!$A:$A,0))=0,"C",INDEX('de para abc'!$C:$C,MATCH($B84,'de para abc'!$A:$A,0))),IFERROR(IF(INDEX('de para abc'!$C:$C,MATCH($C84,'de para abc'!$B:$B,0))=0,"C",INDEX('de para abc'!$C:$C,MATCH($C84,'de para abc'!$B:$B,0))),"C"))</f>
        <v>C</v>
      </c>
      <c r="F84" s="56">
        <v>1</v>
      </c>
    </row>
    <row r="85" spans="1:6" x14ac:dyDescent="0.25">
      <c r="A85" s="55" t="s">
        <v>301</v>
      </c>
      <c r="B85" s="41">
        <v>1001447</v>
      </c>
      <c r="C85" s="39" t="s">
        <v>448</v>
      </c>
      <c r="D85" s="40" t="s">
        <v>10</v>
      </c>
      <c r="E85" s="40" t="str">
        <f>IFERROR(IF(INDEX('de para abc'!$C:$C,MATCH($B85,'de para abc'!$A:$A,0))=0,"C",INDEX('de para abc'!$C:$C,MATCH($B85,'de para abc'!$A:$A,0))),IFERROR(IF(INDEX('de para abc'!$C:$C,MATCH($C85,'de para abc'!$B:$B,0))=0,"C",INDEX('de para abc'!$C:$C,MATCH($C85,'de para abc'!$B:$B,0))),"C"))</f>
        <v>C</v>
      </c>
      <c r="F85" s="56">
        <v>1</v>
      </c>
    </row>
    <row r="86" spans="1:6" x14ac:dyDescent="0.25">
      <c r="A86" s="55" t="s">
        <v>301</v>
      </c>
      <c r="B86" s="41">
        <v>1001284</v>
      </c>
      <c r="C86" s="39" t="s">
        <v>449</v>
      </c>
      <c r="D86" s="40" t="s">
        <v>14</v>
      </c>
      <c r="E86" s="40" t="str">
        <f>IFERROR(IF(INDEX('de para abc'!$C:$C,MATCH($B86,'de para abc'!$A:$A,0))=0,"C",INDEX('de para abc'!$C:$C,MATCH($B86,'de para abc'!$A:$A,0))),IFERROR(IF(INDEX('de para abc'!$C:$C,MATCH($C86,'de para abc'!$B:$B,0))=0,"C",INDEX('de para abc'!$C:$C,MATCH($C86,'de para abc'!$B:$B,0))),"C"))</f>
        <v>C</v>
      </c>
      <c r="F86" s="56">
        <v>1</v>
      </c>
    </row>
    <row r="87" spans="1:6" x14ac:dyDescent="0.25">
      <c r="A87" s="55" t="s">
        <v>301</v>
      </c>
      <c r="B87" s="41"/>
      <c r="C87" s="39" t="s">
        <v>3447</v>
      </c>
      <c r="D87" s="40" t="s">
        <v>18</v>
      </c>
      <c r="E87" s="40" t="str">
        <f>IFERROR(IF(INDEX('de para abc'!$C:$C,MATCH($B87,'de para abc'!$A:$A,0))=0,"C",INDEX('de para abc'!$C:$C,MATCH($B87,'de para abc'!$A:$A,0))),IFERROR(IF(INDEX('de para abc'!$C:$C,MATCH($C87,'de para abc'!$B:$B,0))=0,"C",INDEX('de para abc'!$C:$C,MATCH($C87,'de para abc'!$B:$B,0))),"C"))</f>
        <v>C</v>
      </c>
      <c r="F87" s="56">
        <v>1</v>
      </c>
    </row>
    <row r="88" spans="1:6" x14ac:dyDescent="0.25">
      <c r="A88" s="55" t="s">
        <v>301</v>
      </c>
      <c r="B88" s="41">
        <v>1002254</v>
      </c>
      <c r="C88" s="39" t="s">
        <v>451</v>
      </c>
      <c r="D88" s="40" t="s">
        <v>18</v>
      </c>
      <c r="E88" s="40" t="str">
        <f>IFERROR(IF(INDEX('de para abc'!$C:$C,MATCH($B88,'de para abc'!$A:$A,0))=0,"C",INDEX('de para abc'!$C:$C,MATCH($B88,'de para abc'!$A:$A,0))),IFERROR(IF(INDEX('de para abc'!$C:$C,MATCH($C88,'de para abc'!$B:$B,0))=0,"C",INDEX('de para abc'!$C:$C,MATCH($C88,'de para abc'!$B:$B,0))),"C"))</f>
        <v>C</v>
      </c>
      <c r="F88" s="56">
        <v>0</v>
      </c>
    </row>
    <row r="89" spans="1:6" x14ac:dyDescent="0.25">
      <c r="A89" s="55" t="s">
        <v>301</v>
      </c>
      <c r="B89" s="41">
        <v>1000258</v>
      </c>
      <c r="C89" s="39" t="s">
        <v>35</v>
      </c>
      <c r="D89" s="40" t="s">
        <v>10</v>
      </c>
      <c r="E89" s="40" t="str">
        <f>IFERROR(IF(INDEX('de para abc'!$C:$C,MATCH($B89,'de para abc'!$A:$A,0))=0,"C",INDEX('de para abc'!$C:$C,MATCH($B89,'de para abc'!$A:$A,0))),IFERROR(IF(INDEX('de para abc'!$C:$C,MATCH($C89,'de para abc'!$B:$B,0))=0,"C",INDEX('de para abc'!$C:$C,MATCH($C89,'de para abc'!$B:$B,0))),"C"))</f>
        <v>A</v>
      </c>
      <c r="F89" s="56">
        <v>0</v>
      </c>
    </row>
    <row r="90" spans="1:6" x14ac:dyDescent="0.25">
      <c r="A90" s="55" t="s">
        <v>301</v>
      </c>
      <c r="B90" s="41">
        <v>1000256</v>
      </c>
      <c r="C90" s="39" t="s">
        <v>36</v>
      </c>
      <c r="D90" s="40" t="s">
        <v>14</v>
      </c>
      <c r="E90" s="40" t="str">
        <f>IFERROR(IF(INDEX('de para abc'!$C:$C,MATCH($B90,'de para abc'!$A:$A,0))=0,"C",INDEX('de para abc'!$C:$C,MATCH($B90,'de para abc'!$A:$A,0))),IFERROR(IF(INDEX('de para abc'!$C:$C,MATCH($C90,'de para abc'!$B:$B,0))=0,"C",INDEX('de para abc'!$C:$C,MATCH($C90,'de para abc'!$B:$B,0))),"C"))</f>
        <v>B</v>
      </c>
      <c r="F90" s="56">
        <v>1</v>
      </c>
    </row>
    <row r="91" spans="1:6" x14ac:dyDescent="0.25">
      <c r="A91" s="55" t="s">
        <v>301</v>
      </c>
      <c r="B91" s="41">
        <v>1008917</v>
      </c>
      <c r="C91" s="39" t="s">
        <v>452</v>
      </c>
      <c r="D91" s="40" t="s">
        <v>18</v>
      </c>
      <c r="E91" s="40" t="str">
        <f>IFERROR(IF(INDEX('de para abc'!$C:$C,MATCH($B91,'de para abc'!$A:$A,0))=0,"C",INDEX('de para abc'!$C:$C,MATCH($B91,'de para abc'!$A:$A,0))),IFERROR(IF(INDEX('de para abc'!$C:$C,MATCH($C91,'de para abc'!$B:$B,0))=0,"C",INDEX('de para abc'!$C:$C,MATCH($C91,'de para abc'!$B:$B,0))),"C"))</f>
        <v>C</v>
      </c>
      <c r="F91" s="56">
        <v>0</v>
      </c>
    </row>
    <row r="92" spans="1:6" x14ac:dyDescent="0.25">
      <c r="A92" s="55" t="s">
        <v>301</v>
      </c>
      <c r="B92" s="41">
        <v>1001295</v>
      </c>
      <c r="C92" s="39" t="s">
        <v>453</v>
      </c>
      <c r="D92" s="40" t="s">
        <v>14</v>
      </c>
      <c r="E92" s="40" t="str">
        <f>IFERROR(IF(INDEX('de para abc'!$C:$C,MATCH($B92,'de para abc'!$A:$A,0))=0,"C",INDEX('de para abc'!$C:$C,MATCH($B92,'de para abc'!$A:$A,0))),IFERROR(IF(INDEX('de para abc'!$C:$C,MATCH($C92,'de para abc'!$B:$B,0))=0,"C",INDEX('de para abc'!$C:$C,MATCH($C92,'de para abc'!$B:$B,0))),"C"))</f>
        <v>C</v>
      </c>
      <c r="F92" s="56">
        <v>0</v>
      </c>
    </row>
    <row r="93" spans="1:6" x14ac:dyDescent="0.25">
      <c r="A93" s="55" t="s">
        <v>301</v>
      </c>
      <c r="B93" s="41">
        <v>1001264</v>
      </c>
      <c r="C93" s="39" t="s">
        <v>37</v>
      </c>
      <c r="D93" s="40" t="s">
        <v>14</v>
      </c>
      <c r="E93" s="40" t="str">
        <f>IFERROR(IF(INDEX('de para abc'!$C:$C,MATCH($B93,'de para abc'!$A:$A,0))=0,"C",INDEX('de para abc'!$C:$C,MATCH($B93,'de para abc'!$A:$A,0))),IFERROR(IF(INDEX('de para abc'!$C:$C,MATCH($C93,'de para abc'!$B:$B,0))=0,"C",INDEX('de para abc'!$C:$C,MATCH($C93,'de para abc'!$B:$B,0))),"C"))</f>
        <v>A</v>
      </c>
      <c r="F93" s="56">
        <v>0</v>
      </c>
    </row>
    <row r="94" spans="1:6" x14ac:dyDescent="0.25">
      <c r="A94" s="55" t="s">
        <v>301</v>
      </c>
      <c r="B94" s="41">
        <v>1000284</v>
      </c>
      <c r="C94" s="39" t="s">
        <v>38</v>
      </c>
      <c r="D94" s="40" t="s">
        <v>14</v>
      </c>
      <c r="E94" s="40" t="str">
        <f>IFERROR(IF(INDEX('de para abc'!$C:$C,MATCH($B94,'de para abc'!$A:$A,0))=0,"C",INDEX('de para abc'!$C:$C,MATCH($B94,'de para abc'!$A:$A,0))),IFERROR(IF(INDEX('de para abc'!$C:$C,MATCH($C94,'de para abc'!$B:$B,0))=0,"C",INDEX('de para abc'!$C:$C,MATCH($C94,'de para abc'!$B:$B,0))),"C"))</f>
        <v>B</v>
      </c>
      <c r="F94" s="56">
        <v>0</v>
      </c>
    </row>
    <row r="95" spans="1:6" x14ac:dyDescent="0.25">
      <c r="A95" s="55" t="s">
        <v>301</v>
      </c>
      <c r="B95" s="41">
        <v>1008885</v>
      </c>
      <c r="C95" s="39" t="s">
        <v>1131</v>
      </c>
      <c r="D95" s="40" t="s">
        <v>157</v>
      </c>
      <c r="E95" s="40" t="str">
        <f>IFERROR(IF(INDEX('de para abc'!$C:$C,MATCH($B95,'de para abc'!$A:$A,0))=0,"C",INDEX('de para abc'!$C:$C,MATCH($B95,'de para abc'!$A:$A,0))),IFERROR(IF(INDEX('de para abc'!$C:$C,MATCH($C95,'de para abc'!$B:$B,0))=0,"C",INDEX('de para abc'!$C:$C,MATCH($C95,'de para abc'!$B:$B,0))),"C"))</f>
        <v>C</v>
      </c>
      <c r="F95" s="56">
        <v>0</v>
      </c>
    </row>
    <row r="96" spans="1:6" x14ac:dyDescent="0.25">
      <c r="A96" s="55" t="s">
        <v>301</v>
      </c>
      <c r="B96" s="41">
        <v>1002111</v>
      </c>
      <c r="C96" s="39" t="s">
        <v>462</v>
      </c>
      <c r="D96" s="40" t="s">
        <v>463</v>
      </c>
      <c r="E96" s="40" t="str">
        <f>IFERROR(IF(INDEX('de para abc'!$C:$C,MATCH($B96,'de para abc'!$A:$A,0))=0,"C",INDEX('de para abc'!$C:$C,MATCH($B96,'de para abc'!$A:$A,0))),IFERROR(IF(INDEX('de para abc'!$C:$C,MATCH($C96,'de para abc'!$B:$B,0))=0,"C",INDEX('de para abc'!$C:$C,MATCH($C96,'de para abc'!$B:$B,0))),"C"))</f>
        <v>C</v>
      </c>
      <c r="F96" s="56">
        <v>0</v>
      </c>
    </row>
    <row r="97" spans="1:6" x14ac:dyDescent="0.25">
      <c r="A97" s="55" t="s">
        <v>301</v>
      </c>
      <c r="B97" s="41">
        <v>1000319</v>
      </c>
      <c r="C97" s="39" t="s">
        <v>54</v>
      </c>
      <c r="D97" s="40" t="s">
        <v>14</v>
      </c>
      <c r="E97" s="40" t="str">
        <f>IFERROR(IF(INDEX('de para abc'!$C:$C,MATCH($B97,'de para abc'!$A:$A,0))=0,"C",INDEX('de para abc'!$C:$C,MATCH($B97,'de para abc'!$A:$A,0))),IFERROR(IF(INDEX('de para abc'!$C:$C,MATCH($C97,'de para abc'!$B:$B,0))=0,"C",INDEX('de para abc'!$C:$C,MATCH($C97,'de para abc'!$B:$B,0))),"C"))</f>
        <v>A</v>
      </c>
      <c r="F97" s="56">
        <v>0</v>
      </c>
    </row>
    <row r="98" spans="1:6" x14ac:dyDescent="0.25">
      <c r="A98" s="55" t="s">
        <v>301</v>
      </c>
      <c r="B98" s="41">
        <v>1001660</v>
      </c>
      <c r="C98" s="39" t="s">
        <v>41</v>
      </c>
      <c r="D98" s="40" t="s">
        <v>10</v>
      </c>
      <c r="E98" s="40" t="str">
        <f>IFERROR(IF(INDEX('de para abc'!$C:$C,MATCH($B98,'de para abc'!$A:$A,0))=0,"C",INDEX('de para abc'!$C:$C,MATCH($B98,'de para abc'!$A:$A,0))),IFERROR(IF(INDEX('de para abc'!$C:$C,MATCH($C98,'de para abc'!$B:$B,0))=0,"C",INDEX('de para abc'!$C:$C,MATCH($C98,'de para abc'!$B:$B,0))),"C"))</f>
        <v>B</v>
      </c>
      <c r="F98" s="56">
        <v>0</v>
      </c>
    </row>
    <row r="99" spans="1:6" x14ac:dyDescent="0.25">
      <c r="A99" s="55" t="s">
        <v>301</v>
      </c>
      <c r="B99" s="41">
        <v>1002058</v>
      </c>
      <c r="C99" s="39" t="s">
        <v>158</v>
      </c>
      <c r="D99" s="40" t="s">
        <v>18</v>
      </c>
      <c r="E99" s="40" t="str">
        <f>IFERROR(IF(INDEX('de para abc'!$C:$C,MATCH($B99,'de para abc'!$A:$A,0))=0,"C",INDEX('de para abc'!$C:$C,MATCH($B99,'de para abc'!$A:$A,0))),IFERROR(IF(INDEX('de para abc'!$C:$C,MATCH($C99,'de para abc'!$B:$B,0))=0,"C",INDEX('de para abc'!$C:$C,MATCH($C99,'de para abc'!$B:$B,0))),"C"))</f>
        <v>B</v>
      </c>
      <c r="F99" s="56">
        <v>0</v>
      </c>
    </row>
    <row r="100" spans="1:6" x14ac:dyDescent="0.25">
      <c r="A100" s="55" t="s">
        <v>301</v>
      </c>
      <c r="B100" s="41">
        <v>1006880</v>
      </c>
      <c r="C100" s="39" t="s">
        <v>468</v>
      </c>
      <c r="D100" s="40" t="s">
        <v>18</v>
      </c>
      <c r="E100" s="40" t="str">
        <f>IFERROR(IF(INDEX('de para abc'!$C:$C,MATCH($B100,'de para abc'!$A:$A,0))=0,"C",INDEX('de para abc'!$C:$C,MATCH($B100,'de para abc'!$A:$A,0))),IFERROR(IF(INDEX('de para abc'!$C:$C,MATCH($C100,'de para abc'!$B:$B,0))=0,"C",INDEX('de para abc'!$C:$C,MATCH($C100,'de para abc'!$B:$B,0))),"C"))</f>
        <v>C</v>
      </c>
      <c r="F100" s="56">
        <v>0</v>
      </c>
    </row>
    <row r="101" spans="1:6" x14ac:dyDescent="0.25">
      <c r="A101" s="55" t="s">
        <v>301</v>
      </c>
      <c r="B101" s="41">
        <v>1000340</v>
      </c>
      <c r="C101" s="39" t="s">
        <v>159</v>
      </c>
      <c r="D101" s="40" t="s">
        <v>18</v>
      </c>
      <c r="E101" s="40" t="str">
        <f>IFERROR(IF(INDEX('de para abc'!$C:$C,MATCH($B101,'de para abc'!$A:$A,0))=0,"C",INDEX('de para abc'!$C:$C,MATCH($B101,'de para abc'!$A:$A,0))),IFERROR(IF(INDEX('de para abc'!$C:$C,MATCH($C101,'de para abc'!$B:$B,0))=0,"C",INDEX('de para abc'!$C:$C,MATCH($C101,'de para abc'!$B:$B,0))),"C"))</f>
        <v>A</v>
      </c>
      <c r="F101" s="56">
        <v>26</v>
      </c>
    </row>
    <row r="102" spans="1:6" x14ac:dyDescent="0.25">
      <c r="A102" s="55" t="s">
        <v>301</v>
      </c>
      <c r="B102" s="41">
        <v>1000346</v>
      </c>
      <c r="C102" s="39" t="s">
        <v>470</v>
      </c>
      <c r="D102" s="40" t="s">
        <v>10</v>
      </c>
      <c r="E102" s="40" t="str">
        <f>IFERROR(IF(INDEX('de para abc'!$C:$C,MATCH($B102,'de para abc'!$A:$A,0))=0,"C",INDEX('de para abc'!$C:$C,MATCH($B102,'de para abc'!$A:$A,0))),IFERROR(IF(INDEX('de para abc'!$C:$C,MATCH($C102,'de para abc'!$B:$B,0))=0,"C",INDEX('de para abc'!$C:$C,MATCH($C102,'de para abc'!$B:$B,0))),"C"))</f>
        <v>C</v>
      </c>
      <c r="F102" s="56">
        <v>0</v>
      </c>
    </row>
    <row r="103" spans="1:6" x14ac:dyDescent="0.25">
      <c r="A103" s="55" t="s">
        <v>301</v>
      </c>
      <c r="B103" s="41">
        <v>1000348</v>
      </c>
      <c r="C103" s="39" t="s">
        <v>43</v>
      </c>
      <c r="D103" s="40" t="s">
        <v>10</v>
      </c>
      <c r="E103" s="40" t="str">
        <f>IFERROR(IF(INDEX('de para abc'!$C:$C,MATCH($B103,'de para abc'!$A:$A,0))=0,"C",INDEX('de para abc'!$C:$C,MATCH($B103,'de para abc'!$A:$A,0))),IFERROR(IF(INDEX('de para abc'!$C:$C,MATCH($C103,'de para abc'!$B:$B,0))=0,"C",INDEX('de para abc'!$C:$C,MATCH($C103,'de para abc'!$B:$B,0))),"C"))</f>
        <v>A</v>
      </c>
      <c r="F103" s="56">
        <v>0</v>
      </c>
    </row>
    <row r="104" spans="1:6" x14ac:dyDescent="0.25">
      <c r="A104" s="55" t="s">
        <v>301</v>
      </c>
      <c r="B104" s="41">
        <v>900058</v>
      </c>
      <c r="C104" s="39" t="s">
        <v>475</v>
      </c>
      <c r="D104" s="40" t="s">
        <v>10</v>
      </c>
      <c r="E104" s="40" t="str">
        <f>IFERROR(IF(INDEX('de para abc'!$C:$C,MATCH($B104,'de para abc'!$A:$A,0))=0,"C",INDEX('de para abc'!$C:$C,MATCH($B104,'de para abc'!$A:$A,0))),IFERROR(IF(INDEX('de para abc'!$C:$C,MATCH($C104,'de para abc'!$B:$B,0))=0,"C",INDEX('de para abc'!$C:$C,MATCH($C104,'de para abc'!$B:$B,0))),"C"))</f>
        <v>C</v>
      </c>
      <c r="F104" s="56">
        <v>1</v>
      </c>
    </row>
    <row r="105" spans="1:6" x14ac:dyDescent="0.25">
      <c r="A105" s="55" t="s">
        <v>301</v>
      </c>
      <c r="B105" s="41">
        <v>1000910</v>
      </c>
      <c r="C105" s="39" t="s">
        <v>476</v>
      </c>
      <c r="D105" s="40" t="s">
        <v>10</v>
      </c>
      <c r="E105" s="40" t="str">
        <f>IFERROR(IF(INDEX('de para abc'!$C:$C,MATCH($B105,'de para abc'!$A:$A,0))=0,"C",INDEX('de para abc'!$C:$C,MATCH($B105,'de para abc'!$A:$A,0))),IFERROR(IF(INDEX('de para abc'!$C:$C,MATCH($C105,'de para abc'!$B:$B,0))=0,"C",INDEX('de para abc'!$C:$C,MATCH($C105,'de para abc'!$B:$B,0))),"C"))</f>
        <v>C</v>
      </c>
      <c r="F105" s="56">
        <v>0</v>
      </c>
    </row>
    <row r="106" spans="1:6" x14ac:dyDescent="0.25">
      <c r="A106" s="55" t="s">
        <v>301</v>
      </c>
      <c r="B106" s="41">
        <v>1006903</v>
      </c>
      <c r="C106" s="39" t="s">
        <v>477</v>
      </c>
      <c r="D106" s="40" t="s">
        <v>10</v>
      </c>
      <c r="E106" s="40" t="str">
        <f>IFERROR(IF(INDEX('de para abc'!$C:$C,MATCH($B106,'de para abc'!$A:$A,0))=0,"C",INDEX('de para abc'!$C:$C,MATCH($B106,'de para abc'!$A:$A,0))),IFERROR(IF(INDEX('de para abc'!$C:$C,MATCH($C106,'de para abc'!$B:$B,0))=0,"C",INDEX('de para abc'!$C:$C,MATCH($C106,'de para abc'!$B:$B,0))),"C"))</f>
        <v>C</v>
      </c>
      <c r="F106" s="56">
        <v>1</v>
      </c>
    </row>
    <row r="107" spans="1:6" x14ac:dyDescent="0.25">
      <c r="A107" s="55" t="s">
        <v>301</v>
      </c>
      <c r="B107" s="41">
        <v>1000879</v>
      </c>
      <c r="C107" s="39" t="s">
        <v>528</v>
      </c>
      <c r="D107" s="40" t="s">
        <v>71</v>
      </c>
      <c r="E107" s="40" t="str">
        <f>IFERROR(IF(INDEX('de para abc'!$C:$C,MATCH($B107,'de para abc'!$A:$A,0))=0,"C",INDEX('de para abc'!$C:$C,MATCH($B107,'de para abc'!$A:$A,0))),IFERROR(IF(INDEX('de para abc'!$C:$C,MATCH($C107,'de para abc'!$B:$B,0))=0,"C",INDEX('de para abc'!$C:$C,MATCH($C107,'de para abc'!$B:$B,0))),"C"))</f>
        <v>C</v>
      </c>
      <c r="F107" s="56">
        <v>0</v>
      </c>
    </row>
    <row r="108" spans="1:6" x14ac:dyDescent="0.25">
      <c r="A108" s="55" t="s">
        <v>301</v>
      </c>
      <c r="B108" s="41">
        <v>1001762</v>
      </c>
      <c r="C108" s="39" t="s">
        <v>480</v>
      </c>
      <c r="D108" s="40" t="s">
        <v>71</v>
      </c>
      <c r="E108" s="40" t="str">
        <f>IFERROR(IF(INDEX('de para abc'!$C:$C,MATCH($B108,'de para abc'!$A:$A,0))=0,"C",INDEX('de para abc'!$C:$C,MATCH($B108,'de para abc'!$A:$A,0))),IFERROR(IF(INDEX('de para abc'!$C:$C,MATCH($C108,'de para abc'!$B:$B,0))=0,"C",INDEX('de para abc'!$C:$C,MATCH($C108,'de para abc'!$B:$B,0))),"C"))</f>
        <v>C</v>
      </c>
      <c r="F108" s="56">
        <v>0</v>
      </c>
    </row>
    <row r="109" spans="1:6" x14ac:dyDescent="0.25">
      <c r="A109" s="55" t="s">
        <v>301</v>
      </c>
      <c r="B109" s="41">
        <v>1000395</v>
      </c>
      <c r="C109" s="39" t="s">
        <v>2533</v>
      </c>
      <c r="D109" s="40" t="s">
        <v>10</v>
      </c>
      <c r="E109" s="40" t="str">
        <f>IFERROR(IF(INDEX('de para abc'!$C:$C,MATCH($B109,'de para abc'!$A:$A,0))=0,"C",INDEX('de para abc'!$C:$C,MATCH($B109,'de para abc'!$A:$A,0))),IFERROR(IF(INDEX('de para abc'!$C:$C,MATCH($C109,'de para abc'!$B:$B,0))=0,"C",INDEX('de para abc'!$C:$C,MATCH($C109,'de para abc'!$B:$B,0))),"C"))</f>
        <v>C</v>
      </c>
      <c r="F109" s="56">
        <v>1</v>
      </c>
    </row>
    <row r="110" spans="1:6" x14ac:dyDescent="0.25">
      <c r="A110" s="55" t="s">
        <v>301</v>
      </c>
      <c r="B110" s="41">
        <v>1001450</v>
      </c>
      <c r="C110" s="39" t="s">
        <v>481</v>
      </c>
      <c r="D110" s="40" t="s">
        <v>10</v>
      </c>
      <c r="E110" s="40" t="str">
        <f>IFERROR(IF(INDEX('de para abc'!$C:$C,MATCH($B110,'de para abc'!$A:$A,0))=0,"C",INDEX('de para abc'!$C:$C,MATCH($B110,'de para abc'!$A:$A,0))),IFERROR(IF(INDEX('de para abc'!$C:$C,MATCH($C110,'de para abc'!$B:$B,0))=0,"C",INDEX('de para abc'!$C:$C,MATCH($C110,'de para abc'!$B:$B,0))),"C"))</f>
        <v>C</v>
      </c>
      <c r="F110" s="56">
        <v>1</v>
      </c>
    </row>
    <row r="111" spans="1:6" x14ac:dyDescent="0.25">
      <c r="A111" s="55" t="s">
        <v>301</v>
      </c>
      <c r="B111" s="41">
        <v>1000411</v>
      </c>
      <c r="C111" s="39" t="s">
        <v>482</v>
      </c>
      <c r="D111" s="40" t="s">
        <v>14</v>
      </c>
      <c r="E111" s="40" t="str">
        <f>IFERROR(IF(INDEX('de para abc'!$C:$C,MATCH($B111,'de para abc'!$A:$A,0))=0,"C",INDEX('de para abc'!$C:$C,MATCH($B111,'de para abc'!$A:$A,0))),IFERROR(IF(INDEX('de para abc'!$C:$C,MATCH($C111,'de para abc'!$B:$B,0))=0,"C",INDEX('de para abc'!$C:$C,MATCH($C111,'de para abc'!$B:$B,0))),"C"))</f>
        <v>C</v>
      </c>
      <c r="F111" s="56">
        <v>0</v>
      </c>
    </row>
    <row r="112" spans="1:6" x14ac:dyDescent="0.25">
      <c r="A112" s="55" t="s">
        <v>301</v>
      </c>
      <c r="B112" s="41">
        <v>1000797</v>
      </c>
      <c r="C112" s="39" t="s">
        <v>483</v>
      </c>
      <c r="D112" s="40" t="s">
        <v>10</v>
      </c>
      <c r="E112" s="40" t="str">
        <f>IFERROR(IF(INDEX('de para abc'!$C:$C,MATCH($B112,'de para abc'!$A:$A,0))=0,"C",INDEX('de para abc'!$C:$C,MATCH($B112,'de para abc'!$A:$A,0))),IFERROR(IF(INDEX('de para abc'!$C:$C,MATCH($C112,'de para abc'!$B:$B,0))=0,"C",INDEX('de para abc'!$C:$C,MATCH($C112,'de para abc'!$B:$B,0))),"C"))</f>
        <v>C</v>
      </c>
      <c r="F112" s="56">
        <v>0</v>
      </c>
    </row>
    <row r="113" spans="1:6" x14ac:dyDescent="0.25">
      <c r="A113" s="55" t="s">
        <v>301</v>
      </c>
      <c r="B113" s="41">
        <v>1006876</v>
      </c>
      <c r="C113" s="39" t="s">
        <v>2543</v>
      </c>
      <c r="D113" s="40" t="s">
        <v>10</v>
      </c>
      <c r="E113" s="40" t="str">
        <f>IFERROR(IF(INDEX('de para abc'!$C:$C,MATCH($B113,'de para abc'!$A:$A,0))=0,"C",INDEX('de para abc'!$C:$C,MATCH($B113,'de para abc'!$A:$A,0))),IFERROR(IF(INDEX('de para abc'!$C:$C,MATCH($C113,'de para abc'!$B:$B,0))=0,"C",INDEX('de para abc'!$C:$C,MATCH($C113,'de para abc'!$B:$B,0))),"C"))</f>
        <v>C</v>
      </c>
      <c r="F113" s="56">
        <v>0</v>
      </c>
    </row>
    <row r="114" spans="1:6" x14ac:dyDescent="0.25">
      <c r="A114" s="55" t="s">
        <v>301</v>
      </c>
      <c r="B114" s="41">
        <v>1000999</v>
      </c>
      <c r="C114" s="39" t="s">
        <v>474</v>
      </c>
      <c r="D114" s="40" t="s">
        <v>10</v>
      </c>
      <c r="E114" s="40" t="str">
        <f>IFERROR(IF(INDEX('de para abc'!$C:$C,MATCH($B114,'de para abc'!$A:$A,0))=0,"C",INDEX('de para abc'!$C:$C,MATCH($B114,'de para abc'!$A:$A,0))),IFERROR(IF(INDEX('de para abc'!$C:$C,MATCH($C114,'de para abc'!$B:$B,0))=0,"C",INDEX('de para abc'!$C:$C,MATCH($C114,'de para abc'!$B:$B,0))),"C"))</f>
        <v>C</v>
      </c>
      <c r="F114" s="56">
        <v>2</v>
      </c>
    </row>
    <row r="115" spans="1:6" x14ac:dyDescent="0.25">
      <c r="A115" s="55" t="s">
        <v>301</v>
      </c>
      <c r="B115" s="41">
        <v>1000446</v>
      </c>
      <c r="C115" s="39" t="s">
        <v>1762</v>
      </c>
      <c r="D115" s="40" t="s">
        <v>14</v>
      </c>
      <c r="E115" s="40" t="str">
        <f>IFERROR(IF(INDEX('de para abc'!$C:$C,MATCH($B115,'de para abc'!$A:$A,0))=0,"C",INDEX('de para abc'!$C:$C,MATCH($B115,'de para abc'!$A:$A,0))),IFERROR(IF(INDEX('de para abc'!$C:$C,MATCH($C115,'de para abc'!$B:$B,0))=0,"C",INDEX('de para abc'!$C:$C,MATCH($C115,'de para abc'!$B:$B,0))),"C"))</f>
        <v>C</v>
      </c>
      <c r="F115" s="56">
        <v>0</v>
      </c>
    </row>
    <row r="116" spans="1:6" x14ac:dyDescent="0.25">
      <c r="A116" s="55" t="s">
        <v>301</v>
      </c>
      <c r="B116" s="41">
        <v>1000455</v>
      </c>
      <c r="C116" s="39" t="s">
        <v>493</v>
      </c>
      <c r="D116" s="40" t="s">
        <v>14</v>
      </c>
      <c r="E116" s="40" t="str">
        <f>IFERROR(IF(INDEX('de para abc'!$C:$C,MATCH($B116,'de para abc'!$A:$A,0))=0,"C",INDEX('de para abc'!$C:$C,MATCH($B116,'de para abc'!$A:$A,0))),IFERROR(IF(INDEX('de para abc'!$C:$C,MATCH($C116,'de para abc'!$B:$B,0))=0,"C",INDEX('de para abc'!$C:$C,MATCH($C116,'de para abc'!$B:$B,0))),"C"))</f>
        <v>C</v>
      </c>
      <c r="F116" s="56">
        <v>0</v>
      </c>
    </row>
    <row r="117" spans="1:6" x14ac:dyDescent="0.25">
      <c r="A117" s="55" t="s">
        <v>301</v>
      </c>
      <c r="B117" s="41">
        <v>1001246</v>
      </c>
      <c r="C117" s="39" t="s">
        <v>494</v>
      </c>
      <c r="D117" s="40" t="s">
        <v>14</v>
      </c>
      <c r="E117" s="40" t="str">
        <f>IFERROR(IF(INDEX('de para abc'!$C:$C,MATCH($B117,'de para abc'!$A:$A,0))=0,"C",INDEX('de para abc'!$C:$C,MATCH($B117,'de para abc'!$A:$A,0))),IFERROR(IF(INDEX('de para abc'!$C:$C,MATCH($C117,'de para abc'!$B:$B,0))=0,"C",INDEX('de para abc'!$C:$C,MATCH($C117,'de para abc'!$B:$B,0))),"C"))</f>
        <v>C</v>
      </c>
      <c r="F117" s="56">
        <v>0</v>
      </c>
    </row>
    <row r="118" spans="1:6" x14ac:dyDescent="0.25">
      <c r="A118" s="55" t="s">
        <v>301</v>
      </c>
      <c r="B118" s="41">
        <v>1001266</v>
      </c>
      <c r="C118" s="39" t="s">
        <v>495</v>
      </c>
      <c r="D118" s="40" t="s">
        <v>14</v>
      </c>
      <c r="E118" s="40" t="str">
        <f>IFERROR(IF(INDEX('de para abc'!$C:$C,MATCH($B118,'de para abc'!$A:$A,0))=0,"C",INDEX('de para abc'!$C:$C,MATCH($B118,'de para abc'!$A:$A,0))),IFERROR(IF(INDEX('de para abc'!$C:$C,MATCH($C118,'de para abc'!$B:$B,0))=0,"C",INDEX('de para abc'!$C:$C,MATCH($C118,'de para abc'!$B:$B,0))),"C"))</f>
        <v>C</v>
      </c>
      <c r="F118" s="56">
        <v>0</v>
      </c>
    </row>
    <row r="119" spans="1:6" x14ac:dyDescent="0.25">
      <c r="A119" s="55" t="s">
        <v>301</v>
      </c>
      <c r="B119" s="41">
        <v>1000754</v>
      </c>
      <c r="C119" s="39" t="s">
        <v>1773</v>
      </c>
      <c r="D119" s="40" t="s">
        <v>14</v>
      </c>
      <c r="E119" s="40" t="str">
        <f>IFERROR(IF(INDEX('de para abc'!$C:$C,MATCH($B119,'de para abc'!$A:$A,0))=0,"C",INDEX('de para abc'!$C:$C,MATCH($B119,'de para abc'!$A:$A,0))),IFERROR(IF(INDEX('de para abc'!$C:$C,MATCH($C119,'de para abc'!$B:$B,0))=0,"C",INDEX('de para abc'!$C:$C,MATCH($C119,'de para abc'!$B:$B,0))),"C"))</f>
        <v>C</v>
      </c>
      <c r="F119" s="56">
        <v>0</v>
      </c>
    </row>
    <row r="120" spans="1:6" x14ac:dyDescent="0.25">
      <c r="A120" s="55" t="s">
        <v>301</v>
      </c>
      <c r="B120" s="41">
        <v>1000470</v>
      </c>
      <c r="C120" s="39" t="s">
        <v>67</v>
      </c>
      <c r="D120" s="40" t="s">
        <v>10</v>
      </c>
      <c r="E120" s="40" t="str">
        <f>IFERROR(IF(INDEX('de para abc'!$C:$C,MATCH($B120,'de para abc'!$A:$A,0))=0,"C",INDEX('de para abc'!$C:$C,MATCH($B120,'de para abc'!$A:$A,0))),IFERROR(IF(INDEX('de para abc'!$C:$C,MATCH($C120,'de para abc'!$B:$B,0))=0,"C",INDEX('de para abc'!$C:$C,MATCH($C120,'de para abc'!$B:$B,0))),"C"))</f>
        <v>B</v>
      </c>
      <c r="F120" s="56">
        <v>0</v>
      </c>
    </row>
    <row r="121" spans="1:6" x14ac:dyDescent="0.25">
      <c r="A121" s="55" t="s">
        <v>301</v>
      </c>
      <c r="B121" s="41">
        <v>10001066</v>
      </c>
      <c r="C121" s="39" t="s">
        <v>497</v>
      </c>
      <c r="D121" s="40" t="s">
        <v>10</v>
      </c>
      <c r="E121" s="40" t="str">
        <f>IFERROR(IF(INDEX('de para abc'!$C:$C,MATCH($B121,'de para abc'!$A:$A,0))=0,"C",INDEX('de para abc'!$C:$C,MATCH($B121,'de para abc'!$A:$A,0))),IFERROR(IF(INDEX('de para abc'!$C:$C,MATCH($C121,'de para abc'!$B:$B,0))=0,"C",INDEX('de para abc'!$C:$C,MATCH($C121,'de para abc'!$B:$B,0))),"C"))</f>
        <v>C</v>
      </c>
      <c r="F121" s="56">
        <v>0</v>
      </c>
    </row>
    <row r="122" spans="1:6" x14ac:dyDescent="0.25">
      <c r="A122" s="55" t="s">
        <v>301</v>
      </c>
      <c r="B122" s="41">
        <v>1000473</v>
      </c>
      <c r="C122" s="39" t="s">
        <v>498</v>
      </c>
      <c r="D122" s="40" t="s">
        <v>14</v>
      </c>
      <c r="E122" s="40" t="str">
        <f>IFERROR(IF(INDEX('de para abc'!$C:$C,MATCH($B122,'de para abc'!$A:$A,0))=0,"C",INDEX('de para abc'!$C:$C,MATCH($B122,'de para abc'!$A:$A,0))),IFERROR(IF(INDEX('de para abc'!$C:$C,MATCH($C122,'de para abc'!$B:$B,0))=0,"C",INDEX('de para abc'!$C:$C,MATCH($C122,'de para abc'!$B:$B,0))),"C"))</f>
        <v>C</v>
      </c>
      <c r="F122" s="56">
        <v>0</v>
      </c>
    </row>
    <row r="123" spans="1:6" x14ac:dyDescent="0.25">
      <c r="A123" s="55" t="s">
        <v>301</v>
      </c>
      <c r="B123" s="41">
        <v>1001480</v>
      </c>
      <c r="C123" s="39" t="s">
        <v>499</v>
      </c>
      <c r="D123" s="40" t="s">
        <v>18</v>
      </c>
      <c r="E123" s="40" t="str">
        <f>IFERROR(IF(INDEX('de para abc'!$C:$C,MATCH($B123,'de para abc'!$A:$A,0))=0,"C",INDEX('de para abc'!$C:$C,MATCH($B123,'de para abc'!$A:$A,0))),IFERROR(IF(INDEX('de para abc'!$C:$C,MATCH($C123,'de para abc'!$B:$B,0))=0,"C",INDEX('de para abc'!$C:$C,MATCH($C123,'de para abc'!$B:$B,0))),"C"))</f>
        <v>C</v>
      </c>
      <c r="F123" s="56">
        <v>0</v>
      </c>
    </row>
    <row r="124" spans="1:6" x14ac:dyDescent="0.25">
      <c r="A124" s="55" t="s">
        <v>301</v>
      </c>
      <c r="B124" s="41">
        <v>1006886</v>
      </c>
      <c r="C124" s="39" t="s">
        <v>500</v>
      </c>
      <c r="D124" s="40" t="s">
        <v>18</v>
      </c>
      <c r="E124" s="40" t="str">
        <f>IFERROR(IF(INDEX('de para abc'!$C:$C,MATCH($B124,'de para abc'!$A:$A,0))=0,"C",INDEX('de para abc'!$C:$C,MATCH($B124,'de para abc'!$A:$A,0))),IFERROR(IF(INDEX('de para abc'!$C:$C,MATCH($C124,'de para abc'!$B:$B,0))=0,"C",INDEX('de para abc'!$C:$C,MATCH($C124,'de para abc'!$B:$B,0))),"C"))</f>
        <v>C</v>
      </c>
      <c r="F124" s="56">
        <v>0</v>
      </c>
    </row>
    <row r="125" spans="1:6" x14ac:dyDescent="0.25">
      <c r="A125" s="55" t="s">
        <v>69</v>
      </c>
      <c r="B125" s="41">
        <v>1001521</v>
      </c>
      <c r="C125" s="39" t="s">
        <v>573</v>
      </c>
      <c r="D125" s="40" t="s">
        <v>233</v>
      </c>
      <c r="E125" s="40" t="str">
        <f>IFERROR(IF(INDEX('de para abc'!$C:$C,MATCH($B125,'de para abc'!$A:$A,0))=0,"C",INDEX('de para abc'!$C:$C,MATCH($B125,'de para abc'!$A:$A,0))),IFERROR(IF(INDEX('de para abc'!$C:$C,MATCH($C125,'de para abc'!$B:$B,0))=0,"C",INDEX('de para abc'!$C:$C,MATCH($C125,'de para abc'!$B:$B,0))),"C"))</f>
        <v>C</v>
      </c>
      <c r="F125" s="56">
        <v>0</v>
      </c>
    </row>
    <row r="126" spans="1:6" x14ac:dyDescent="0.25">
      <c r="A126" s="55" t="s">
        <v>69</v>
      </c>
      <c r="B126" s="41">
        <v>1001524</v>
      </c>
      <c r="C126" s="39" t="s">
        <v>579</v>
      </c>
      <c r="D126" s="40" t="s">
        <v>233</v>
      </c>
      <c r="E126" s="40" t="str">
        <f>IFERROR(IF(INDEX('de para abc'!$C:$C,MATCH($B126,'de para abc'!$A:$A,0))=0,"C",INDEX('de para abc'!$C:$C,MATCH($B126,'de para abc'!$A:$A,0))),IFERROR(IF(INDEX('de para abc'!$C:$C,MATCH($C126,'de para abc'!$B:$B,0))=0,"C",INDEX('de para abc'!$C:$C,MATCH($C126,'de para abc'!$B:$B,0))),"C"))</f>
        <v>C</v>
      </c>
      <c r="F126" s="56">
        <v>0</v>
      </c>
    </row>
    <row r="127" spans="1:6" x14ac:dyDescent="0.25">
      <c r="A127" s="55" t="s">
        <v>69</v>
      </c>
      <c r="B127" s="41">
        <v>1001526</v>
      </c>
      <c r="C127" s="39" t="s">
        <v>583</v>
      </c>
      <c r="D127" s="40" t="s">
        <v>233</v>
      </c>
      <c r="E127" s="40" t="str">
        <f>IFERROR(IF(INDEX('de para abc'!$C:$C,MATCH($B127,'de para abc'!$A:$A,0))=0,"C",INDEX('de para abc'!$C:$C,MATCH($B127,'de para abc'!$A:$A,0))),IFERROR(IF(INDEX('de para abc'!$C:$C,MATCH($C127,'de para abc'!$B:$B,0))=0,"C",INDEX('de para abc'!$C:$C,MATCH($C127,'de para abc'!$B:$B,0))),"C"))</f>
        <v>C</v>
      </c>
      <c r="F127" s="56">
        <v>0</v>
      </c>
    </row>
    <row r="128" spans="1:6" x14ac:dyDescent="0.25">
      <c r="A128" s="55" t="s">
        <v>69</v>
      </c>
      <c r="B128" s="41">
        <v>1000069</v>
      </c>
      <c r="C128" s="39" t="s">
        <v>74</v>
      </c>
      <c r="D128" s="40" t="s">
        <v>71</v>
      </c>
      <c r="E128" s="40" t="str">
        <f>IFERROR(IF(INDEX('de para abc'!$C:$C,MATCH($B128,'de para abc'!$A:$A,0))=0,"C",INDEX('de para abc'!$C:$C,MATCH($B128,'de para abc'!$A:$A,0))),IFERROR(IF(INDEX('de para abc'!$C:$C,MATCH($C128,'de para abc'!$B:$B,0))=0,"C",INDEX('de para abc'!$C:$C,MATCH($C128,'de para abc'!$B:$B,0))),"C"))</f>
        <v>C</v>
      </c>
      <c r="F128" s="56">
        <v>1</v>
      </c>
    </row>
    <row r="129" spans="1:6" x14ac:dyDescent="0.25">
      <c r="A129" s="55" t="s">
        <v>69</v>
      </c>
      <c r="B129" s="41">
        <v>1000072</v>
      </c>
      <c r="C129" s="39" t="s">
        <v>171</v>
      </c>
      <c r="D129" s="40" t="s">
        <v>71</v>
      </c>
      <c r="E129" s="40" t="str">
        <f>IFERROR(IF(INDEX('de para abc'!$C:$C,MATCH($B129,'de para abc'!$A:$A,0))=0,"C",INDEX('de para abc'!$C:$C,MATCH($B129,'de para abc'!$A:$A,0))),IFERROR(IF(INDEX('de para abc'!$C:$C,MATCH($C129,'de para abc'!$B:$B,0))=0,"C",INDEX('de para abc'!$C:$C,MATCH($C129,'de para abc'!$B:$B,0))),"C"))</f>
        <v>C</v>
      </c>
      <c r="F129" s="56">
        <v>0</v>
      </c>
    </row>
    <row r="130" spans="1:6" x14ac:dyDescent="0.25">
      <c r="A130" s="55" t="s">
        <v>69</v>
      </c>
      <c r="B130" s="41">
        <v>1000074</v>
      </c>
      <c r="C130" s="39" t="s">
        <v>173</v>
      </c>
      <c r="D130" s="40" t="s">
        <v>71</v>
      </c>
      <c r="E130" s="40" t="str">
        <f>IFERROR(IF(INDEX('de para abc'!$C:$C,MATCH($B130,'de para abc'!$A:$A,0))=0,"C",INDEX('de para abc'!$C:$C,MATCH($B130,'de para abc'!$A:$A,0))),IFERROR(IF(INDEX('de para abc'!$C:$C,MATCH($C130,'de para abc'!$B:$B,0))=0,"C",INDEX('de para abc'!$C:$C,MATCH($C130,'de para abc'!$B:$B,0))),"C"))</f>
        <v>C</v>
      </c>
      <c r="F130" s="56">
        <v>3</v>
      </c>
    </row>
    <row r="131" spans="1:6" x14ac:dyDescent="0.25">
      <c r="A131" s="55" t="s">
        <v>69</v>
      </c>
      <c r="B131" s="41">
        <v>1000075</v>
      </c>
      <c r="C131" s="39" t="s">
        <v>174</v>
      </c>
      <c r="D131" s="40" t="s">
        <v>71</v>
      </c>
      <c r="E131" s="40" t="str">
        <f>IFERROR(IF(INDEX('de para abc'!$C:$C,MATCH($B131,'de para abc'!$A:$A,0))=0,"C",INDEX('de para abc'!$C:$C,MATCH($B131,'de para abc'!$A:$A,0))),IFERROR(IF(INDEX('de para abc'!$C:$C,MATCH($C131,'de para abc'!$B:$B,0))=0,"C",INDEX('de para abc'!$C:$C,MATCH($C131,'de para abc'!$B:$B,0))),"C"))</f>
        <v>C</v>
      </c>
      <c r="F131" s="56">
        <v>1</v>
      </c>
    </row>
    <row r="132" spans="1:6" x14ac:dyDescent="0.25">
      <c r="A132" s="55" t="s">
        <v>69</v>
      </c>
      <c r="B132" s="41">
        <v>1000076</v>
      </c>
      <c r="C132" s="39" t="s">
        <v>77</v>
      </c>
      <c r="D132" s="40" t="s">
        <v>71</v>
      </c>
      <c r="E132" s="40" t="str">
        <f>IFERROR(IF(INDEX('de para abc'!$C:$C,MATCH($B132,'de para abc'!$A:$A,0))=0,"C",INDEX('de para abc'!$C:$C,MATCH($B132,'de para abc'!$A:$A,0))),IFERROR(IF(INDEX('de para abc'!$C:$C,MATCH($C132,'de para abc'!$B:$B,0))=0,"C",INDEX('de para abc'!$C:$C,MATCH($C132,'de para abc'!$B:$B,0))),"C"))</f>
        <v>C</v>
      </c>
      <c r="F132" s="56">
        <v>0</v>
      </c>
    </row>
    <row r="133" spans="1:6" x14ac:dyDescent="0.25">
      <c r="A133" s="55" t="s">
        <v>69</v>
      </c>
      <c r="B133" s="41">
        <v>1001895</v>
      </c>
      <c r="C133" s="39" t="s">
        <v>505</v>
      </c>
      <c r="D133" s="40" t="s">
        <v>71</v>
      </c>
      <c r="E133" s="40" t="str">
        <f>IFERROR(IF(INDEX('de para abc'!$C:$C,MATCH($B133,'de para abc'!$A:$A,0))=0,"C",INDEX('de para abc'!$C:$C,MATCH($B133,'de para abc'!$A:$A,0))),IFERROR(IF(INDEX('de para abc'!$C:$C,MATCH($C133,'de para abc'!$B:$B,0))=0,"C",INDEX('de para abc'!$C:$C,MATCH($C133,'de para abc'!$B:$B,0))),"C"))</f>
        <v>C</v>
      </c>
      <c r="F133" s="56">
        <v>0</v>
      </c>
    </row>
    <row r="134" spans="1:6" x14ac:dyDescent="0.25">
      <c r="A134" s="55" t="s">
        <v>69</v>
      </c>
      <c r="B134" s="41">
        <v>1008923</v>
      </c>
      <c r="C134" s="39" t="s">
        <v>506</v>
      </c>
      <c r="D134" s="40" t="s">
        <v>18</v>
      </c>
      <c r="E134" s="40" t="str">
        <f>IFERROR(IF(INDEX('de para abc'!$C:$C,MATCH($B134,'de para abc'!$A:$A,0))=0,"C",INDEX('de para abc'!$C:$C,MATCH($B134,'de para abc'!$A:$A,0))),IFERROR(IF(INDEX('de para abc'!$C:$C,MATCH($C134,'de para abc'!$B:$B,0))=0,"C",INDEX('de para abc'!$C:$C,MATCH($C134,'de para abc'!$B:$B,0))),"C"))</f>
        <v>C</v>
      </c>
      <c r="F134" s="56">
        <v>0</v>
      </c>
    </row>
    <row r="135" spans="1:6" x14ac:dyDescent="0.25">
      <c r="A135" s="55" t="s">
        <v>69</v>
      </c>
      <c r="B135" s="41">
        <v>1001930</v>
      </c>
      <c r="C135" s="39" t="s">
        <v>84</v>
      </c>
      <c r="D135" s="40" t="s">
        <v>18</v>
      </c>
      <c r="E135" s="40" t="str">
        <f>IFERROR(IF(INDEX('de para abc'!$C:$C,MATCH($B135,'de para abc'!$A:$A,0))=0,"C",INDEX('de para abc'!$C:$C,MATCH($B135,'de para abc'!$A:$A,0))),IFERROR(IF(INDEX('de para abc'!$C:$C,MATCH($C135,'de para abc'!$B:$B,0))=0,"C",INDEX('de para abc'!$C:$C,MATCH($C135,'de para abc'!$B:$B,0))),"C"))</f>
        <v>C</v>
      </c>
      <c r="F135" s="56">
        <v>0</v>
      </c>
    </row>
    <row r="136" spans="1:6" x14ac:dyDescent="0.25">
      <c r="A136" s="55" t="s">
        <v>69</v>
      </c>
      <c r="B136" s="41">
        <v>1001931</v>
      </c>
      <c r="C136" s="39" t="s">
        <v>507</v>
      </c>
      <c r="D136" s="40" t="s">
        <v>18</v>
      </c>
      <c r="E136" s="40" t="str">
        <f>IFERROR(IF(INDEX('de para abc'!$C:$C,MATCH($B136,'de para abc'!$A:$A,0))=0,"C",INDEX('de para abc'!$C:$C,MATCH($B136,'de para abc'!$A:$A,0))),IFERROR(IF(INDEX('de para abc'!$C:$C,MATCH($C136,'de para abc'!$B:$B,0))=0,"C",INDEX('de para abc'!$C:$C,MATCH($C136,'de para abc'!$B:$B,0))),"C"))</f>
        <v>C</v>
      </c>
      <c r="F136" s="56">
        <v>0</v>
      </c>
    </row>
    <row r="137" spans="1:6" x14ac:dyDescent="0.25">
      <c r="A137" s="55" t="s">
        <v>69</v>
      </c>
      <c r="B137" s="41">
        <v>1006857</v>
      </c>
      <c r="C137" s="39" t="s">
        <v>508</v>
      </c>
      <c r="D137" s="40" t="s">
        <v>10</v>
      </c>
      <c r="E137" s="40" t="str">
        <f>IFERROR(IF(INDEX('de para abc'!$C:$C,MATCH($B137,'de para abc'!$A:$A,0))=0,"C",INDEX('de para abc'!$C:$C,MATCH($B137,'de para abc'!$A:$A,0))),IFERROR(IF(INDEX('de para abc'!$C:$C,MATCH($C137,'de para abc'!$B:$B,0))=0,"C",INDEX('de para abc'!$C:$C,MATCH($C137,'de para abc'!$B:$B,0))),"C"))</f>
        <v>C</v>
      </c>
      <c r="F137" s="56">
        <v>3</v>
      </c>
    </row>
    <row r="138" spans="1:6" x14ac:dyDescent="0.25">
      <c r="A138" s="55" t="s">
        <v>69</v>
      </c>
      <c r="B138" s="41">
        <v>1006853</v>
      </c>
      <c r="C138" s="39" t="s">
        <v>510</v>
      </c>
      <c r="D138" s="40" t="s">
        <v>10</v>
      </c>
      <c r="E138" s="40" t="str">
        <f>IFERROR(IF(INDEX('de para abc'!$C:$C,MATCH($B138,'de para abc'!$A:$A,0))=0,"C",INDEX('de para abc'!$C:$C,MATCH($B138,'de para abc'!$A:$A,0))),IFERROR(IF(INDEX('de para abc'!$C:$C,MATCH($C138,'de para abc'!$B:$B,0))=0,"C",INDEX('de para abc'!$C:$C,MATCH($C138,'de para abc'!$B:$B,0))),"C"))</f>
        <v>C</v>
      </c>
      <c r="F138" s="56">
        <v>5</v>
      </c>
    </row>
    <row r="139" spans="1:6" x14ac:dyDescent="0.25">
      <c r="A139" s="55" t="s">
        <v>69</v>
      </c>
      <c r="B139" s="41">
        <v>1006854</v>
      </c>
      <c r="C139" s="39" t="s">
        <v>511</v>
      </c>
      <c r="D139" s="40" t="s">
        <v>10</v>
      </c>
      <c r="E139" s="40" t="str">
        <f>IFERROR(IF(INDEX('de para abc'!$C:$C,MATCH($B139,'de para abc'!$A:$A,0))=0,"C",INDEX('de para abc'!$C:$C,MATCH($B139,'de para abc'!$A:$A,0))),IFERROR(IF(INDEX('de para abc'!$C:$C,MATCH($C139,'de para abc'!$B:$B,0))=0,"C",INDEX('de para abc'!$C:$C,MATCH($C139,'de para abc'!$B:$B,0))),"C"))</f>
        <v>C</v>
      </c>
      <c r="F139" s="56">
        <v>1</v>
      </c>
    </row>
    <row r="140" spans="1:6" x14ac:dyDescent="0.25">
      <c r="A140" s="55" t="s">
        <v>69</v>
      </c>
      <c r="B140" s="41">
        <v>1006852</v>
      </c>
      <c r="C140" s="39" t="s">
        <v>512</v>
      </c>
      <c r="D140" s="40" t="s">
        <v>10</v>
      </c>
      <c r="E140" s="40" t="str">
        <f>IFERROR(IF(INDEX('de para abc'!$C:$C,MATCH($B140,'de para abc'!$A:$A,0))=0,"C",INDEX('de para abc'!$C:$C,MATCH($B140,'de para abc'!$A:$A,0))),IFERROR(IF(INDEX('de para abc'!$C:$C,MATCH($C140,'de para abc'!$B:$B,0))=0,"C",INDEX('de para abc'!$C:$C,MATCH($C140,'de para abc'!$B:$B,0))),"C"))</f>
        <v>C</v>
      </c>
      <c r="F140" s="56">
        <v>5</v>
      </c>
    </row>
    <row r="141" spans="1:6" x14ac:dyDescent="0.25">
      <c r="A141" s="55" t="s">
        <v>69</v>
      </c>
      <c r="B141" s="41">
        <v>1001512</v>
      </c>
      <c r="C141" s="39" t="s">
        <v>87</v>
      </c>
      <c r="D141" s="40" t="s">
        <v>233</v>
      </c>
      <c r="E141" s="40" t="str">
        <f>IFERROR(IF(INDEX('de para abc'!$C:$C,MATCH($B141,'de para abc'!$A:$A,0))=0,"C",INDEX('de para abc'!$C:$C,MATCH($B141,'de para abc'!$A:$A,0))),IFERROR(IF(INDEX('de para abc'!$C:$C,MATCH($C141,'de para abc'!$B:$B,0))=0,"C",INDEX('de para abc'!$C:$C,MATCH($C141,'de para abc'!$B:$B,0))),"C"))</f>
        <v>C</v>
      </c>
      <c r="F141" s="56">
        <v>0</v>
      </c>
    </row>
    <row r="142" spans="1:6" x14ac:dyDescent="0.25">
      <c r="A142" s="55" t="s">
        <v>69</v>
      </c>
      <c r="B142" s="41">
        <v>1001513</v>
      </c>
      <c r="C142" s="39" t="s">
        <v>88</v>
      </c>
      <c r="D142" s="40" t="s">
        <v>233</v>
      </c>
      <c r="E142" s="40" t="str">
        <f>IFERROR(IF(INDEX('de para abc'!$C:$C,MATCH($B142,'de para abc'!$A:$A,0))=0,"C",INDEX('de para abc'!$C:$C,MATCH($B142,'de para abc'!$A:$A,0))),IFERROR(IF(INDEX('de para abc'!$C:$C,MATCH($C142,'de para abc'!$B:$B,0))=0,"C",INDEX('de para abc'!$C:$C,MATCH($C142,'de para abc'!$B:$B,0))),"C"))</f>
        <v>C</v>
      </c>
      <c r="F142" s="56">
        <v>0</v>
      </c>
    </row>
    <row r="143" spans="1:6" x14ac:dyDescent="0.25">
      <c r="A143" s="55" t="s">
        <v>69</v>
      </c>
      <c r="B143" s="41">
        <v>1001973</v>
      </c>
      <c r="C143" s="39" t="s">
        <v>89</v>
      </c>
      <c r="D143" s="40" t="s">
        <v>18</v>
      </c>
      <c r="E143" s="40" t="str">
        <f>IFERROR(IF(INDEX('de para abc'!$C:$C,MATCH($B143,'de para abc'!$A:$A,0))=0,"C",INDEX('de para abc'!$C:$C,MATCH($B143,'de para abc'!$A:$A,0))),IFERROR(IF(INDEX('de para abc'!$C:$C,MATCH($C143,'de para abc'!$B:$B,0))=0,"C",INDEX('de para abc'!$C:$C,MATCH($C143,'de para abc'!$B:$B,0))),"C"))</f>
        <v>C</v>
      </c>
      <c r="F143" s="56">
        <v>0</v>
      </c>
    </row>
    <row r="144" spans="1:6" x14ac:dyDescent="0.25">
      <c r="A144" s="55" t="s">
        <v>69</v>
      </c>
      <c r="B144" s="41">
        <v>1002020</v>
      </c>
      <c r="C144" s="39" t="s">
        <v>515</v>
      </c>
      <c r="D144" s="40" t="s">
        <v>18</v>
      </c>
      <c r="E144" s="40" t="str">
        <f>IFERROR(IF(INDEX('de para abc'!$C:$C,MATCH($B144,'de para abc'!$A:$A,0))=0,"C",INDEX('de para abc'!$C:$C,MATCH($B144,'de para abc'!$A:$A,0))),IFERROR(IF(INDEX('de para abc'!$C:$C,MATCH($C144,'de para abc'!$B:$B,0))=0,"C",INDEX('de para abc'!$C:$C,MATCH($C144,'de para abc'!$B:$B,0))),"C"))</f>
        <v>C</v>
      </c>
      <c r="F144" s="56">
        <v>0</v>
      </c>
    </row>
    <row r="145" spans="1:6" x14ac:dyDescent="0.25">
      <c r="A145" s="55" t="s">
        <v>69</v>
      </c>
      <c r="B145" s="41">
        <v>1001905</v>
      </c>
      <c r="C145" s="39" t="s">
        <v>3039</v>
      </c>
      <c r="D145" s="40" t="s">
        <v>18</v>
      </c>
      <c r="E145" s="40" t="str">
        <f>IFERROR(IF(INDEX('de para abc'!$C:$C,MATCH($B145,'de para abc'!$A:$A,0))=0,"C",INDEX('de para abc'!$C:$C,MATCH($B145,'de para abc'!$A:$A,0))),IFERROR(IF(INDEX('de para abc'!$C:$C,MATCH($C145,'de para abc'!$B:$B,0))=0,"C",INDEX('de para abc'!$C:$C,MATCH($C145,'de para abc'!$B:$B,0))),"C"))</f>
        <v>C</v>
      </c>
      <c r="F145" s="56">
        <v>0</v>
      </c>
    </row>
    <row r="146" spans="1:6" x14ac:dyDescent="0.25">
      <c r="A146" s="55" t="s">
        <v>69</v>
      </c>
      <c r="B146" s="41">
        <v>1001289</v>
      </c>
      <c r="C146" s="39" t="s">
        <v>517</v>
      </c>
      <c r="D146" s="40" t="s">
        <v>14</v>
      </c>
      <c r="E146" s="40" t="str">
        <f>IFERROR(IF(INDEX('de para abc'!$C:$C,MATCH($B146,'de para abc'!$A:$A,0))=0,"C",INDEX('de para abc'!$C:$C,MATCH($B146,'de para abc'!$A:$A,0))),IFERROR(IF(INDEX('de para abc'!$C:$C,MATCH($C146,'de para abc'!$B:$B,0))=0,"C",INDEX('de para abc'!$C:$C,MATCH($C146,'de para abc'!$B:$B,0))),"C"))</f>
        <v>C</v>
      </c>
      <c r="F146" s="56">
        <v>1</v>
      </c>
    </row>
    <row r="147" spans="1:6" x14ac:dyDescent="0.25">
      <c r="A147" s="55" t="s">
        <v>69</v>
      </c>
      <c r="B147" s="41">
        <v>1001302</v>
      </c>
      <c r="C147" s="39" t="s">
        <v>96</v>
      </c>
      <c r="D147" s="40" t="s">
        <v>10</v>
      </c>
      <c r="E147" s="40" t="str">
        <f>IFERROR(IF(INDEX('de para abc'!$C:$C,MATCH($B147,'de para abc'!$A:$A,0))=0,"C",INDEX('de para abc'!$C:$C,MATCH($B147,'de para abc'!$A:$A,0))),IFERROR(IF(INDEX('de para abc'!$C:$C,MATCH($C147,'de para abc'!$B:$B,0))=0,"C",INDEX('de para abc'!$C:$C,MATCH($C147,'de para abc'!$B:$B,0))),"C"))</f>
        <v>C</v>
      </c>
      <c r="F147" s="56">
        <v>4</v>
      </c>
    </row>
    <row r="148" spans="1:6" x14ac:dyDescent="0.25">
      <c r="A148" s="55" t="s">
        <v>69</v>
      </c>
      <c r="B148" s="41">
        <v>1001237</v>
      </c>
      <c r="C148" s="39" t="s">
        <v>268</v>
      </c>
      <c r="D148" s="40" t="s">
        <v>14</v>
      </c>
      <c r="E148" s="40" t="str">
        <f>IFERROR(IF(INDEX('de para abc'!$C:$C,MATCH($B148,'de para abc'!$A:$A,0))=0,"C",INDEX('de para abc'!$C:$C,MATCH($B148,'de para abc'!$A:$A,0))),IFERROR(IF(INDEX('de para abc'!$C:$C,MATCH($C148,'de para abc'!$B:$B,0))=0,"C",INDEX('de para abc'!$C:$C,MATCH($C148,'de para abc'!$B:$B,0))),"C"))</f>
        <v>C</v>
      </c>
      <c r="F148" s="56">
        <v>4</v>
      </c>
    </row>
    <row r="149" spans="1:6" x14ac:dyDescent="0.25">
      <c r="A149" s="55" t="s">
        <v>69</v>
      </c>
      <c r="B149" s="41">
        <v>1000495</v>
      </c>
      <c r="C149" s="39" t="s">
        <v>270</v>
      </c>
      <c r="D149" s="40" t="s">
        <v>10</v>
      </c>
      <c r="E149" s="40" t="str">
        <f>IFERROR(IF(INDEX('de para abc'!$C:$C,MATCH($B149,'de para abc'!$A:$A,0))=0,"C",INDEX('de para abc'!$C:$C,MATCH($B149,'de para abc'!$A:$A,0))),IFERROR(IF(INDEX('de para abc'!$C:$C,MATCH($C149,'de para abc'!$B:$B,0))=0,"C",INDEX('de para abc'!$C:$C,MATCH($C149,'de para abc'!$B:$B,0))),"C"))</f>
        <v>C</v>
      </c>
      <c r="F149" s="56">
        <v>0</v>
      </c>
    </row>
    <row r="150" spans="1:6" x14ac:dyDescent="0.25">
      <c r="A150" s="55" t="s">
        <v>69</v>
      </c>
      <c r="B150" s="41">
        <v>1002262</v>
      </c>
      <c r="C150" s="39" t="s">
        <v>518</v>
      </c>
      <c r="D150" s="40" t="s">
        <v>101</v>
      </c>
      <c r="E150" s="40" t="str">
        <f>IFERROR(IF(INDEX('de para abc'!$C:$C,MATCH($B150,'de para abc'!$A:$A,0))=0,"C",INDEX('de para abc'!$C:$C,MATCH($B150,'de para abc'!$A:$A,0))),IFERROR(IF(INDEX('de para abc'!$C:$C,MATCH($C150,'de para abc'!$B:$B,0))=0,"C",INDEX('de para abc'!$C:$C,MATCH($C150,'de para abc'!$B:$B,0))),"C"))</f>
        <v>C</v>
      </c>
      <c r="F150" s="56">
        <v>0</v>
      </c>
    </row>
    <row r="151" spans="1:6" x14ac:dyDescent="0.25">
      <c r="A151" s="55" t="s">
        <v>69</v>
      </c>
      <c r="B151" s="41">
        <v>1000204</v>
      </c>
      <c r="C151" s="39" t="s">
        <v>519</v>
      </c>
      <c r="D151" s="40" t="s">
        <v>10</v>
      </c>
      <c r="E151" s="40" t="str">
        <f>IFERROR(IF(INDEX('de para abc'!$C:$C,MATCH($B151,'de para abc'!$A:$A,0))=0,"C",INDEX('de para abc'!$C:$C,MATCH($B151,'de para abc'!$A:$A,0))),IFERROR(IF(INDEX('de para abc'!$C:$C,MATCH($C151,'de para abc'!$B:$B,0))=0,"C",INDEX('de para abc'!$C:$C,MATCH($C151,'de para abc'!$B:$B,0))),"C"))</f>
        <v>C</v>
      </c>
      <c r="F151" s="56">
        <v>3</v>
      </c>
    </row>
    <row r="152" spans="1:6" x14ac:dyDescent="0.25">
      <c r="A152" s="55" t="s">
        <v>69</v>
      </c>
      <c r="B152" s="41">
        <v>2000456</v>
      </c>
      <c r="C152" s="39" t="s">
        <v>440</v>
      </c>
      <c r="D152" s="40"/>
      <c r="E152" s="40" t="str">
        <f>IFERROR(IF(INDEX('de para abc'!$C:$C,MATCH($B152,'de para abc'!$A:$A,0))=0,"C",INDEX('de para abc'!$C:$C,MATCH($B152,'de para abc'!$A:$A,0))),IFERROR(IF(INDEX('de para abc'!$C:$C,MATCH($C152,'de para abc'!$B:$B,0))=0,"C",INDEX('de para abc'!$C:$C,MATCH($C152,'de para abc'!$B:$B,0))),"C"))</f>
        <v>C</v>
      </c>
      <c r="F152" s="56">
        <v>0</v>
      </c>
    </row>
    <row r="153" spans="1:6" x14ac:dyDescent="0.25">
      <c r="A153" s="55" t="s">
        <v>69</v>
      </c>
      <c r="B153" s="41">
        <v>1000206</v>
      </c>
      <c r="C153" s="39" t="s">
        <v>102</v>
      </c>
      <c r="D153" s="40" t="s">
        <v>10</v>
      </c>
      <c r="E153" s="40" t="str">
        <f>IFERROR(IF(INDEX('de para abc'!$C:$C,MATCH($B153,'de para abc'!$A:$A,0))=0,"C",INDEX('de para abc'!$C:$C,MATCH($B153,'de para abc'!$A:$A,0))),IFERROR(IF(INDEX('de para abc'!$C:$C,MATCH($C153,'de para abc'!$B:$B,0))=0,"C",INDEX('de para abc'!$C:$C,MATCH($C153,'de para abc'!$B:$B,0))),"C"))</f>
        <v>C</v>
      </c>
      <c r="F153" s="56">
        <v>6</v>
      </c>
    </row>
    <row r="154" spans="1:6" x14ac:dyDescent="0.25">
      <c r="A154" s="55" t="s">
        <v>69</v>
      </c>
      <c r="B154" s="41">
        <v>1001254</v>
      </c>
      <c r="C154" s="39" t="s">
        <v>271</v>
      </c>
      <c r="D154" s="40" t="s">
        <v>14</v>
      </c>
      <c r="E154" s="40" t="str">
        <f>IFERROR(IF(INDEX('de para abc'!$C:$C,MATCH($B154,'de para abc'!$A:$A,0))=0,"C",INDEX('de para abc'!$C:$C,MATCH($B154,'de para abc'!$A:$A,0))),IFERROR(IF(INDEX('de para abc'!$C:$C,MATCH($C154,'de para abc'!$B:$B,0))=0,"C",INDEX('de para abc'!$C:$C,MATCH($C154,'de para abc'!$B:$B,0))),"C"))</f>
        <v>C</v>
      </c>
      <c r="F154" s="56">
        <v>1</v>
      </c>
    </row>
    <row r="155" spans="1:6" x14ac:dyDescent="0.25">
      <c r="A155" s="55" t="s">
        <v>69</v>
      </c>
      <c r="B155" s="41">
        <v>1001854</v>
      </c>
      <c r="C155" s="39" t="s">
        <v>105</v>
      </c>
      <c r="D155" s="40" t="s">
        <v>10</v>
      </c>
      <c r="E155" s="40" t="str">
        <f>IFERROR(IF(INDEX('de para abc'!$C:$C,MATCH($B155,'de para abc'!$A:$A,0))=0,"C",INDEX('de para abc'!$C:$C,MATCH($B155,'de para abc'!$A:$A,0))),IFERROR(IF(INDEX('de para abc'!$C:$C,MATCH($C155,'de para abc'!$B:$B,0))=0,"C",INDEX('de para abc'!$C:$C,MATCH($C155,'de para abc'!$B:$B,0))),"C"))</f>
        <v>C</v>
      </c>
      <c r="F155" s="56">
        <v>1</v>
      </c>
    </row>
    <row r="156" spans="1:6" x14ac:dyDescent="0.25">
      <c r="A156" s="55" t="s">
        <v>69</v>
      </c>
      <c r="B156" s="41">
        <v>1006179</v>
      </c>
      <c r="C156" s="39" t="s">
        <v>106</v>
      </c>
      <c r="D156" s="40" t="s">
        <v>18</v>
      </c>
      <c r="E156" s="40" t="str">
        <f>IFERROR(IF(INDEX('de para abc'!$C:$C,MATCH($B156,'de para abc'!$A:$A,0))=0,"C",INDEX('de para abc'!$C:$C,MATCH($B156,'de para abc'!$A:$A,0))),IFERROR(IF(INDEX('de para abc'!$C:$C,MATCH($C156,'de para abc'!$B:$B,0))=0,"C",INDEX('de para abc'!$C:$C,MATCH($C156,'de para abc'!$B:$B,0))),"C"))</f>
        <v>C</v>
      </c>
      <c r="F156" s="56">
        <v>2</v>
      </c>
    </row>
    <row r="157" spans="1:6" x14ac:dyDescent="0.25">
      <c r="A157" s="55" t="s">
        <v>69</v>
      </c>
      <c r="B157" s="41">
        <v>1001926</v>
      </c>
      <c r="C157" s="39" t="s">
        <v>282</v>
      </c>
      <c r="D157" s="40" t="s">
        <v>18</v>
      </c>
      <c r="E157" s="40" t="str">
        <f>IFERROR(IF(INDEX('de para abc'!$C:$C,MATCH($B157,'de para abc'!$A:$A,0))=0,"C",INDEX('de para abc'!$C:$C,MATCH($B157,'de para abc'!$A:$A,0))),IFERROR(IF(INDEX('de para abc'!$C:$C,MATCH($C157,'de para abc'!$B:$B,0))=0,"C",INDEX('de para abc'!$C:$C,MATCH($C157,'de para abc'!$B:$B,0))),"C"))</f>
        <v>C</v>
      </c>
      <c r="F157" s="56">
        <v>0</v>
      </c>
    </row>
    <row r="158" spans="1:6" x14ac:dyDescent="0.25">
      <c r="A158" s="55" t="s">
        <v>69</v>
      </c>
      <c r="B158" s="41">
        <v>1001924</v>
      </c>
      <c r="C158" s="39" t="s">
        <v>283</v>
      </c>
      <c r="D158" s="40" t="s">
        <v>18</v>
      </c>
      <c r="E158" s="40" t="str">
        <f>IFERROR(IF(INDEX('de para abc'!$C:$C,MATCH($B158,'de para abc'!$A:$A,0))=0,"C",INDEX('de para abc'!$C:$C,MATCH($B158,'de para abc'!$A:$A,0))),IFERROR(IF(INDEX('de para abc'!$C:$C,MATCH($C158,'de para abc'!$B:$B,0))=0,"C",INDEX('de para abc'!$C:$C,MATCH($C158,'de para abc'!$B:$B,0))),"C"))</f>
        <v>C</v>
      </c>
      <c r="F158" s="56">
        <v>0</v>
      </c>
    </row>
    <row r="159" spans="1:6" x14ac:dyDescent="0.25">
      <c r="A159" s="55" t="s">
        <v>69</v>
      </c>
      <c r="B159" s="41">
        <v>1000665</v>
      </c>
      <c r="C159" s="39" t="s">
        <v>113</v>
      </c>
      <c r="D159" s="40" t="s">
        <v>71</v>
      </c>
      <c r="E159" s="40" t="str">
        <f>IFERROR(IF(INDEX('de para abc'!$C:$C,MATCH($B159,'de para abc'!$A:$A,0))=0,"C",INDEX('de para abc'!$C:$C,MATCH($B159,'de para abc'!$A:$A,0))),IFERROR(IF(INDEX('de para abc'!$C:$C,MATCH($C159,'de para abc'!$B:$B,0))=0,"C",INDEX('de para abc'!$C:$C,MATCH($C159,'de para abc'!$B:$B,0))),"C"))</f>
        <v>C</v>
      </c>
      <c r="F159" s="56">
        <v>1</v>
      </c>
    </row>
    <row r="160" spans="1:6" x14ac:dyDescent="0.25">
      <c r="A160" s="55" t="s">
        <v>69</v>
      </c>
      <c r="B160" s="41">
        <v>1000327</v>
      </c>
      <c r="C160" s="39" t="s">
        <v>114</v>
      </c>
      <c r="D160" s="40" t="s">
        <v>71</v>
      </c>
      <c r="E160" s="40" t="str">
        <f>IFERROR(IF(INDEX('de para abc'!$C:$C,MATCH($B160,'de para abc'!$A:$A,0))=0,"C",INDEX('de para abc'!$C:$C,MATCH($B160,'de para abc'!$A:$A,0))),IFERROR(IF(INDEX('de para abc'!$C:$C,MATCH($C160,'de para abc'!$B:$B,0))=0,"C",INDEX('de para abc'!$C:$C,MATCH($C160,'de para abc'!$B:$B,0))),"C"))</f>
        <v>C</v>
      </c>
      <c r="F160" s="56">
        <v>1</v>
      </c>
    </row>
    <row r="161" spans="1:6" x14ac:dyDescent="0.25">
      <c r="A161" s="55" t="s">
        <v>69</v>
      </c>
      <c r="B161" s="41">
        <v>1002247</v>
      </c>
      <c r="C161" s="39" t="s">
        <v>524</v>
      </c>
      <c r="D161" s="40" t="s">
        <v>18</v>
      </c>
      <c r="E161" s="40" t="str">
        <f>IFERROR(IF(INDEX('de para abc'!$C:$C,MATCH($B161,'de para abc'!$A:$A,0))=0,"C",INDEX('de para abc'!$C:$C,MATCH($B161,'de para abc'!$A:$A,0))),IFERROR(IF(INDEX('de para abc'!$C:$C,MATCH($C161,'de para abc'!$B:$B,0))=0,"C",INDEX('de para abc'!$C:$C,MATCH($C161,'de para abc'!$B:$B,0))),"C"))</f>
        <v>C</v>
      </c>
      <c r="F161" s="56">
        <v>0</v>
      </c>
    </row>
    <row r="162" spans="1:6" x14ac:dyDescent="0.25">
      <c r="A162" s="55" t="s">
        <v>69</v>
      </c>
      <c r="B162" s="41">
        <v>1002248</v>
      </c>
      <c r="C162" s="39" t="s">
        <v>525</v>
      </c>
      <c r="D162" s="40" t="s">
        <v>18</v>
      </c>
      <c r="E162" s="40" t="str">
        <f>IFERROR(IF(INDEX('de para abc'!$C:$C,MATCH($B162,'de para abc'!$A:$A,0))=0,"C",INDEX('de para abc'!$C:$C,MATCH($B162,'de para abc'!$A:$A,0))),IFERROR(IF(INDEX('de para abc'!$C:$C,MATCH($C162,'de para abc'!$B:$B,0))=0,"C",INDEX('de para abc'!$C:$C,MATCH($C162,'de para abc'!$B:$B,0))),"C"))</f>
        <v>C</v>
      </c>
      <c r="F162" s="56">
        <v>0</v>
      </c>
    </row>
    <row r="163" spans="1:6" x14ac:dyDescent="0.25">
      <c r="A163" s="55" t="s">
        <v>69</v>
      </c>
      <c r="B163" s="41">
        <v>1002249</v>
      </c>
      <c r="C163" s="39" t="s">
        <v>526</v>
      </c>
      <c r="D163" s="40" t="s">
        <v>18</v>
      </c>
      <c r="E163" s="40" t="str">
        <f>IFERROR(IF(INDEX('de para abc'!$C:$C,MATCH($B163,'de para abc'!$A:$A,0))=0,"C",INDEX('de para abc'!$C:$C,MATCH($B163,'de para abc'!$A:$A,0))),IFERROR(IF(INDEX('de para abc'!$C:$C,MATCH($C163,'de para abc'!$B:$B,0))=0,"C",INDEX('de para abc'!$C:$C,MATCH($C163,'de para abc'!$B:$B,0))),"C"))</f>
        <v>C</v>
      </c>
      <c r="F163" s="56">
        <v>0</v>
      </c>
    </row>
    <row r="164" spans="1:6" x14ac:dyDescent="0.25">
      <c r="A164" s="55" t="s">
        <v>69</v>
      </c>
      <c r="B164" s="41">
        <v>1006840</v>
      </c>
      <c r="C164" s="39" t="s">
        <v>1183</v>
      </c>
      <c r="D164" s="40" t="s">
        <v>10</v>
      </c>
      <c r="E164" s="40" t="str">
        <f>IFERROR(IF(INDEX('de para abc'!$C:$C,MATCH($B164,'de para abc'!$A:$A,0))=0,"C",INDEX('de para abc'!$C:$C,MATCH($B164,'de para abc'!$A:$A,0))),IFERROR(IF(INDEX('de para abc'!$C:$C,MATCH($C164,'de para abc'!$B:$B,0))=0,"C",INDEX('de para abc'!$C:$C,MATCH($C164,'de para abc'!$B:$B,0))),"C"))</f>
        <v>C</v>
      </c>
      <c r="F164" s="56">
        <v>1</v>
      </c>
    </row>
    <row r="165" spans="1:6" x14ac:dyDescent="0.25">
      <c r="A165" s="55" t="s">
        <v>69</v>
      </c>
      <c r="B165" s="41">
        <v>1000544</v>
      </c>
      <c r="C165" s="39" t="s">
        <v>116</v>
      </c>
      <c r="D165" s="40" t="s">
        <v>14</v>
      </c>
      <c r="E165" s="40" t="str">
        <f>IFERROR(IF(INDEX('de para abc'!$C:$C,MATCH($B165,'de para abc'!$A:$A,0))=0,"C",INDEX('de para abc'!$C:$C,MATCH($B165,'de para abc'!$A:$A,0))),IFERROR(IF(INDEX('de para abc'!$C:$C,MATCH($C165,'de para abc'!$B:$B,0))=0,"C",INDEX('de para abc'!$C:$C,MATCH($C165,'de para abc'!$B:$B,0))),"C"))</f>
        <v>C</v>
      </c>
      <c r="F165" s="56">
        <v>3</v>
      </c>
    </row>
    <row r="166" spans="1:6" x14ac:dyDescent="0.25">
      <c r="A166" s="55" t="s">
        <v>69</v>
      </c>
      <c r="B166" s="41">
        <v>1000366</v>
      </c>
      <c r="C166" s="39" t="s">
        <v>117</v>
      </c>
      <c r="D166" s="40" t="s">
        <v>14</v>
      </c>
      <c r="E166" s="40" t="str">
        <f>IFERROR(IF(INDEX('de para abc'!$C:$C,MATCH($B166,'de para abc'!$A:$A,0))=0,"C",INDEX('de para abc'!$C:$C,MATCH($B166,'de para abc'!$A:$A,0))),IFERROR(IF(INDEX('de para abc'!$C:$C,MATCH($C166,'de para abc'!$B:$B,0))=0,"C",INDEX('de para abc'!$C:$C,MATCH($C166,'de para abc'!$B:$B,0))),"C"))</f>
        <v>C</v>
      </c>
      <c r="F166" s="56">
        <v>2</v>
      </c>
    </row>
    <row r="167" spans="1:6" x14ac:dyDescent="0.25">
      <c r="A167" s="55" t="s">
        <v>69</v>
      </c>
      <c r="B167" s="41">
        <v>1001762</v>
      </c>
      <c r="C167" s="39" t="s">
        <v>480</v>
      </c>
      <c r="D167" s="40" t="s">
        <v>71</v>
      </c>
      <c r="E167" s="40" t="str">
        <f>IFERROR(IF(INDEX('de para abc'!$C:$C,MATCH($B167,'de para abc'!$A:$A,0))=0,"C",INDEX('de para abc'!$C:$C,MATCH($B167,'de para abc'!$A:$A,0))),IFERROR(IF(INDEX('de para abc'!$C:$C,MATCH($C167,'de para abc'!$B:$B,0))=0,"C",INDEX('de para abc'!$C:$C,MATCH($C167,'de para abc'!$B:$B,0))),"C"))</f>
        <v>C</v>
      </c>
      <c r="F167" s="56">
        <v>0</v>
      </c>
    </row>
    <row r="168" spans="1:6" x14ac:dyDescent="0.25">
      <c r="A168" s="55" t="s">
        <v>69</v>
      </c>
      <c r="B168" s="41">
        <v>1000583</v>
      </c>
      <c r="C168" s="39" t="s">
        <v>121</v>
      </c>
      <c r="D168" s="40" t="s">
        <v>14</v>
      </c>
      <c r="E168" s="40" t="str">
        <f>IFERROR(IF(INDEX('de para abc'!$C:$C,MATCH($B168,'de para abc'!$A:$A,0))=0,"C",INDEX('de para abc'!$C:$C,MATCH($B168,'de para abc'!$A:$A,0))),IFERROR(IF(INDEX('de para abc'!$C:$C,MATCH($C168,'de para abc'!$B:$B,0))=0,"C",INDEX('de para abc'!$C:$C,MATCH($C168,'de para abc'!$B:$B,0))),"C"))</f>
        <v>C</v>
      </c>
      <c r="F168" s="56">
        <v>1</v>
      </c>
    </row>
    <row r="169" spans="1:6" x14ac:dyDescent="0.25">
      <c r="A169" s="55" t="s">
        <v>69</v>
      </c>
      <c r="B169" s="41">
        <v>1000648</v>
      </c>
      <c r="C169" s="39" t="s">
        <v>1758</v>
      </c>
      <c r="D169" s="40" t="s">
        <v>14</v>
      </c>
      <c r="E169" s="40" t="str">
        <f>IFERROR(IF(INDEX('de para abc'!$C:$C,MATCH($B169,'de para abc'!$A:$A,0))=0,"C",INDEX('de para abc'!$C:$C,MATCH($B169,'de para abc'!$A:$A,0))),IFERROR(IF(INDEX('de para abc'!$C:$C,MATCH($C169,'de para abc'!$B:$B,0))=0,"C",INDEX('de para abc'!$C:$C,MATCH($C169,'de para abc'!$B:$B,0))),"C"))</f>
        <v>C</v>
      </c>
      <c r="F169" s="56">
        <v>1</v>
      </c>
    </row>
    <row r="170" spans="1:6" x14ac:dyDescent="0.25">
      <c r="A170" s="55" t="s">
        <v>69</v>
      </c>
      <c r="B170" s="41">
        <v>1000995</v>
      </c>
      <c r="C170" s="39" t="s">
        <v>530</v>
      </c>
      <c r="D170" s="40" t="s">
        <v>14</v>
      </c>
      <c r="E170" s="40" t="str">
        <f>IFERROR(IF(INDEX('de para abc'!$C:$C,MATCH($B170,'de para abc'!$A:$A,0))=0,"C",INDEX('de para abc'!$C:$C,MATCH($B170,'de para abc'!$A:$A,0))),IFERROR(IF(INDEX('de para abc'!$C:$C,MATCH($C170,'de para abc'!$B:$B,0))=0,"C",INDEX('de para abc'!$C:$C,MATCH($C170,'de para abc'!$B:$B,0))),"C"))</f>
        <v>C</v>
      </c>
      <c r="F170" s="56">
        <v>1</v>
      </c>
    </row>
    <row r="171" spans="1:6" x14ac:dyDescent="0.25">
      <c r="A171" s="57" t="s">
        <v>69</v>
      </c>
      <c r="B171" s="58">
        <v>1000367</v>
      </c>
      <c r="C171" s="59" t="s">
        <v>124</v>
      </c>
      <c r="D171" s="60" t="s">
        <v>14</v>
      </c>
      <c r="E171" s="60" t="str">
        <f>IFERROR(IF(INDEX('de para abc'!$C:$C,MATCH($B171,'de para abc'!$A:$A,0))=0,"C",INDEX('de para abc'!$C:$C,MATCH($B171,'de para abc'!$A:$A,0))),IFERROR(IF(INDEX('de para abc'!$C:$C,MATCH($C171,'de para abc'!$B:$B,0))=0,"C",INDEX('de para abc'!$C:$C,MATCH($C171,'de para abc'!$B:$B,0))),"C"))</f>
        <v>C</v>
      </c>
      <c r="F171" s="61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78E9-74F4-496D-A1BE-FF84919C66CC}">
  <dimension ref="A1:J168"/>
  <sheetViews>
    <sheetView workbookViewId="0">
      <pane ySplit="4" topLeftCell="A133" activePane="bottomLeft" state="frozen"/>
      <selection pane="bottomLeft" activeCell="A4" sqref="A4:F168"/>
    </sheetView>
  </sheetViews>
  <sheetFormatPr defaultRowHeight="15" x14ac:dyDescent="0.25"/>
  <cols>
    <col min="1" max="1" width="27.28515625" bestFit="1" customWidth="1"/>
    <col min="2" max="2" width="11.42578125" bestFit="1" customWidth="1"/>
    <col min="3" max="3" width="49.5703125" customWidth="1"/>
    <col min="4" max="4" width="10.7109375" customWidth="1"/>
    <col min="5" max="5" width="15.85546875" customWidth="1"/>
    <col min="6" max="6" width="13.5703125" customWidth="1"/>
  </cols>
  <sheetData>
    <row r="1" spans="1:10" ht="18.75" x14ac:dyDescent="0.3">
      <c r="A1" s="37" t="s">
        <v>3456</v>
      </c>
    </row>
    <row r="2" spans="1:10" x14ac:dyDescent="0.25">
      <c r="A2" s="38" t="s">
        <v>3457</v>
      </c>
    </row>
    <row r="4" spans="1:10" x14ac:dyDescent="0.25">
      <c r="A4" s="47" t="s">
        <v>2</v>
      </c>
      <c r="B4" s="48" t="s">
        <v>3</v>
      </c>
      <c r="C4" s="48" t="s">
        <v>4</v>
      </c>
      <c r="D4" s="48" t="s">
        <v>5</v>
      </c>
      <c r="E4" s="48" t="s">
        <v>128</v>
      </c>
      <c r="F4" s="49" t="s">
        <v>7</v>
      </c>
      <c r="H4" s="31" t="s">
        <v>2</v>
      </c>
      <c r="I4" s="31" t="s">
        <v>192</v>
      </c>
      <c r="J4" s="31" t="s">
        <v>7</v>
      </c>
    </row>
    <row r="5" spans="1:10" x14ac:dyDescent="0.25">
      <c r="A5" s="55" t="s">
        <v>301</v>
      </c>
      <c r="B5" s="41">
        <v>1001663</v>
      </c>
      <c r="C5" s="39" t="s">
        <v>129</v>
      </c>
      <c r="D5" s="40" t="s">
        <v>18</v>
      </c>
      <c r="E5" s="40" t="str">
        <f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f>
        <v>B</v>
      </c>
      <c r="F5" s="56">
        <v>1</v>
      </c>
      <c r="H5" t="s">
        <v>301</v>
      </c>
      <c r="I5" s="36">
        <f>COUNTIF($A$5:$A$168,H5)</f>
        <v>103</v>
      </c>
      <c r="J5" s="36">
        <f>SUMIF($A$5:$A$168,H5,$F$5:$F$168)</f>
        <v>269</v>
      </c>
    </row>
    <row r="6" spans="1:10" x14ac:dyDescent="0.25">
      <c r="A6" s="55" t="s">
        <v>301</v>
      </c>
      <c r="B6" s="41" t="s">
        <v>374</v>
      </c>
      <c r="C6" s="39" t="s">
        <v>375</v>
      </c>
      <c r="D6" s="40" t="s">
        <v>14</v>
      </c>
      <c r="E6" s="40" t="str">
        <f>IFERROR(IF(INDEX('de para abc'!$C:$C,MATCH($B6,'de para abc'!$A:$A,0))=0,"C",INDEX('de para abc'!$C:$C,MATCH($B6,'de para abc'!$A:$A,0))),IFERROR(IF(INDEX('de para abc'!$C:$C,MATCH($C6,'de para abc'!$B:$B,0))=0,"C",INDEX('de para abc'!$C:$C,MATCH($C6,'de para abc'!$B:$B,0))),"C"))</f>
        <v>C</v>
      </c>
      <c r="F6" s="56">
        <v>4</v>
      </c>
      <c r="H6" t="s">
        <v>69</v>
      </c>
      <c r="I6" s="36">
        <f>COUNTIF($A$5:$A$168,H6)</f>
        <v>61</v>
      </c>
      <c r="J6" s="36">
        <f>SUMIF($A$5:$A$168,H6,$F$5:$F$168)</f>
        <v>255</v>
      </c>
    </row>
    <row r="7" spans="1:10" x14ac:dyDescent="0.25">
      <c r="A7" s="55" t="s">
        <v>301</v>
      </c>
      <c r="B7" s="41">
        <v>1000021</v>
      </c>
      <c r="C7" s="39" t="s">
        <v>376</v>
      </c>
      <c r="D7" s="40" t="s">
        <v>10</v>
      </c>
      <c r="E7" s="40" t="str">
        <f>IFERROR(IF(INDEX('de para abc'!$C:$C,MATCH($B7,'de para abc'!$A:$A,0))=0,"C",INDEX('de para abc'!$C:$C,MATCH($B7,'de para abc'!$A:$A,0))),IFERROR(IF(INDEX('de para abc'!$C:$C,MATCH($C7,'de para abc'!$B:$B,0))=0,"C",INDEX('de para abc'!$C:$C,MATCH($C7,'de para abc'!$B:$B,0))),"C"))</f>
        <v>C</v>
      </c>
      <c r="F7" s="56">
        <v>1</v>
      </c>
      <c r="H7" t="s">
        <v>194</v>
      </c>
      <c r="I7" s="36">
        <f>SUM(I5:I6)</f>
        <v>164</v>
      </c>
      <c r="J7" s="36">
        <f>SUM(J5:J6)</f>
        <v>524</v>
      </c>
    </row>
    <row r="8" spans="1:10" x14ac:dyDescent="0.25">
      <c r="A8" s="55" t="s">
        <v>301</v>
      </c>
      <c r="B8" s="41">
        <v>1000032</v>
      </c>
      <c r="C8" s="39" t="s">
        <v>9</v>
      </c>
      <c r="D8" s="40" t="s">
        <v>10</v>
      </c>
      <c r="E8" s="40" t="str">
        <f>IFERROR(IF(INDEX('de para abc'!$C:$C,MATCH($B8,'de para abc'!$A:$A,0))=0,"C",INDEX('de para abc'!$C:$C,MATCH($B8,'de para abc'!$A:$A,0))),IFERROR(IF(INDEX('de para abc'!$C:$C,MATCH($C8,'de para abc'!$B:$B,0))=0,"C",INDEX('de para abc'!$C:$C,MATCH($C8,'de para abc'!$B:$B,0))),"C"))</f>
        <v>A</v>
      </c>
      <c r="F8" s="56">
        <v>7</v>
      </c>
    </row>
    <row r="9" spans="1:10" x14ac:dyDescent="0.25">
      <c r="A9" s="55" t="s">
        <v>301</v>
      </c>
      <c r="B9" s="41">
        <v>1000033</v>
      </c>
      <c r="C9" s="39" t="s">
        <v>12</v>
      </c>
      <c r="D9" s="40" t="s">
        <v>10</v>
      </c>
      <c r="E9" s="40" t="str">
        <f>IFERROR(IF(INDEX('de para abc'!$C:$C,MATCH($B9,'de para abc'!$A:$A,0))=0,"C",INDEX('de para abc'!$C:$C,MATCH($B9,'de para abc'!$A:$A,0))),IFERROR(IF(INDEX('de para abc'!$C:$C,MATCH($C9,'de para abc'!$B:$B,0))=0,"C",INDEX('de para abc'!$C:$C,MATCH($C9,'de para abc'!$B:$B,0))),"C"))</f>
        <v>A</v>
      </c>
      <c r="F9" s="56">
        <v>3</v>
      </c>
    </row>
    <row r="10" spans="1:10" x14ac:dyDescent="0.25">
      <c r="A10" s="55" t="s">
        <v>301</v>
      </c>
      <c r="B10" s="41">
        <v>1000037</v>
      </c>
      <c r="C10" s="39" t="s">
        <v>46</v>
      </c>
      <c r="D10" s="40" t="s">
        <v>10</v>
      </c>
      <c r="E10" s="40" t="str">
        <f>IFERROR(IF(INDEX('de para abc'!$C:$C,MATCH($B10,'de para abc'!$A:$A,0))=0,"C",INDEX('de para abc'!$C:$C,MATCH($B10,'de para abc'!$A:$A,0))),IFERROR(IF(INDEX('de para abc'!$C:$C,MATCH($C10,'de para abc'!$B:$B,0))=0,"C",INDEX('de para abc'!$C:$C,MATCH($C10,'de para abc'!$B:$B,0))),"C"))</f>
        <v>A</v>
      </c>
      <c r="F10" s="56">
        <v>7</v>
      </c>
    </row>
    <row r="11" spans="1:10" x14ac:dyDescent="0.25">
      <c r="A11" s="55" t="s">
        <v>301</v>
      </c>
      <c r="B11" s="41">
        <v>1001260</v>
      </c>
      <c r="C11" s="39" t="s">
        <v>382</v>
      </c>
      <c r="D11" s="40" t="s">
        <v>14</v>
      </c>
      <c r="E11" s="40" t="str">
        <f>IFERROR(IF(INDEX('de para abc'!$C:$C,MATCH($B11,'de para abc'!$A:$A,0))=0,"C",INDEX('de para abc'!$C:$C,MATCH($B11,'de para abc'!$A:$A,0))),IFERROR(IF(INDEX('de para abc'!$C:$C,MATCH($C11,'de para abc'!$B:$B,0))=0,"C",INDEX('de para abc'!$C:$C,MATCH($C11,'de para abc'!$B:$B,0))),"C"))</f>
        <v>C</v>
      </c>
      <c r="F11" s="56">
        <v>1</v>
      </c>
    </row>
    <row r="12" spans="1:10" x14ac:dyDescent="0.25">
      <c r="A12" s="55" t="s">
        <v>301</v>
      </c>
      <c r="B12" s="41">
        <v>1000039</v>
      </c>
      <c r="C12" s="39" t="s">
        <v>16</v>
      </c>
      <c r="D12" s="40" t="s">
        <v>10</v>
      </c>
      <c r="E12" s="40" t="str">
        <f>IFERROR(IF(INDEX('de para abc'!$C:$C,MATCH($B12,'de para abc'!$A:$A,0))=0,"C",INDEX('de para abc'!$C:$C,MATCH($B12,'de para abc'!$A:$A,0))),IFERROR(IF(INDEX('de para abc'!$C:$C,MATCH($C12,'de para abc'!$B:$B,0))=0,"C",INDEX('de para abc'!$C:$C,MATCH($C12,'de para abc'!$B:$B,0))),"C"))</f>
        <v>A</v>
      </c>
      <c r="F12" s="56">
        <v>4</v>
      </c>
    </row>
    <row r="13" spans="1:10" x14ac:dyDescent="0.25">
      <c r="A13" s="55" t="s">
        <v>301</v>
      </c>
      <c r="B13" s="41">
        <v>1001029</v>
      </c>
      <c r="C13" s="39" t="s">
        <v>384</v>
      </c>
      <c r="D13" s="40" t="s">
        <v>14</v>
      </c>
      <c r="E13" s="40" t="str">
        <f>IFERROR(IF(INDEX('de para abc'!$C:$C,MATCH($B13,'de para abc'!$A:$A,0))=0,"C",INDEX('de para abc'!$C:$C,MATCH($B13,'de para abc'!$A:$A,0))),IFERROR(IF(INDEX('de para abc'!$C:$C,MATCH($C13,'de para abc'!$B:$B,0))=0,"C",INDEX('de para abc'!$C:$C,MATCH($C13,'de para abc'!$B:$B,0))),"C"))</f>
        <v>C</v>
      </c>
      <c r="F13" s="56">
        <v>1</v>
      </c>
    </row>
    <row r="14" spans="1:10" x14ac:dyDescent="0.25">
      <c r="A14" s="55" t="s">
        <v>301</v>
      </c>
      <c r="B14" s="41">
        <v>1000049</v>
      </c>
      <c r="C14" s="39" t="s">
        <v>48</v>
      </c>
      <c r="D14" s="40" t="s">
        <v>10</v>
      </c>
      <c r="E14" s="40" t="str">
        <f>IFERROR(IF(INDEX('de para abc'!$C:$C,MATCH($B14,'de para abc'!$A:$A,0))=0,"C",INDEX('de para abc'!$C:$C,MATCH($B14,'de para abc'!$A:$A,0))),IFERROR(IF(INDEX('de para abc'!$C:$C,MATCH($C14,'de para abc'!$B:$B,0))=0,"C",INDEX('de para abc'!$C:$C,MATCH($C14,'de para abc'!$B:$B,0))),"C"))</f>
        <v>A</v>
      </c>
      <c r="F14" s="56">
        <v>3</v>
      </c>
    </row>
    <row r="15" spans="1:10" x14ac:dyDescent="0.25">
      <c r="A15" s="55" t="s">
        <v>301</v>
      </c>
      <c r="B15" s="41">
        <v>1001262</v>
      </c>
      <c r="C15" s="39" t="s">
        <v>388</v>
      </c>
      <c r="D15" s="40" t="s">
        <v>14</v>
      </c>
      <c r="E15" s="40" t="str">
        <f>IFERROR(IF(INDEX('de para abc'!$C:$C,MATCH($B15,'de para abc'!$A:$A,0))=0,"C",INDEX('de para abc'!$C:$C,MATCH($B15,'de para abc'!$A:$A,0))),IFERROR(IF(INDEX('de para abc'!$C:$C,MATCH($C15,'de para abc'!$B:$B,0))=0,"C",INDEX('de para abc'!$C:$C,MATCH($C15,'de para abc'!$B:$B,0))),"C"))</f>
        <v>B</v>
      </c>
      <c r="F15" s="56">
        <v>3</v>
      </c>
    </row>
    <row r="16" spans="1:10" x14ac:dyDescent="0.25">
      <c r="A16" s="55" t="s">
        <v>301</v>
      </c>
      <c r="B16" s="41">
        <v>1000065</v>
      </c>
      <c r="C16" s="39" t="s">
        <v>131</v>
      </c>
      <c r="D16" s="40" t="s">
        <v>10</v>
      </c>
      <c r="E16" s="40" t="str">
        <f>IFERROR(IF(INDEX('de para abc'!$C:$C,MATCH($B16,'de para abc'!$A:$A,0))=0,"C",INDEX('de para abc'!$C:$C,MATCH($B16,'de para abc'!$A:$A,0))),IFERROR(IF(INDEX('de para abc'!$C:$C,MATCH($C16,'de para abc'!$B:$B,0))=0,"C",INDEX('de para abc'!$C:$C,MATCH($C16,'de para abc'!$B:$B,0))),"C"))</f>
        <v>A</v>
      </c>
      <c r="F16" s="56">
        <v>3</v>
      </c>
    </row>
    <row r="17" spans="1:6" x14ac:dyDescent="0.25">
      <c r="A17" s="55" t="s">
        <v>301</v>
      </c>
      <c r="B17" s="41">
        <v>1001307</v>
      </c>
      <c r="C17" s="39" t="s">
        <v>389</v>
      </c>
      <c r="D17" s="40" t="s">
        <v>14</v>
      </c>
      <c r="E17" s="40" t="str">
        <f>IFERROR(IF(INDEX('de para abc'!$C:$C,MATCH($B17,'de para abc'!$A:$A,0))=0,"C",INDEX('de para abc'!$C:$C,MATCH($B17,'de para abc'!$A:$A,0))),IFERROR(IF(INDEX('de para abc'!$C:$C,MATCH($C17,'de para abc'!$B:$B,0))=0,"C",INDEX('de para abc'!$C:$C,MATCH($C17,'de para abc'!$B:$B,0))),"C"))</f>
        <v>A</v>
      </c>
      <c r="F17" s="56">
        <v>1</v>
      </c>
    </row>
    <row r="18" spans="1:6" x14ac:dyDescent="0.25">
      <c r="A18" s="55" t="s">
        <v>301</v>
      </c>
      <c r="B18" s="41">
        <v>1001185</v>
      </c>
      <c r="C18" s="39" t="s">
        <v>394</v>
      </c>
      <c r="D18" s="40" t="s">
        <v>14</v>
      </c>
      <c r="E18" s="40" t="str">
        <f>IFERROR(IF(INDEX('de para abc'!$C:$C,MATCH($B18,'de para abc'!$A:$A,0))=0,"C",INDEX('de para abc'!$C:$C,MATCH($B18,'de para abc'!$A:$A,0))),IFERROR(IF(INDEX('de para abc'!$C:$C,MATCH($C18,'de para abc'!$B:$B,0))=0,"C",INDEX('de para abc'!$C:$C,MATCH($C18,'de para abc'!$B:$B,0))),"C"))</f>
        <v>C</v>
      </c>
      <c r="F18" s="56">
        <v>1</v>
      </c>
    </row>
    <row r="19" spans="1:6" x14ac:dyDescent="0.25">
      <c r="A19" s="55" t="s">
        <v>301</v>
      </c>
      <c r="B19" s="41">
        <v>1001667</v>
      </c>
      <c r="C19" s="39" t="s">
        <v>139</v>
      </c>
      <c r="D19" s="40" t="s">
        <v>18</v>
      </c>
      <c r="E19" s="40" t="str">
        <f>IFERROR(IF(INDEX('de para abc'!$C:$C,MATCH($B19,'de para abc'!$A:$A,0))=0,"C",INDEX('de para abc'!$C:$C,MATCH($B19,'de para abc'!$A:$A,0))),IFERROR(IF(INDEX('de para abc'!$C:$C,MATCH($C19,'de para abc'!$B:$B,0))=0,"C",INDEX('de para abc'!$C:$C,MATCH($C19,'de para abc'!$B:$B,0))),"C"))</f>
        <v>A</v>
      </c>
      <c r="F19" s="56">
        <v>1</v>
      </c>
    </row>
    <row r="20" spans="1:6" x14ac:dyDescent="0.25">
      <c r="A20" s="55" t="s">
        <v>301</v>
      </c>
      <c r="B20" s="41">
        <v>1001122</v>
      </c>
      <c r="C20" s="39" t="s">
        <v>140</v>
      </c>
      <c r="D20" s="40" t="s">
        <v>10</v>
      </c>
      <c r="E20" s="40" t="str">
        <f>IFERROR(IF(INDEX('de para abc'!$C:$C,MATCH($B20,'de para abc'!$A:$A,0))=0,"C",INDEX('de para abc'!$C:$C,MATCH($B20,'de para abc'!$A:$A,0))),IFERROR(IF(INDEX('de para abc'!$C:$C,MATCH($C20,'de para abc'!$B:$B,0))=0,"C",INDEX('de para abc'!$C:$C,MATCH($C20,'de para abc'!$B:$B,0))),"C"))</f>
        <v>A</v>
      </c>
      <c r="F20" s="56">
        <v>3</v>
      </c>
    </row>
    <row r="21" spans="1:6" x14ac:dyDescent="0.25">
      <c r="A21" s="55" t="s">
        <v>301</v>
      </c>
      <c r="B21" s="41">
        <v>1000713</v>
      </c>
      <c r="C21" s="39" t="s">
        <v>396</v>
      </c>
      <c r="D21" s="40" t="s">
        <v>10</v>
      </c>
      <c r="E21" s="40" t="str">
        <f>IFERROR(IF(INDEX('de para abc'!$C:$C,MATCH($B21,'de para abc'!$A:$A,0))=0,"C",INDEX('de para abc'!$C:$C,MATCH($B21,'de para abc'!$A:$A,0))),IFERROR(IF(INDEX('de para abc'!$C:$C,MATCH($C21,'de para abc'!$B:$B,0))=0,"C",INDEX('de para abc'!$C:$C,MATCH($C21,'de para abc'!$B:$B,0))),"C"))</f>
        <v>C</v>
      </c>
      <c r="F21" s="56">
        <v>1</v>
      </c>
    </row>
    <row r="22" spans="1:6" x14ac:dyDescent="0.25">
      <c r="A22" s="55" t="s">
        <v>301</v>
      </c>
      <c r="B22" s="41">
        <v>1000149</v>
      </c>
      <c r="C22" s="39" t="s">
        <v>397</v>
      </c>
      <c r="D22" s="40" t="s">
        <v>14</v>
      </c>
      <c r="E22" s="40" t="str">
        <f>IFERROR(IF(INDEX('de para abc'!$C:$C,MATCH($B22,'de para abc'!$A:$A,0))=0,"C",INDEX('de para abc'!$C:$C,MATCH($B22,'de para abc'!$A:$A,0))),IFERROR(IF(INDEX('de para abc'!$C:$C,MATCH($C22,'de para abc'!$B:$B,0))=0,"C",INDEX('de para abc'!$C:$C,MATCH($C22,'de para abc'!$B:$B,0))),"C"))</f>
        <v>C</v>
      </c>
      <c r="F22" s="56">
        <v>1</v>
      </c>
    </row>
    <row r="23" spans="1:6" x14ac:dyDescent="0.25">
      <c r="A23" s="55" t="s">
        <v>301</v>
      </c>
      <c r="B23" s="41">
        <v>1000852</v>
      </c>
      <c r="C23" s="39" t="s">
        <v>1793</v>
      </c>
      <c r="D23" s="40" t="s">
        <v>71</v>
      </c>
      <c r="E23" s="40" t="str">
        <f>IFERROR(IF(INDEX('de para abc'!$C:$C,MATCH($B23,'de para abc'!$A:$A,0))=0,"C",INDEX('de para abc'!$C:$C,MATCH($B23,'de para abc'!$A:$A,0))),IFERROR(IF(INDEX('de para abc'!$C:$C,MATCH($C23,'de para abc'!$B:$B,0))=0,"C",INDEX('de para abc'!$C:$C,MATCH($C23,'de para abc'!$B:$B,0))),"C"))</f>
        <v>C</v>
      </c>
      <c r="F23" s="56">
        <v>1</v>
      </c>
    </row>
    <row r="24" spans="1:6" x14ac:dyDescent="0.25">
      <c r="A24" s="55" t="s">
        <v>301</v>
      </c>
      <c r="B24" s="41">
        <v>1002012</v>
      </c>
      <c r="C24" s="39" t="s">
        <v>3448</v>
      </c>
      <c r="D24" s="40"/>
      <c r="E24" s="40" t="str">
        <f>IFERROR(IF(INDEX('de para abc'!$C:$C,MATCH($B24,'de para abc'!$A:$A,0))=0,"C",INDEX('de para abc'!$C:$C,MATCH($B24,'de para abc'!$A:$A,0))),IFERROR(IF(INDEX('de para abc'!$C:$C,MATCH($C24,'de para abc'!$B:$B,0))=0,"C",INDEX('de para abc'!$C:$C,MATCH($C24,'de para abc'!$B:$B,0))),"C"))</f>
        <v>C</v>
      </c>
      <c r="F24" s="56">
        <v>5</v>
      </c>
    </row>
    <row r="25" spans="1:6" x14ac:dyDescent="0.25">
      <c r="A25" s="55" t="s">
        <v>301</v>
      </c>
      <c r="B25" s="41">
        <v>1000834</v>
      </c>
      <c r="C25" s="39" t="s">
        <v>399</v>
      </c>
      <c r="D25" s="40" t="s">
        <v>14</v>
      </c>
      <c r="E25" s="40" t="str">
        <f>IFERROR(IF(INDEX('de para abc'!$C:$C,MATCH($B25,'de para abc'!$A:$A,0))=0,"C",INDEX('de para abc'!$C:$C,MATCH($B25,'de para abc'!$A:$A,0))),IFERROR(IF(INDEX('de para abc'!$C:$C,MATCH($C25,'de para abc'!$B:$B,0))=0,"C",INDEX('de para abc'!$C:$C,MATCH($C25,'de para abc'!$B:$B,0))),"C"))</f>
        <v>C</v>
      </c>
      <c r="F25" s="56">
        <v>3</v>
      </c>
    </row>
    <row r="26" spans="1:6" x14ac:dyDescent="0.25">
      <c r="A26" s="55" t="s">
        <v>301</v>
      </c>
      <c r="B26" s="41">
        <v>1000163</v>
      </c>
      <c r="C26" s="39" t="s">
        <v>400</v>
      </c>
      <c r="D26" s="40" t="s">
        <v>10</v>
      </c>
      <c r="E26" s="40" t="str">
        <f>IFERROR(IF(INDEX('de para abc'!$C:$C,MATCH($B26,'de para abc'!$A:$A,0))=0,"C",INDEX('de para abc'!$C:$C,MATCH($B26,'de para abc'!$A:$A,0))),IFERROR(IF(INDEX('de para abc'!$C:$C,MATCH($C26,'de para abc'!$B:$B,0))=0,"C",INDEX('de para abc'!$C:$C,MATCH($C26,'de para abc'!$B:$B,0))),"C"))</f>
        <v>C</v>
      </c>
      <c r="F26" s="56">
        <v>3</v>
      </c>
    </row>
    <row r="27" spans="1:6" x14ac:dyDescent="0.25">
      <c r="A27" s="55" t="s">
        <v>301</v>
      </c>
      <c r="B27" s="41">
        <v>1006833</v>
      </c>
      <c r="C27" s="39" t="s">
        <v>401</v>
      </c>
      <c r="D27" s="40" t="s">
        <v>18</v>
      </c>
      <c r="E27" s="40" t="str">
        <f>IFERROR(IF(INDEX('de para abc'!$C:$C,MATCH($B27,'de para abc'!$A:$A,0))=0,"C",INDEX('de para abc'!$C:$C,MATCH($B27,'de para abc'!$A:$A,0))),IFERROR(IF(INDEX('de para abc'!$C:$C,MATCH($C27,'de para abc'!$B:$B,0))=0,"C",INDEX('de para abc'!$C:$C,MATCH($C27,'de para abc'!$B:$B,0))),"C"))</f>
        <v>C</v>
      </c>
      <c r="F27" s="56">
        <v>3</v>
      </c>
    </row>
    <row r="28" spans="1:6" x14ac:dyDescent="0.25">
      <c r="A28" s="55" t="s">
        <v>301</v>
      </c>
      <c r="B28" s="41">
        <v>1006842</v>
      </c>
      <c r="C28" s="39" t="s">
        <v>2056</v>
      </c>
      <c r="D28" s="40" t="s">
        <v>10</v>
      </c>
      <c r="E28" s="40" t="str">
        <f>IFERROR(IF(INDEX('de para abc'!$C:$C,MATCH($B28,'de para abc'!$A:$A,0))=0,"C",INDEX('de para abc'!$C:$C,MATCH($B28,'de para abc'!$A:$A,0))),IFERROR(IF(INDEX('de para abc'!$C:$C,MATCH($C28,'de para abc'!$B:$B,0))=0,"C",INDEX('de para abc'!$C:$C,MATCH($C28,'de para abc'!$B:$B,0))),"C"))</f>
        <v>C</v>
      </c>
      <c r="F28" s="56">
        <v>6</v>
      </c>
    </row>
    <row r="29" spans="1:6" x14ac:dyDescent="0.25">
      <c r="A29" s="55" t="s">
        <v>301</v>
      </c>
      <c r="B29" s="41">
        <v>1006850</v>
      </c>
      <c r="C29" s="39" t="s">
        <v>402</v>
      </c>
      <c r="D29" s="40" t="s">
        <v>10</v>
      </c>
      <c r="E29" s="40" t="str">
        <f>IFERROR(IF(INDEX('de para abc'!$C:$C,MATCH($B29,'de para abc'!$A:$A,0))=0,"C",INDEX('de para abc'!$C:$C,MATCH($B29,'de para abc'!$A:$A,0))),IFERROR(IF(INDEX('de para abc'!$C:$C,MATCH($C29,'de para abc'!$B:$B,0))=0,"C",INDEX('de para abc'!$C:$C,MATCH($C29,'de para abc'!$B:$B,0))),"C"))</f>
        <v>C</v>
      </c>
      <c r="F29" s="56">
        <v>4</v>
      </c>
    </row>
    <row r="30" spans="1:6" x14ac:dyDescent="0.25">
      <c r="A30" s="55" t="s">
        <v>301</v>
      </c>
      <c r="B30" s="41">
        <v>100120</v>
      </c>
      <c r="C30" s="39" t="s">
        <v>403</v>
      </c>
      <c r="D30" s="40" t="s">
        <v>18</v>
      </c>
      <c r="E30" s="40" t="str">
        <f>IFERROR(IF(INDEX('de para abc'!$C:$C,MATCH($B30,'de para abc'!$A:$A,0))=0,"C",INDEX('de para abc'!$C:$C,MATCH($B30,'de para abc'!$A:$A,0))),IFERROR(IF(INDEX('de para abc'!$C:$C,MATCH($C30,'de para abc'!$B:$B,0))=0,"C",INDEX('de para abc'!$C:$C,MATCH($C30,'de para abc'!$B:$B,0))),"C"))</f>
        <v>C</v>
      </c>
      <c r="F30" s="56">
        <v>2</v>
      </c>
    </row>
    <row r="31" spans="1:6" x14ac:dyDescent="0.25">
      <c r="A31" s="55" t="s">
        <v>301</v>
      </c>
      <c r="B31" s="41">
        <v>1006835</v>
      </c>
      <c r="C31" s="39" t="s">
        <v>404</v>
      </c>
      <c r="D31" s="40" t="s">
        <v>10</v>
      </c>
      <c r="E31" s="40" t="str">
        <f>IFERROR(IF(INDEX('de para abc'!$C:$C,MATCH($B31,'de para abc'!$A:$A,0))=0,"C",INDEX('de para abc'!$C:$C,MATCH($B31,'de para abc'!$A:$A,0))),IFERROR(IF(INDEX('de para abc'!$C:$C,MATCH($C31,'de para abc'!$B:$B,0))=0,"C",INDEX('de para abc'!$C:$C,MATCH($C31,'de para abc'!$B:$B,0))),"C"))</f>
        <v>C</v>
      </c>
      <c r="F31" s="56">
        <v>4</v>
      </c>
    </row>
    <row r="32" spans="1:6" x14ac:dyDescent="0.25">
      <c r="A32" s="55" t="s">
        <v>301</v>
      </c>
      <c r="B32" s="41">
        <v>1006836</v>
      </c>
      <c r="C32" s="39" t="s">
        <v>405</v>
      </c>
      <c r="D32" s="40" t="s">
        <v>10</v>
      </c>
      <c r="E32" s="40" t="str">
        <f>IFERROR(IF(INDEX('de para abc'!$C:$C,MATCH($B32,'de para abc'!$A:$A,0))=0,"C",INDEX('de para abc'!$C:$C,MATCH($B32,'de para abc'!$A:$A,0))),IFERROR(IF(INDEX('de para abc'!$C:$C,MATCH($C32,'de para abc'!$B:$B,0))=0,"C",INDEX('de para abc'!$C:$C,MATCH($C32,'de para abc'!$B:$B,0))),"C"))</f>
        <v>C</v>
      </c>
      <c r="F32" s="56">
        <v>4</v>
      </c>
    </row>
    <row r="33" spans="1:6" x14ac:dyDescent="0.25">
      <c r="A33" s="55" t="s">
        <v>301</v>
      </c>
      <c r="B33" s="41">
        <v>1006837</v>
      </c>
      <c r="C33" s="39" t="s">
        <v>406</v>
      </c>
      <c r="D33" s="40" t="s">
        <v>10</v>
      </c>
      <c r="E33" s="40" t="str">
        <f>IFERROR(IF(INDEX('de para abc'!$C:$C,MATCH($B33,'de para abc'!$A:$A,0))=0,"C",INDEX('de para abc'!$C:$C,MATCH($B33,'de para abc'!$A:$A,0))),IFERROR(IF(INDEX('de para abc'!$C:$C,MATCH($C33,'de para abc'!$B:$B,0))=0,"C",INDEX('de para abc'!$C:$C,MATCH($C33,'de para abc'!$B:$B,0))),"C"))</f>
        <v>C</v>
      </c>
      <c r="F33" s="56">
        <v>5</v>
      </c>
    </row>
    <row r="34" spans="1:6" x14ac:dyDescent="0.25">
      <c r="A34" s="55" t="s">
        <v>301</v>
      </c>
      <c r="B34" s="41">
        <v>1006827</v>
      </c>
      <c r="C34" s="39" t="s">
        <v>408</v>
      </c>
      <c r="D34" s="40" t="s">
        <v>10</v>
      </c>
      <c r="E34" s="40" t="str">
        <f>IFERROR(IF(INDEX('de para abc'!$C:$C,MATCH($B34,'de para abc'!$A:$A,0))=0,"C",INDEX('de para abc'!$C:$C,MATCH($B34,'de para abc'!$A:$A,0))),IFERROR(IF(INDEX('de para abc'!$C:$C,MATCH($C34,'de para abc'!$B:$B,0))=0,"C",INDEX('de para abc'!$C:$C,MATCH($C34,'de para abc'!$B:$B,0))),"C"))</f>
        <v>C</v>
      </c>
      <c r="F34" s="56">
        <v>6</v>
      </c>
    </row>
    <row r="35" spans="1:6" x14ac:dyDescent="0.25">
      <c r="A35" s="55" t="s">
        <v>301</v>
      </c>
      <c r="B35" s="41">
        <v>1006828</v>
      </c>
      <c r="C35" s="39" t="s">
        <v>409</v>
      </c>
      <c r="D35" s="40" t="s">
        <v>10</v>
      </c>
      <c r="E35" s="40" t="str">
        <f>IFERROR(IF(INDEX('de para abc'!$C:$C,MATCH($B35,'de para abc'!$A:$A,0))=0,"C",INDEX('de para abc'!$C:$C,MATCH($B35,'de para abc'!$A:$A,0))),IFERROR(IF(INDEX('de para abc'!$C:$C,MATCH($C35,'de para abc'!$B:$B,0))=0,"C",INDEX('de para abc'!$C:$C,MATCH($C35,'de para abc'!$B:$B,0))),"C"))</f>
        <v>C</v>
      </c>
      <c r="F35" s="56">
        <v>6</v>
      </c>
    </row>
    <row r="36" spans="1:6" x14ac:dyDescent="0.25">
      <c r="A36" s="55" t="s">
        <v>301</v>
      </c>
      <c r="B36" s="41">
        <v>1002103</v>
      </c>
      <c r="C36" s="39" t="s">
        <v>410</v>
      </c>
      <c r="D36" s="40" t="s">
        <v>10</v>
      </c>
      <c r="E36" s="40" t="str">
        <f>IFERROR(IF(INDEX('de para abc'!$C:$C,MATCH($B36,'de para abc'!$A:$A,0))=0,"C",INDEX('de para abc'!$C:$C,MATCH($B36,'de para abc'!$A:$A,0))),IFERROR(IF(INDEX('de para abc'!$C:$C,MATCH($C36,'de para abc'!$B:$B,0))=0,"C",INDEX('de para abc'!$C:$C,MATCH($C36,'de para abc'!$B:$B,0))),"C"))</f>
        <v>C</v>
      </c>
      <c r="F36" s="56">
        <v>1</v>
      </c>
    </row>
    <row r="37" spans="1:6" x14ac:dyDescent="0.25">
      <c r="A37" s="55" t="s">
        <v>301</v>
      </c>
      <c r="B37" s="41">
        <v>1000169</v>
      </c>
      <c r="C37" s="39" t="s">
        <v>415</v>
      </c>
      <c r="D37" s="40" t="s">
        <v>10</v>
      </c>
      <c r="E37" s="40" t="str">
        <f>IFERROR(IF(INDEX('de para abc'!$C:$C,MATCH($B37,'de para abc'!$A:$A,0))=0,"C",INDEX('de para abc'!$C:$C,MATCH($B37,'de para abc'!$A:$A,0))),IFERROR(IF(INDEX('de para abc'!$C:$C,MATCH($C37,'de para abc'!$B:$B,0))=0,"C",INDEX('de para abc'!$C:$C,MATCH($C37,'de para abc'!$B:$B,0))),"C"))</f>
        <v>C</v>
      </c>
      <c r="F37" s="56">
        <v>1</v>
      </c>
    </row>
    <row r="38" spans="1:6" x14ac:dyDescent="0.25">
      <c r="A38" s="55" t="s">
        <v>301</v>
      </c>
      <c r="B38" s="41">
        <v>1006829</v>
      </c>
      <c r="C38" s="39" t="s">
        <v>416</v>
      </c>
      <c r="D38" s="40" t="s">
        <v>10</v>
      </c>
      <c r="E38" s="40" t="str">
        <f>IFERROR(IF(INDEX('de para abc'!$C:$C,MATCH($B38,'de para abc'!$A:$A,0))=0,"C",INDEX('de para abc'!$C:$C,MATCH($B38,'de para abc'!$A:$A,0))),IFERROR(IF(INDEX('de para abc'!$C:$C,MATCH($C38,'de para abc'!$B:$B,0))=0,"C",INDEX('de para abc'!$C:$C,MATCH($C38,'de para abc'!$B:$B,0))),"C"))</f>
        <v>C</v>
      </c>
      <c r="F38" s="56">
        <v>4</v>
      </c>
    </row>
    <row r="39" spans="1:6" x14ac:dyDescent="0.25">
      <c r="A39" s="55" t="s">
        <v>301</v>
      </c>
      <c r="B39" s="41">
        <v>1006839</v>
      </c>
      <c r="C39" s="39" t="s">
        <v>417</v>
      </c>
      <c r="D39" s="40" t="s">
        <v>18</v>
      </c>
      <c r="E39" s="40" t="str">
        <f>IFERROR(IF(INDEX('de para abc'!$C:$C,MATCH($B39,'de para abc'!$A:$A,0))=0,"C",INDEX('de para abc'!$C:$C,MATCH($B39,'de para abc'!$A:$A,0))),IFERROR(IF(INDEX('de para abc'!$C:$C,MATCH($C39,'de para abc'!$B:$B,0))=0,"C",INDEX('de para abc'!$C:$C,MATCH($C39,'de para abc'!$B:$B,0))),"C"))</f>
        <v>C</v>
      </c>
      <c r="F39" s="56">
        <v>1</v>
      </c>
    </row>
    <row r="40" spans="1:6" x14ac:dyDescent="0.25">
      <c r="A40" s="55" t="s">
        <v>301</v>
      </c>
      <c r="B40" s="41">
        <v>1001677</v>
      </c>
      <c r="C40" s="39" t="s">
        <v>418</v>
      </c>
      <c r="D40" s="40" t="s">
        <v>18</v>
      </c>
      <c r="E40" s="40" t="str">
        <f>IFERROR(IF(INDEX('de para abc'!$C:$C,MATCH($B40,'de para abc'!$A:$A,0))=0,"C",INDEX('de para abc'!$C:$C,MATCH($B40,'de para abc'!$A:$A,0))),IFERROR(IF(INDEX('de para abc'!$C:$C,MATCH($C40,'de para abc'!$B:$B,0))=0,"C",INDEX('de para abc'!$C:$C,MATCH($C40,'de para abc'!$B:$B,0))),"C"))</f>
        <v>C</v>
      </c>
      <c r="F40" s="56">
        <v>2</v>
      </c>
    </row>
    <row r="41" spans="1:6" x14ac:dyDescent="0.25">
      <c r="A41" s="55" t="s">
        <v>301</v>
      </c>
      <c r="B41" s="41">
        <v>1006950</v>
      </c>
      <c r="C41" s="39" t="s">
        <v>419</v>
      </c>
      <c r="D41" s="40" t="s">
        <v>18</v>
      </c>
      <c r="E41" s="40" t="str">
        <f>IFERROR(IF(INDEX('de para abc'!$C:$C,MATCH($B41,'de para abc'!$A:$A,0))=0,"C",INDEX('de para abc'!$C:$C,MATCH($B41,'de para abc'!$A:$A,0))),IFERROR(IF(INDEX('de para abc'!$C:$C,MATCH($C41,'de para abc'!$B:$B,0))=0,"C",INDEX('de para abc'!$C:$C,MATCH($C41,'de para abc'!$B:$B,0))),"C"))</f>
        <v>C</v>
      </c>
      <c r="F41" s="56">
        <v>4</v>
      </c>
    </row>
    <row r="42" spans="1:6" x14ac:dyDescent="0.25">
      <c r="A42" s="55" t="s">
        <v>301</v>
      </c>
      <c r="B42" s="41">
        <v>1006831</v>
      </c>
      <c r="C42" s="39" t="s">
        <v>421</v>
      </c>
      <c r="D42" s="40" t="s">
        <v>10</v>
      </c>
      <c r="E42" s="40" t="str">
        <f>IFERROR(IF(INDEX('de para abc'!$C:$C,MATCH($B42,'de para abc'!$A:$A,0))=0,"C",INDEX('de para abc'!$C:$C,MATCH($B42,'de para abc'!$A:$A,0))),IFERROR(IF(INDEX('de para abc'!$C:$C,MATCH($C42,'de para abc'!$B:$B,0))=0,"C",INDEX('de para abc'!$C:$C,MATCH($C42,'de para abc'!$B:$B,0))),"C"))</f>
        <v>C</v>
      </c>
      <c r="F42" s="56">
        <v>4</v>
      </c>
    </row>
    <row r="43" spans="1:6" x14ac:dyDescent="0.25">
      <c r="A43" s="55" t="s">
        <v>301</v>
      </c>
      <c r="B43" s="41">
        <v>1001676</v>
      </c>
      <c r="C43" s="39" t="s">
        <v>421</v>
      </c>
      <c r="D43" s="40" t="s">
        <v>18</v>
      </c>
      <c r="E43" s="40" t="str">
        <f>IFERROR(IF(INDEX('de para abc'!$C:$C,MATCH($B43,'de para abc'!$A:$A,0))=0,"C",INDEX('de para abc'!$C:$C,MATCH($B43,'de para abc'!$A:$A,0))),IFERROR(IF(INDEX('de para abc'!$C:$C,MATCH($C43,'de para abc'!$B:$B,0))=0,"C",INDEX('de para abc'!$C:$C,MATCH($C43,'de para abc'!$B:$B,0))),"C"))</f>
        <v>C</v>
      </c>
      <c r="F43" s="56">
        <v>0</v>
      </c>
    </row>
    <row r="44" spans="1:6" x14ac:dyDescent="0.25">
      <c r="A44" s="55" t="s">
        <v>301</v>
      </c>
      <c r="B44" s="41">
        <v>1006832</v>
      </c>
      <c r="C44" s="39" t="s">
        <v>422</v>
      </c>
      <c r="D44" s="40" t="s">
        <v>10</v>
      </c>
      <c r="E44" s="40" t="str">
        <f>IFERROR(IF(INDEX('de para abc'!$C:$C,MATCH($B44,'de para abc'!$A:$A,0))=0,"C",INDEX('de para abc'!$C:$C,MATCH($B44,'de para abc'!$A:$A,0))),IFERROR(IF(INDEX('de para abc'!$C:$C,MATCH($C44,'de para abc'!$B:$B,0))=0,"C",INDEX('de para abc'!$C:$C,MATCH($C44,'de para abc'!$B:$B,0))),"C"))</f>
        <v>C</v>
      </c>
      <c r="F44" s="56">
        <v>10</v>
      </c>
    </row>
    <row r="45" spans="1:6" x14ac:dyDescent="0.25">
      <c r="A45" s="55" t="s">
        <v>301</v>
      </c>
      <c r="B45" s="41">
        <v>1000838</v>
      </c>
      <c r="C45" s="39" t="s">
        <v>411</v>
      </c>
      <c r="D45" s="40" t="s">
        <v>14</v>
      </c>
      <c r="E45" s="40" t="str">
        <f>IFERROR(IF(INDEX('de para abc'!$C:$C,MATCH($B45,'de para abc'!$A:$A,0))=0,"C",INDEX('de para abc'!$C:$C,MATCH($B45,'de para abc'!$A:$A,0))),IFERROR(IF(INDEX('de para abc'!$C:$C,MATCH($C45,'de para abc'!$B:$B,0))=0,"C",INDEX('de para abc'!$C:$C,MATCH($C45,'de para abc'!$B:$B,0))),"C"))</f>
        <v>C</v>
      </c>
      <c r="F45" s="56">
        <v>1</v>
      </c>
    </row>
    <row r="46" spans="1:6" x14ac:dyDescent="0.25">
      <c r="A46" s="55" t="s">
        <v>301</v>
      </c>
      <c r="B46" s="41">
        <v>1000167</v>
      </c>
      <c r="C46" s="39" t="s">
        <v>412</v>
      </c>
      <c r="D46" s="40" t="s">
        <v>10</v>
      </c>
      <c r="E46" s="40" t="str">
        <f>IFERROR(IF(INDEX('de para abc'!$C:$C,MATCH($B46,'de para abc'!$A:$A,0))=0,"C",INDEX('de para abc'!$C:$C,MATCH($B46,'de para abc'!$A:$A,0))),IFERROR(IF(INDEX('de para abc'!$C:$C,MATCH($C46,'de para abc'!$B:$B,0))=0,"C",INDEX('de para abc'!$C:$C,MATCH($C46,'de para abc'!$B:$B,0))),"C"))</f>
        <v>B</v>
      </c>
      <c r="F46" s="56">
        <v>3</v>
      </c>
    </row>
    <row r="47" spans="1:6" x14ac:dyDescent="0.25">
      <c r="A47" s="55" t="s">
        <v>301</v>
      </c>
      <c r="B47" s="41">
        <v>1000837</v>
      </c>
      <c r="C47" s="39" t="s">
        <v>413</v>
      </c>
      <c r="D47" s="40" t="s">
        <v>14</v>
      </c>
      <c r="E47" s="40" t="str">
        <f>IFERROR(IF(INDEX('de para abc'!$C:$C,MATCH($B47,'de para abc'!$A:$A,0))=0,"C",INDEX('de para abc'!$C:$C,MATCH($B47,'de para abc'!$A:$A,0))),IFERROR(IF(INDEX('de para abc'!$C:$C,MATCH($C47,'de para abc'!$B:$B,0))=0,"C",INDEX('de para abc'!$C:$C,MATCH($C47,'de para abc'!$B:$B,0))),"C"))</f>
        <v>C</v>
      </c>
      <c r="F47" s="56">
        <v>3</v>
      </c>
    </row>
    <row r="48" spans="1:6" x14ac:dyDescent="0.25">
      <c r="A48" s="55" t="s">
        <v>301</v>
      </c>
      <c r="B48" s="41">
        <v>1001218</v>
      </c>
      <c r="C48" s="39" t="s">
        <v>423</v>
      </c>
      <c r="D48" s="40" t="s">
        <v>14</v>
      </c>
      <c r="E48" s="40" t="str">
        <f>IFERROR(IF(INDEX('de para abc'!$C:$C,MATCH($B48,'de para abc'!$A:$A,0))=0,"C",INDEX('de para abc'!$C:$C,MATCH($B48,'de para abc'!$A:$A,0))),IFERROR(IF(INDEX('de para abc'!$C:$C,MATCH($C48,'de para abc'!$B:$B,0))=0,"C",INDEX('de para abc'!$C:$C,MATCH($C48,'de para abc'!$B:$B,0))),"C"))</f>
        <v>C</v>
      </c>
      <c r="F48" s="56">
        <v>1</v>
      </c>
    </row>
    <row r="49" spans="1:6" x14ac:dyDescent="0.25">
      <c r="A49" s="55" t="s">
        <v>301</v>
      </c>
      <c r="B49" s="41">
        <v>1006834</v>
      </c>
      <c r="C49" s="39" t="s">
        <v>2060</v>
      </c>
      <c r="D49" s="40" t="s">
        <v>10</v>
      </c>
      <c r="E49" s="40" t="str">
        <f>IFERROR(IF(INDEX('de para abc'!$C:$C,MATCH($B49,'de para abc'!$A:$A,0))=0,"C",INDEX('de para abc'!$C:$C,MATCH($B49,'de para abc'!$A:$A,0))),IFERROR(IF(INDEX('de para abc'!$C:$C,MATCH($C49,'de para abc'!$B:$B,0))=0,"C",INDEX('de para abc'!$C:$C,MATCH($C49,'de para abc'!$B:$B,0))),"C"))</f>
        <v>C</v>
      </c>
      <c r="F49" s="56">
        <v>0</v>
      </c>
    </row>
    <row r="50" spans="1:6" x14ac:dyDescent="0.25">
      <c r="A50" s="55" t="s">
        <v>301</v>
      </c>
      <c r="B50" s="41">
        <v>1006952</v>
      </c>
      <c r="C50" s="39" t="s">
        <v>424</v>
      </c>
      <c r="D50" s="40" t="s">
        <v>18</v>
      </c>
      <c r="E50" s="40" t="str">
        <f>IFERROR(IF(INDEX('de para abc'!$C:$C,MATCH($B50,'de para abc'!$A:$A,0))=0,"C",INDEX('de para abc'!$C:$C,MATCH($B50,'de para abc'!$A:$A,0))),IFERROR(IF(INDEX('de para abc'!$C:$C,MATCH($C50,'de para abc'!$B:$B,0))=0,"C",INDEX('de para abc'!$C:$C,MATCH($C50,'de para abc'!$B:$B,0))),"C"))</f>
        <v>C</v>
      </c>
      <c r="F50" s="56">
        <v>6</v>
      </c>
    </row>
    <row r="51" spans="1:6" x14ac:dyDescent="0.25">
      <c r="A51" s="55" t="s">
        <v>301</v>
      </c>
      <c r="B51" s="41">
        <v>1006951</v>
      </c>
      <c r="C51" s="39" t="s">
        <v>425</v>
      </c>
      <c r="D51" s="40" t="s">
        <v>18</v>
      </c>
      <c r="E51" s="40" t="str">
        <f>IFERROR(IF(INDEX('de para abc'!$C:$C,MATCH($B51,'de para abc'!$A:$A,0))=0,"C",INDEX('de para abc'!$C:$C,MATCH($B51,'de para abc'!$A:$A,0))),IFERROR(IF(INDEX('de para abc'!$C:$C,MATCH($C51,'de para abc'!$B:$B,0))=0,"C",INDEX('de para abc'!$C:$C,MATCH($C51,'de para abc'!$B:$B,0))),"C"))</f>
        <v>C</v>
      </c>
      <c r="F51" s="56">
        <v>8</v>
      </c>
    </row>
    <row r="52" spans="1:6" x14ac:dyDescent="0.25">
      <c r="A52" s="55" t="s">
        <v>301</v>
      </c>
      <c r="B52" s="41">
        <v>1006843</v>
      </c>
      <c r="C52" s="39" t="s">
        <v>427</v>
      </c>
      <c r="D52" s="40" t="s">
        <v>10</v>
      </c>
      <c r="E52" s="40" t="str">
        <f>IFERROR(IF(INDEX('de para abc'!$C:$C,MATCH($B52,'de para abc'!$A:$A,0))=0,"C",INDEX('de para abc'!$C:$C,MATCH($B52,'de para abc'!$A:$A,0))),IFERROR(IF(INDEX('de para abc'!$C:$C,MATCH($C52,'de para abc'!$B:$B,0))=0,"C",INDEX('de para abc'!$C:$C,MATCH($C52,'de para abc'!$B:$B,0))),"C"))</f>
        <v>C</v>
      </c>
      <c r="F52" s="56">
        <v>4</v>
      </c>
    </row>
    <row r="53" spans="1:6" x14ac:dyDescent="0.25">
      <c r="A53" s="55" t="s">
        <v>301</v>
      </c>
      <c r="B53" s="41">
        <v>1006844</v>
      </c>
      <c r="C53" s="39" t="s">
        <v>428</v>
      </c>
      <c r="D53" s="40" t="s">
        <v>10</v>
      </c>
      <c r="E53" s="40" t="str">
        <f>IFERROR(IF(INDEX('de para abc'!$C:$C,MATCH($B53,'de para abc'!$A:$A,0))=0,"C",INDEX('de para abc'!$C:$C,MATCH($B53,'de para abc'!$A:$A,0))),IFERROR(IF(INDEX('de para abc'!$C:$C,MATCH($C53,'de para abc'!$B:$B,0))=0,"C",INDEX('de para abc'!$C:$C,MATCH($C53,'de para abc'!$B:$B,0))),"C"))</f>
        <v>C</v>
      </c>
      <c r="F53" s="56">
        <v>7</v>
      </c>
    </row>
    <row r="54" spans="1:6" x14ac:dyDescent="0.25">
      <c r="A54" s="55" t="s">
        <v>301</v>
      </c>
      <c r="B54" s="41">
        <v>1006845</v>
      </c>
      <c r="C54" s="39" t="s">
        <v>429</v>
      </c>
      <c r="D54" s="40" t="s">
        <v>10</v>
      </c>
      <c r="E54" s="40" t="str">
        <f>IFERROR(IF(INDEX('de para abc'!$C:$C,MATCH($B54,'de para abc'!$A:$A,0))=0,"C",INDEX('de para abc'!$C:$C,MATCH($B54,'de para abc'!$A:$A,0))),IFERROR(IF(INDEX('de para abc'!$C:$C,MATCH($C54,'de para abc'!$B:$B,0))=0,"C",INDEX('de para abc'!$C:$C,MATCH($C54,'de para abc'!$B:$B,0))),"C"))</f>
        <v>C</v>
      </c>
      <c r="F54" s="56">
        <v>3</v>
      </c>
    </row>
    <row r="55" spans="1:6" x14ac:dyDescent="0.25">
      <c r="A55" s="55" t="s">
        <v>301</v>
      </c>
      <c r="B55" s="41">
        <v>1006846</v>
      </c>
      <c r="C55" s="39" t="s">
        <v>430</v>
      </c>
      <c r="D55" s="40" t="s">
        <v>10</v>
      </c>
      <c r="E55" s="40" t="str">
        <f>IFERROR(IF(INDEX('de para abc'!$C:$C,MATCH($B55,'de para abc'!$A:$A,0))=0,"C",INDEX('de para abc'!$C:$C,MATCH($B55,'de para abc'!$A:$A,0))),IFERROR(IF(INDEX('de para abc'!$C:$C,MATCH($C55,'de para abc'!$B:$B,0))=0,"C",INDEX('de para abc'!$C:$C,MATCH($C55,'de para abc'!$B:$B,0))),"C"))</f>
        <v>C</v>
      </c>
      <c r="F55" s="56">
        <v>3</v>
      </c>
    </row>
    <row r="56" spans="1:6" x14ac:dyDescent="0.25">
      <c r="A56" s="55" t="s">
        <v>301</v>
      </c>
      <c r="B56" s="41">
        <v>1006847</v>
      </c>
      <c r="C56" s="39" t="s">
        <v>434</v>
      </c>
      <c r="D56" s="40" t="s">
        <v>10</v>
      </c>
      <c r="E56" s="40" t="str">
        <f>IFERROR(IF(INDEX('de para abc'!$C:$C,MATCH($B56,'de para abc'!$A:$A,0))=0,"C",INDEX('de para abc'!$C:$C,MATCH($B56,'de para abc'!$A:$A,0))),IFERROR(IF(INDEX('de para abc'!$C:$C,MATCH($C56,'de para abc'!$B:$B,0))=0,"C",INDEX('de para abc'!$C:$C,MATCH($C56,'de para abc'!$B:$B,0))),"C"))</f>
        <v>C</v>
      </c>
      <c r="F56" s="56">
        <v>1</v>
      </c>
    </row>
    <row r="57" spans="1:6" x14ac:dyDescent="0.25">
      <c r="A57" s="55" t="s">
        <v>301</v>
      </c>
      <c r="B57" s="41">
        <v>1006848</v>
      </c>
      <c r="C57" s="39" t="s">
        <v>435</v>
      </c>
      <c r="D57" s="40" t="s">
        <v>10</v>
      </c>
      <c r="E57" s="40" t="str">
        <f>IFERROR(IF(INDEX('de para abc'!$C:$C,MATCH($B57,'de para abc'!$A:$A,0))=0,"C",INDEX('de para abc'!$C:$C,MATCH($B57,'de para abc'!$A:$A,0))),IFERROR(IF(INDEX('de para abc'!$C:$C,MATCH($C57,'de para abc'!$B:$B,0))=0,"C",INDEX('de para abc'!$C:$C,MATCH($C57,'de para abc'!$B:$B,0))),"C"))</f>
        <v>C</v>
      </c>
      <c r="F57" s="56">
        <v>4</v>
      </c>
    </row>
    <row r="58" spans="1:6" x14ac:dyDescent="0.25">
      <c r="A58" s="55" t="s">
        <v>301</v>
      </c>
      <c r="B58" s="41">
        <v>1006849</v>
      </c>
      <c r="C58" s="39" t="s">
        <v>436</v>
      </c>
      <c r="D58" s="40" t="s">
        <v>10</v>
      </c>
      <c r="E58" s="40" t="str">
        <f>IFERROR(IF(INDEX('de para abc'!$C:$C,MATCH($B58,'de para abc'!$A:$A,0))=0,"C",INDEX('de para abc'!$C:$C,MATCH($B58,'de para abc'!$A:$A,0))),IFERROR(IF(INDEX('de para abc'!$C:$C,MATCH($C58,'de para abc'!$B:$B,0))=0,"C",INDEX('de para abc'!$C:$C,MATCH($C58,'de para abc'!$B:$B,0))),"C"))</f>
        <v>C</v>
      </c>
      <c r="F58" s="56">
        <v>5</v>
      </c>
    </row>
    <row r="59" spans="1:6" x14ac:dyDescent="0.25">
      <c r="A59" s="55" t="s">
        <v>301</v>
      </c>
      <c r="B59" s="41">
        <v>1000205</v>
      </c>
      <c r="C59" s="39" t="s">
        <v>144</v>
      </c>
      <c r="D59" s="40" t="s">
        <v>10</v>
      </c>
      <c r="E59" s="40" t="str">
        <f>IFERROR(IF(INDEX('de para abc'!$C:$C,MATCH($B59,'de para abc'!$A:$A,0))=0,"C",INDEX('de para abc'!$C:$C,MATCH($B59,'de para abc'!$A:$A,0))),IFERROR(IF(INDEX('de para abc'!$C:$C,MATCH($C59,'de para abc'!$B:$B,0))=0,"C",INDEX('de para abc'!$C:$C,MATCH($C59,'de para abc'!$B:$B,0))),"C"))</f>
        <v>C</v>
      </c>
      <c r="F59" s="56">
        <v>6</v>
      </c>
    </row>
    <row r="60" spans="1:6" x14ac:dyDescent="0.25">
      <c r="A60" s="55" t="s">
        <v>301</v>
      </c>
      <c r="B60" s="41">
        <v>1001045</v>
      </c>
      <c r="C60" s="39" t="s">
        <v>145</v>
      </c>
      <c r="D60" s="40" t="s">
        <v>10</v>
      </c>
      <c r="E60" s="40" t="str">
        <f>IFERROR(IF(INDEX('de para abc'!$C:$C,MATCH($B60,'de para abc'!$A:$A,0))=0,"C",INDEX('de para abc'!$C:$C,MATCH($B60,'de para abc'!$A:$A,0))),IFERROR(IF(INDEX('de para abc'!$C:$C,MATCH($C60,'de para abc'!$B:$B,0))=0,"C",INDEX('de para abc'!$C:$C,MATCH($C60,'de para abc'!$B:$B,0))),"C"))</f>
        <v>A</v>
      </c>
      <c r="F60" s="56">
        <v>3</v>
      </c>
    </row>
    <row r="61" spans="1:6" x14ac:dyDescent="0.25">
      <c r="A61" s="55" t="s">
        <v>301</v>
      </c>
      <c r="B61" s="41">
        <v>1000224</v>
      </c>
      <c r="C61" s="39" t="s">
        <v>146</v>
      </c>
      <c r="D61" s="40" t="s">
        <v>14</v>
      </c>
      <c r="E61" s="40" t="str">
        <f>IFERROR(IF(INDEX('de para abc'!$C:$C,MATCH($B61,'de para abc'!$A:$A,0))=0,"C",INDEX('de para abc'!$C:$C,MATCH($B61,'de para abc'!$A:$A,0))),IFERROR(IF(INDEX('de para abc'!$C:$C,MATCH($C61,'de para abc'!$B:$B,0))=0,"C",INDEX('de para abc'!$C:$C,MATCH($C61,'de para abc'!$B:$B,0))),"C"))</f>
        <v>A</v>
      </c>
      <c r="F61" s="56">
        <v>2</v>
      </c>
    </row>
    <row r="62" spans="1:6" x14ac:dyDescent="0.25">
      <c r="A62" s="55" t="s">
        <v>301</v>
      </c>
      <c r="B62" s="41">
        <v>1000607</v>
      </c>
      <c r="C62" s="39" t="s">
        <v>442</v>
      </c>
      <c r="D62" s="40" t="s">
        <v>14</v>
      </c>
      <c r="E62" s="40" t="str">
        <f>IFERROR(IF(INDEX('de para abc'!$C:$C,MATCH($B62,'de para abc'!$A:$A,0))=0,"C",INDEX('de para abc'!$C:$C,MATCH($B62,'de para abc'!$A:$A,0))),IFERROR(IF(INDEX('de para abc'!$C:$C,MATCH($C62,'de para abc'!$B:$B,0))=0,"C",INDEX('de para abc'!$C:$C,MATCH($C62,'de para abc'!$B:$B,0))),"C"))</f>
        <v>C</v>
      </c>
      <c r="F62" s="56">
        <v>1</v>
      </c>
    </row>
    <row r="63" spans="1:6" x14ac:dyDescent="0.25">
      <c r="A63" s="55" t="s">
        <v>301</v>
      </c>
      <c r="B63" s="41">
        <v>1001299</v>
      </c>
      <c r="C63" s="39" t="s">
        <v>149</v>
      </c>
      <c r="D63" s="40" t="s">
        <v>14</v>
      </c>
      <c r="E63" s="40" t="str">
        <f>IFERROR(IF(INDEX('de para abc'!$C:$C,MATCH($B63,'de para abc'!$A:$A,0))=0,"C",INDEX('de para abc'!$C:$C,MATCH($B63,'de para abc'!$A:$A,0))),IFERROR(IF(INDEX('de para abc'!$C:$C,MATCH($C63,'de para abc'!$B:$B,0))=0,"C",INDEX('de para abc'!$C:$C,MATCH($C63,'de para abc'!$B:$B,0))),"C"))</f>
        <v>A</v>
      </c>
      <c r="F63" s="56">
        <v>1</v>
      </c>
    </row>
    <row r="64" spans="1:6" x14ac:dyDescent="0.25">
      <c r="A64" s="55" t="s">
        <v>301</v>
      </c>
      <c r="B64" s="41">
        <v>1002025</v>
      </c>
      <c r="C64" s="39" t="s">
        <v>1074</v>
      </c>
      <c r="D64" s="40" t="s">
        <v>18</v>
      </c>
      <c r="E64" s="40" t="str">
        <f>IFERROR(IF(INDEX('de para abc'!$C:$C,MATCH($B64,'de para abc'!$A:$A,0))=0,"C",INDEX('de para abc'!$C:$C,MATCH($B64,'de para abc'!$A:$A,0))),IFERROR(IF(INDEX('de para abc'!$C:$C,MATCH($C64,'de para abc'!$B:$B,0))=0,"C",INDEX('de para abc'!$C:$C,MATCH($C64,'de para abc'!$B:$B,0))),"C"))</f>
        <v>C</v>
      </c>
      <c r="F64" s="56">
        <v>3</v>
      </c>
    </row>
    <row r="65" spans="1:6" x14ac:dyDescent="0.25">
      <c r="A65" s="55" t="s">
        <v>301</v>
      </c>
      <c r="B65" s="41">
        <v>1001025</v>
      </c>
      <c r="C65" s="39" t="s">
        <v>447</v>
      </c>
      <c r="D65" s="40" t="s">
        <v>14</v>
      </c>
      <c r="E65" s="40" t="str">
        <f>IFERROR(IF(INDEX('de para abc'!$C:$C,MATCH($B65,'de para abc'!$A:$A,0))=0,"C",INDEX('de para abc'!$C:$C,MATCH($B65,'de para abc'!$A:$A,0))),IFERROR(IF(INDEX('de para abc'!$C:$C,MATCH($C65,'de para abc'!$B:$B,0))=0,"C",INDEX('de para abc'!$C:$C,MATCH($C65,'de para abc'!$B:$B,0))),"C"))</f>
        <v>C</v>
      </c>
      <c r="F65" s="56">
        <v>1</v>
      </c>
    </row>
    <row r="66" spans="1:6" x14ac:dyDescent="0.25">
      <c r="A66" s="55" t="s">
        <v>301</v>
      </c>
      <c r="B66" s="41">
        <v>1001488</v>
      </c>
      <c r="C66" s="39" t="s">
        <v>34</v>
      </c>
      <c r="D66" s="40" t="s">
        <v>18</v>
      </c>
      <c r="E66" s="40" t="str">
        <f>IFERROR(IF(INDEX('de para abc'!$C:$C,MATCH($B66,'de para abc'!$A:$A,0))=0,"C",INDEX('de para abc'!$C:$C,MATCH($B66,'de para abc'!$A:$A,0))),IFERROR(IF(INDEX('de para abc'!$C:$C,MATCH($C66,'de para abc'!$B:$B,0))=0,"C",INDEX('de para abc'!$C:$C,MATCH($C66,'de para abc'!$B:$B,0))),"C"))</f>
        <v>A</v>
      </c>
      <c r="F66" s="56">
        <v>1</v>
      </c>
    </row>
    <row r="67" spans="1:6" x14ac:dyDescent="0.25">
      <c r="A67" s="55" t="s">
        <v>301</v>
      </c>
      <c r="B67" s="41">
        <v>1001284</v>
      </c>
      <c r="C67" s="39" t="s">
        <v>449</v>
      </c>
      <c r="D67" s="40" t="s">
        <v>14</v>
      </c>
      <c r="E67" s="40" t="str">
        <f>IFERROR(IF(INDEX('de para abc'!$C:$C,MATCH($B67,'de para abc'!$A:$A,0))=0,"C",INDEX('de para abc'!$C:$C,MATCH($B67,'de para abc'!$A:$A,0))),IFERROR(IF(INDEX('de para abc'!$C:$C,MATCH($C67,'de para abc'!$B:$B,0))=0,"C",INDEX('de para abc'!$C:$C,MATCH($C67,'de para abc'!$B:$B,0))),"C"))</f>
        <v>C</v>
      </c>
      <c r="F67" s="56">
        <v>2</v>
      </c>
    </row>
    <row r="68" spans="1:6" x14ac:dyDescent="0.25">
      <c r="A68" s="55" t="s">
        <v>301</v>
      </c>
      <c r="B68" s="41">
        <v>1000254</v>
      </c>
      <c r="C68" s="39" t="s">
        <v>151</v>
      </c>
      <c r="D68" s="40" t="s">
        <v>10</v>
      </c>
      <c r="E68" s="40" t="str">
        <f>IFERROR(IF(INDEX('de para abc'!$C:$C,MATCH($B68,'de para abc'!$A:$A,0))=0,"C",INDEX('de para abc'!$C:$C,MATCH($B68,'de para abc'!$A:$A,0))),IFERROR(IF(INDEX('de para abc'!$C:$C,MATCH($C68,'de para abc'!$B:$B,0))=0,"C",INDEX('de para abc'!$C:$C,MATCH($C68,'de para abc'!$B:$B,0))),"C"))</f>
        <v>A</v>
      </c>
      <c r="F68" s="56">
        <v>1</v>
      </c>
    </row>
    <row r="69" spans="1:6" x14ac:dyDescent="0.25">
      <c r="A69" s="55" t="s">
        <v>301</v>
      </c>
      <c r="B69" s="41">
        <v>1000258</v>
      </c>
      <c r="C69" s="39" t="s">
        <v>35</v>
      </c>
      <c r="D69" s="40" t="s">
        <v>10</v>
      </c>
      <c r="E69" s="40" t="str">
        <f>IFERROR(IF(INDEX('de para abc'!$C:$C,MATCH($B69,'de para abc'!$A:$A,0))=0,"C",INDEX('de para abc'!$C:$C,MATCH($B69,'de para abc'!$A:$A,0))),IFERROR(IF(INDEX('de para abc'!$C:$C,MATCH($C69,'de para abc'!$B:$B,0))=0,"C",INDEX('de para abc'!$C:$C,MATCH($C69,'de para abc'!$B:$B,0))),"C"))</f>
        <v>A</v>
      </c>
      <c r="F69" s="56">
        <v>3</v>
      </c>
    </row>
    <row r="70" spans="1:6" x14ac:dyDescent="0.25">
      <c r="A70" s="55" t="s">
        <v>301</v>
      </c>
      <c r="B70" s="41">
        <v>1000256</v>
      </c>
      <c r="C70" s="39" t="s">
        <v>36</v>
      </c>
      <c r="D70" s="40" t="s">
        <v>14</v>
      </c>
      <c r="E70" s="40" t="str">
        <f>IFERROR(IF(INDEX('de para abc'!$C:$C,MATCH($B70,'de para abc'!$A:$A,0))=0,"C",INDEX('de para abc'!$C:$C,MATCH($B70,'de para abc'!$A:$A,0))),IFERROR(IF(INDEX('de para abc'!$C:$C,MATCH($C70,'de para abc'!$B:$B,0))=0,"C",INDEX('de para abc'!$C:$C,MATCH($C70,'de para abc'!$B:$B,0))),"C"))</f>
        <v>B</v>
      </c>
      <c r="F70" s="56">
        <v>1</v>
      </c>
    </row>
    <row r="71" spans="1:6" x14ac:dyDescent="0.25">
      <c r="A71" s="55" t="s">
        <v>301</v>
      </c>
      <c r="B71" s="41">
        <v>1001264</v>
      </c>
      <c r="C71" s="39" t="s">
        <v>37</v>
      </c>
      <c r="D71" s="40" t="s">
        <v>14</v>
      </c>
      <c r="E71" s="40" t="str">
        <f>IFERROR(IF(INDEX('de para abc'!$C:$C,MATCH($B71,'de para abc'!$A:$A,0))=0,"C",INDEX('de para abc'!$C:$C,MATCH($B71,'de para abc'!$A:$A,0))),IFERROR(IF(INDEX('de para abc'!$C:$C,MATCH($C71,'de para abc'!$B:$B,0))=0,"C",INDEX('de para abc'!$C:$C,MATCH($C71,'de para abc'!$B:$B,0))),"C"))</f>
        <v>A</v>
      </c>
      <c r="F71" s="56">
        <v>7</v>
      </c>
    </row>
    <row r="72" spans="1:6" x14ac:dyDescent="0.25">
      <c r="A72" s="55" t="s">
        <v>301</v>
      </c>
      <c r="B72" s="41">
        <v>1001668</v>
      </c>
      <c r="C72" s="39" t="s">
        <v>153</v>
      </c>
      <c r="D72" s="40" t="s">
        <v>18</v>
      </c>
      <c r="E72" s="40" t="str">
        <f>IFERROR(IF(INDEX('de para abc'!$C:$C,MATCH($B72,'de para abc'!$A:$A,0))=0,"C",INDEX('de para abc'!$C:$C,MATCH($B72,'de para abc'!$A:$A,0))),IFERROR(IF(INDEX('de para abc'!$C:$C,MATCH($C72,'de para abc'!$B:$B,0))=0,"C",INDEX('de para abc'!$C:$C,MATCH($C72,'de para abc'!$B:$B,0))),"C"))</f>
        <v>B</v>
      </c>
      <c r="F72" s="56">
        <v>1</v>
      </c>
    </row>
    <row r="73" spans="1:6" x14ac:dyDescent="0.25">
      <c r="A73" s="55" t="s">
        <v>301</v>
      </c>
      <c r="B73" s="41">
        <v>1000586</v>
      </c>
      <c r="C73" s="39" t="s">
        <v>456</v>
      </c>
      <c r="D73" s="40" t="s">
        <v>14</v>
      </c>
      <c r="E73" s="40" t="str">
        <f>IFERROR(IF(INDEX('de para abc'!$C:$C,MATCH($B73,'de para abc'!$A:$A,0))=0,"C",INDEX('de para abc'!$C:$C,MATCH($B73,'de para abc'!$A:$A,0))),IFERROR(IF(INDEX('de para abc'!$C:$C,MATCH($C73,'de para abc'!$B:$B,0))=0,"C",INDEX('de para abc'!$C:$C,MATCH($C73,'de para abc'!$B:$B,0))),"C"))</f>
        <v>C</v>
      </c>
      <c r="F73" s="56">
        <v>10</v>
      </c>
    </row>
    <row r="74" spans="1:6" x14ac:dyDescent="0.25">
      <c r="A74" s="55" t="s">
        <v>301</v>
      </c>
      <c r="B74" s="41">
        <v>1000292</v>
      </c>
      <c r="C74" s="39" t="s">
        <v>457</v>
      </c>
      <c r="D74" s="40" t="s">
        <v>14</v>
      </c>
      <c r="E74" s="40" t="str">
        <f>IFERROR(IF(INDEX('de para abc'!$C:$C,MATCH($B74,'de para abc'!$A:$A,0))=0,"C",INDEX('de para abc'!$C:$C,MATCH($B74,'de para abc'!$A:$A,0))),IFERROR(IF(INDEX('de para abc'!$C:$C,MATCH($C74,'de para abc'!$B:$B,0))=0,"C",INDEX('de para abc'!$C:$C,MATCH($C74,'de para abc'!$B:$B,0))),"C"))</f>
        <v>C</v>
      </c>
      <c r="F74" s="56">
        <v>1</v>
      </c>
    </row>
    <row r="75" spans="1:6" x14ac:dyDescent="0.25">
      <c r="A75" s="55" t="s">
        <v>301</v>
      </c>
      <c r="B75" s="41">
        <v>1000293</v>
      </c>
      <c r="C75" s="39" t="s">
        <v>458</v>
      </c>
      <c r="D75" s="40" t="s">
        <v>14</v>
      </c>
      <c r="E75" s="40" t="str">
        <f>IFERROR(IF(INDEX('de para abc'!$C:$C,MATCH($B75,'de para abc'!$A:$A,0))=0,"C",INDEX('de para abc'!$C:$C,MATCH($B75,'de para abc'!$A:$A,0))),IFERROR(IF(INDEX('de para abc'!$C:$C,MATCH($C75,'de para abc'!$B:$B,0))=0,"C",INDEX('de para abc'!$C:$C,MATCH($C75,'de para abc'!$B:$B,0))),"C"))</f>
        <v>C</v>
      </c>
      <c r="F75" s="56">
        <v>1</v>
      </c>
    </row>
    <row r="76" spans="1:6" x14ac:dyDescent="0.25">
      <c r="A76" s="55" t="s">
        <v>301</v>
      </c>
      <c r="B76" s="41">
        <v>1001189</v>
      </c>
      <c r="C76" s="39" t="s">
        <v>459</v>
      </c>
      <c r="D76" s="40" t="s">
        <v>14</v>
      </c>
      <c r="E76" s="40" t="str">
        <f>IFERROR(IF(INDEX('de para abc'!$C:$C,MATCH($B76,'de para abc'!$A:$A,0))=0,"C",INDEX('de para abc'!$C:$C,MATCH($B76,'de para abc'!$A:$A,0))),IFERROR(IF(INDEX('de para abc'!$C:$C,MATCH($C76,'de para abc'!$B:$B,0))=0,"C",INDEX('de para abc'!$C:$C,MATCH($C76,'de para abc'!$B:$B,0))),"C"))</f>
        <v>C</v>
      </c>
      <c r="F76" s="56">
        <v>2</v>
      </c>
    </row>
    <row r="77" spans="1:6" x14ac:dyDescent="0.25">
      <c r="A77" s="55" t="s">
        <v>301</v>
      </c>
      <c r="B77" s="41">
        <v>1000300</v>
      </c>
      <c r="C77" s="39" t="s">
        <v>1785</v>
      </c>
      <c r="D77" s="40" t="s">
        <v>10</v>
      </c>
      <c r="E77" s="40" t="str">
        <f>IFERROR(IF(INDEX('de para abc'!$C:$C,MATCH($B77,'de para abc'!$A:$A,0))=0,"C",INDEX('de para abc'!$C:$C,MATCH($B77,'de para abc'!$A:$A,0))),IFERROR(IF(INDEX('de para abc'!$C:$C,MATCH($C77,'de para abc'!$B:$B,0))=0,"C",INDEX('de para abc'!$C:$C,MATCH($C77,'de para abc'!$B:$B,0))),"C"))</f>
        <v>B</v>
      </c>
      <c r="F77" s="56">
        <v>3</v>
      </c>
    </row>
    <row r="78" spans="1:6" x14ac:dyDescent="0.25">
      <c r="A78" s="55" t="s">
        <v>301</v>
      </c>
      <c r="B78" s="41">
        <v>1008885</v>
      </c>
      <c r="C78" s="39" t="s">
        <v>1131</v>
      </c>
      <c r="D78" s="40" t="s">
        <v>157</v>
      </c>
      <c r="E78" s="40" t="str">
        <f>IFERROR(IF(INDEX('de para abc'!$C:$C,MATCH($B78,'de para abc'!$A:$A,0))=0,"C",INDEX('de para abc'!$C:$C,MATCH($B78,'de para abc'!$A:$A,0))),IFERROR(IF(INDEX('de para abc'!$C:$C,MATCH($C78,'de para abc'!$B:$B,0))=0,"C",INDEX('de para abc'!$C:$C,MATCH($C78,'de para abc'!$B:$B,0))),"C"))</f>
        <v>C</v>
      </c>
      <c r="F78" s="56">
        <v>2</v>
      </c>
    </row>
    <row r="79" spans="1:6" x14ac:dyDescent="0.25">
      <c r="A79" s="55" t="s">
        <v>301</v>
      </c>
      <c r="B79" s="41">
        <v>1002111</v>
      </c>
      <c r="C79" s="39" t="s">
        <v>462</v>
      </c>
      <c r="D79" s="40" t="s">
        <v>463</v>
      </c>
      <c r="E79" s="40" t="str">
        <f>IFERROR(IF(INDEX('de para abc'!$C:$C,MATCH($B79,'de para abc'!$A:$A,0))=0,"C",INDEX('de para abc'!$C:$C,MATCH($B79,'de para abc'!$A:$A,0))),IFERROR(IF(INDEX('de para abc'!$C:$C,MATCH($C79,'de para abc'!$B:$B,0))=0,"C",INDEX('de para abc'!$C:$C,MATCH($C79,'de para abc'!$B:$B,0))),"C"))</f>
        <v>C</v>
      </c>
      <c r="F79" s="56">
        <v>4</v>
      </c>
    </row>
    <row r="80" spans="1:6" x14ac:dyDescent="0.25">
      <c r="A80" s="55" t="s">
        <v>301</v>
      </c>
      <c r="B80" s="41">
        <v>1001049</v>
      </c>
      <c r="C80" s="39" t="s">
        <v>1140</v>
      </c>
      <c r="D80" s="40" t="s">
        <v>10</v>
      </c>
      <c r="E80" s="40" t="str">
        <f>IFERROR(IF(INDEX('de para abc'!$C:$C,MATCH($B80,'de para abc'!$A:$A,0))=0,"C",INDEX('de para abc'!$C:$C,MATCH($B80,'de para abc'!$A:$A,0))),IFERROR(IF(INDEX('de para abc'!$C:$C,MATCH($C80,'de para abc'!$B:$B,0))=0,"C",INDEX('de para abc'!$C:$C,MATCH($C80,'de para abc'!$B:$B,0))),"C"))</f>
        <v>C</v>
      </c>
      <c r="F80" s="56">
        <v>1</v>
      </c>
    </row>
    <row r="81" spans="1:6" x14ac:dyDescent="0.25">
      <c r="A81" s="55" t="s">
        <v>301</v>
      </c>
      <c r="B81" s="41">
        <v>1000319</v>
      </c>
      <c r="C81" s="39" t="s">
        <v>54</v>
      </c>
      <c r="D81" s="40" t="s">
        <v>14</v>
      </c>
      <c r="E81" s="40" t="str">
        <f>IFERROR(IF(INDEX('de para abc'!$C:$C,MATCH($B81,'de para abc'!$A:$A,0))=0,"C",INDEX('de para abc'!$C:$C,MATCH($B81,'de para abc'!$A:$A,0))),IFERROR(IF(INDEX('de para abc'!$C:$C,MATCH($C81,'de para abc'!$B:$B,0))=0,"C",INDEX('de para abc'!$C:$C,MATCH($C81,'de para abc'!$B:$B,0))),"C"))</f>
        <v>A</v>
      </c>
      <c r="F81" s="56">
        <v>3</v>
      </c>
    </row>
    <row r="82" spans="1:6" x14ac:dyDescent="0.25">
      <c r="A82" s="55" t="s">
        <v>301</v>
      </c>
      <c r="B82" s="41">
        <v>1001660</v>
      </c>
      <c r="C82" s="39" t="s">
        <v>41</v>
      </c>
      <c r="D82" s="40" t="s">
        <v>10</v>
      </c>
      <c r="E82" s="40" t="str">
        <f>IFERROR(IF(INDEX('de para abc'!$C:$C,MATCH($B82,'de para abc'!$A:$A,0))=0,"C",INDEX('de para abc'!$C:$C,MATCH($B82,'de para abc'!$A:$A,0))),IFERROR(IF(INDEX('de para abc'!$C:$C,MATCH($C82,'de para abc'!$B:$B,0))=0,"C",INDEX('de para abc'!$C:$C,MATCH($C82,'de para abc'!$B:$B,0))),"C"))</f>
        <v>B</v>
      </c>
      <c r="F82" s="56">
        <v>2</v>
      </c>
    </row>
    <row r="83" spans="1:6" x14ac:dyDescent="0.25">
      <c r="A83" s="55" t="s">
        <v>301</v>
      </c>
      <c r="B83" s="41">
        <v>1002022</v>
      </c>
      <c r="C83" s="39" t="s">
        <v>466</v>
      </c>
      <c r="D83" s="40" t="s">
        <v>467</v>
      </c>
      <c r="E83" s="40" t="str">
        <f>IFERROR(IF(INDEX('de para abc'!$C:$C,MATCH($B83,'de para abc'!$A:$A,0))=0,"C",INDEX('de para abc'!$C:$C,MATCH($B83,'de para abc'!$A:$A,0))),IFERROR(IF(INDEX('de para abc'!$C:$C,MATCH($C83,'de para abc'!$B:$B,0))=0,"C",INDEX('de para abc'!$C:$C,MATCH($C83,'de para abc'!$B:$B,0))),"C"))</f>
        <v>C</v>
      </c>
      <c r="F83" s="56">
        <v>5</v>
      </c>
    </row>
    <row r="84" spans="1:6" x14ac:dyDescent="0.25">
      <c r="A84" s="55" t="s">
        <v>301</v>
      </c>
      <c r="B84" s="41">
        <v>1006880</v>
      </c>
      <c r="C84" s="39" t="s">
        <v>468</v>
      </c>
      <c r="D84" s="40" t="s">
        <v>18</v>
      </c>
      <c r="E84" s="40" t="str">
        <f>IFERROR(IF(INDEX('de para abc'!$C:$C,MATCH($B84,'de para abc'!$A:$A,0))=0,"C",INDEX('de para abc'!$C:$C,MATCH($B84,'de para abc'!$A:$A,0))),IFERROR(IF(INDEX('de para abc'!$C:$C,MATCH($C84,'de para abc'!$B:$B,0))=0,"C",INDEX('de para abc'!$C:$C,MATCH($C84,'de para abc'!$B:$B,0))),"C"))</f>
        <v>C</v>
      </c>
      <c r="F84" s="56">
        <v>1</v>
      </c>
    </row>
    <row r="85" spans="1:6" x14ac:dyDescent="0.25">
      <c r="A85" s="55" t="s">
        <v>301</v>
      </c>
      <c r="B85" s="41">
        <v>1000340</v>
      </c>
      <c r="C85" s="39" t="s">
        <v>159</v>
      </c>
      <c r="D85" s="40" t="s">
        <v>10</v>
      </c>
      <c r="E85" s="40" t="str">
        <f>IFERROR(IF(INDEX('de para abc'!$C:$C,MATCH($B85,'de para abc'!$A:$A,0))=0,"C",INDEX('de para abc'!$C:$C,MATCH($B85,'de para abc'!$A:$A,0))),IFERROR(IF(INDEX('de para abc'!$C:$C,MATCH($C85,'de para abc'!$B:$B,0))=0,"C",INDEX('de para abc'!$C:$C,MATCH($C85,'de para abc'!$B:$B,0))),"C"))</f>
        <v>A</v>
      </c>
      <c r="F85" s="56">
        <v>2</v>
      </c>
    </row>
    <row r="86" spans="1:6" x14ac:dyDescent="0.25">
      <c r="A86" s="55" t="s">
        <v>301</v>
      </c>
      <c r="B86" s="41">
        <v>1000346</v>
      </c>
      <c r="C86" s="39" t="s">
        <v>470</v>
      </c>
      <c r="D86" s="40" t="s">
        <v>10</v>
      </c>
      <c r="E86" s="40" t="str">
        <f>IFERROR(IF(INDEX('de para abc'!$C:$C,MATCH($B86,'de para abc'!$A:$A,0))=0,"C",INDEX('de para abc'!$C:$C,MATCH($B86,'de para abc'!$A:$A,0))),IFERROR(IF(INDEX('de para abc'!$C:$C,MATCH($C86,'de para abc'!$B:$B,0))=0,"C",INDEX('de para abc'!$C:$C,MATCH($C86,'de para abc'!$B:$B,0))),"C"))</f>
        <v>C</v>
      </c>
      <c r="F86" s="56">
        <v>1</v>
      </c>
    </row>
    <row r="87" spans="1:6" x14ac:dyDescent="0.25">
      <c r="A87" s="55" t="s">
        <v>301</v>
      </c>
      <c r="B87" s="41">
        <v>1000348</v>
      </c>
      <c r="C87" s="39" t="s">
        <v>43</v>
      </c>
      <c r="D87" s="40" t="s">
        <v>10</v>
      </c>
      <c r="E87" s="40" t="str">
        <f>IFERROR(IF(INDEX('de para abc'!$C:$C,MATCH($B87,'de para abc'!$A:$A,0))=0,"C",INDEX('de para abc'!$C:$C,MATCH($B87,'de para abc'!$A:$A,0))),IFERROR(IF(INDEX('de para abc'!$C:$C,MATCH($C87,'de para abc'!$B:$B,0))=0,"C",INDEX('de para abc'!$C:$C,MATCH($C87,'de para abc'!$B:$B,0))),"C"))</f>
        <v>A</v>
      </c>
      <c r="F87" s="56">
        <v>3</v>
      </c>
    </row>
    <row r="88" spans="1:6" x14ac:dyDescent="0.25">
      <c r="A88" s="55" t="s">
        <v>301</v>
      </c>
      <c r="B88" s="41">
        <v>1001039</v>
      </c>
      <c r="C88" s="39" t="s">
        <v>471</v>
      </c>
      <c r="D88" s="40" t="s">
        <v>14</v>
      </c>
      <c r="E88" s="40" t="str">
        <f>IFERROR(IF(INDEX('de para abc'!$C:$C,MATCH($B88,'de para abc'!$A:$A,0))=0,"C",INDEX('de para abc'!$C:$C,MATCH($B88,'de para abc'!$A:$A,0))),IFERROR(IF(INDEX('de para abc'!$C:$C,MATCH($C88,'de para abc'!$B:$B,0))=0,"C",INDEX('de para abc'!$C:$C,MATCH($C88,'de para abc'!$B:$B,0))),"C"))</f>
        <v>C</v>
      </c>
      <c r="F88" s="56">
        <v>1</v>
      </c>
    </row>
    <row r="89" spans="1:6" x14ac:dyDescent="0.25">
      <c r="A89" s="55" t="s">
        <v>301</v>
      </c>
      <c r="B89" s="41">
        <v>1000503</v>
      </c>
      <c r="C89" s="39" t="s">
        <v>472</v>
      </c>
      <c r="D89" s="40" t="s">
        <v>10</v>
      </c>
      <c r="E89" s="40" t="str">
        <f>IFERROR(IF(INDEX('de para abc'!$C:$C,MATCH($B89,'de para abc'!$A:$A,0))=0,"C",INDEX('de para abc'!$C:$C,MATCH($B89,'de para abc'!$A:$A,0))),IFERROR(IF(INDEX('de para abc'!$C:$C,MATCH($C89,'de para abc'!$B:$B,0))=0,"C",INDEX('de para abc'!$C:$C,MATCH($C89,'de para abc'!$B:$B,0))),"C"))</f>
        <v>C</v>
      </c>
      <c r="F89" s="56">
        <v>1</v>
      </c>
    </row>
    <row r="90" spans="1:6" x14ac:dyDescent="0.25">
      <c r="A90" s="55" t="s">
        <v>301</v>
      </c>
      <c r="B90" s="41">
        <v>1000363</v>
      </c>
      <c r="C90" s="39" t="s">
        <v>160</v>
      </c>
      <c r="D90" s="40" t="s">
        <v>18</v>
      </c>
      <c r="E90" s="40" t="str">
        <f>IFERROR(IF(INDEX('de para abc'!$C:$C,MATCH($B90,'de para abc'!$A:$A,0))=0,"C",INDEX('de para abc'!$C:$C,MATCH($B90,'de para abc'!$A:$A,0))),IFERROR(IF(INDEX('de para abc'!$C:$C,MATCH($C90,'de para abc'!$B:$B,0))=0,"C",INDEX('de para abc'!$C:$C,MATCH($C90,'de para abc'!$B:$B,0))),"C"))</f>
        <v>A</v>
      </c>
      <c r="F90" s="56">
        <v>1</v>
      </c>
    </row>
    <row r="91" spans="1:6" x14ac:dyDescent="0.25">
      <c r="A91" s="55" t="s">
        <v>301</v>
      </c>
      <c r="B91" s="41">
        <v>1000395</v>
      </c>
      <c r="C91" s="39" t="s">
        <v>2533</v>
      </c>
      <c r="D91" s="40" t="s">
        <v>10</v>
      </c>
      <c r="E91" s="40" t="str">
        <f>IFERROR(IF(INDEX('de para abc'!$C:$C,MATCH($B91,'de para abc'!$A:$A,0))=0,"C",INDEX('de para abc'!$C:$C,MATCH($B91,'de para abc'!$A:$A,0))),IFERROR(IF(INDEX('de para abc'!$C:$C,MATCH($C91,'de para abc'!$B:$B,0))=0,"C",INDEX('de para abc'!$C:$C,MATCH($C91,'de para abc'!$B:$B,0))),"C"))</f>
        <v>C</v>
      </c>
      <c r="F91" s="56">
        <v>1</v>
      </c>
    </row>
    <row r="92" spans="1:6" x14ac:dyDescent="0.25">
      <c r="A92" s="55" t="s">
        <v>301</v>
      </c>
      <c r="B92" s="41">
        <v>1000411</v>
      </c>
      <c r="C92" s="39" t="s">
        <v>482</v>
      </c>
      <c r="D92" s="40" t="s">
        <v>14</v>
      </c>
      <c r="E92" s="40" t="str">
        <f>IFERROR(IF(INDEX('de para abc'!$C:$C,MATCH($B92,'de para abc'!$A:$A,0))=0,"C",INDEX('de para abc'!$C:$C,MATCH($B92,'de para abc'!$A:$A,0))),IFERROR(IF(INDEX('de para abc'!$C:$C,MATCH($C92,'de para abc'!$B:$B,0))=0,"C",INDEX('de para abc'!$C:$C,MATCH($C92,'de para abc'!$B:$B,0))),"C"))</f>
        <v>C</v>
      </c>
      <c r="F92" s="56">
        <v>1</v>
      </c>
    </row>
    <row r="93" spans="1:6" x14ac:dyDescent="0.25">
      <c r="A93" s="55" t="s">
        <v>301</v>
      </c>
      <c r="B93" s="41">
        <v>1000417</v>
      </c>
      <c r="C93" s="39" t="s">
        <v>163</v>
      </c>
      <c r="D93" s="40" t="s">
        <v>14</v>
      </c>
      <c r="E93" s="40" t="str">
        <f>IFERROR(IF(INDEX('de para abc'!$C:$C,MATCH($B93,'de para abc'!$A:$A,0))=0,"C",INDEX('de para abc'!$C:$C,MATCH($B93,'de para abc'!$A:$A,0))),IFERROR(IF(INDEX('de para abc'!$C:$C,MATCH($C93,'de para abc'!$B:$B,0))=0,"C",INDEX('de para abc'!$C:$C,MATCH($C93,'de para abc'!$B:$B,0))),"C"))</f>
        <v>A</v>
      </c>
      <c r="F93" s="56">
        <v>1</v>
      </c>
    </row>
    <row r="94" spans="1:6" x14ac:dyDescent="0.25">
      <c r="A94" s="55" t="s">
        <v>301</v>
      </c>
      <c r="B94" s="41">
        <v>1000393</v>
      </c>
      <c r="C94" s="39" t="s">
        <v>2560</v>
      </c>
      <c r="D94" s="40" t="s">
        <v>14</v>
      </c>
      <c r="E94" s="40" t="str">
        <f>IFERROR(IF(INDEX('de para abc'!$C:$C,MATCH($B94,'de para abc'!$A:$A,0))=0,"C",INDEX('de para abc'!$C:$C,MATCH($B94,'de para abc'!$A:$A,0))),IFERROR(IF(INDEX('de para abc'!$C:$C,MATCH($C94,'de para abc'!$B:$B,0))=0,"C",INDEX('de para abc'!$C:$C,MATCH($C94,'de para abc'!$B:$B,0))),"C"))</f>
        <v>C</v>
      </c>
      <c r="F94" s="56">
        <v>1</v>
      </c>
    </row>
    <row r="95" spans="1:6" x14ac:dyDescent="0.25">
      <c r="A95" s="55" t="s">
        <v>301</v>
      </c>
      <c r="B95" s="41">
        <v>1001669</v>
      </c>
      <c r="C95" s="39" t="s">
        <v>164</v>
      </c>
      <c r="D95" s="40" t="s">
        <v>18</v>
      </c>
      <c r="E95" s="40" t="str">
        <f>IFERROR(IF(INDEX('de para abc'!$C:$C,MATCH($B95,'de para abc'!$A:$A,0))=0,"C",INDEX('de para abc'!$C:$C,MATCH($B95,'de para abc'!$A:$A,0))),IFERROR(IF(INDEX('de para abc'!$C:$C,MATCH($C95,'de para abc'!$B:$B,0))=0,"C",INDEX('de para abc'!$C:$C,MATCH($C95,'de para abc'!$B:$B,0))),"C"))</f>
        <v>A</v>
      </c>
      <c r="F95" s="56">
        <v>2</v>
      </c>
    </row>
    <row r="96" spans="1:6" x14ac:dyDescent="0.25">
      <c r="A96" s="55" t="s">
        <v>301</v>
      </c>
      <c r="B96" s="41">
        <v>1000423</v>
      </c>
      <c r="C96" s="39" t="s">
        <v>1846</v>
      </c>
      <c r="D96" s="40" t="s">
        <v>14</v>
      </c>
      <c r="E96" s="40" t="str">
        <f>IFERROR(IF(INDEX('de para abc'!$C:$C,MATCH($B96,'de para abc'!$A:$A,0))=0,"C",INDEX('de para abc'!$C:$C,MATCH($B96,'de para abc'!$A:$A,0))),IFERROR(IF(INDEX('de para abc'!$C:$C,MATCH($C96,'de para abc'!$B:$B,0))=0,"C",INDEX('de para abc'!$C:$C,MATCH($C96,'de para abc'!$B:$B,0))),"C"))</f>
        <v>C</v>
      </c>
      <c r="F96" s="56">
        <v>2</v>
      </c>
    </row>
    <row r="97" spans="1:6" x14ac:dyDescent="0.25">
      <c r="A97" s="55" t="s">
        <v>301</v>
      </c>
      <c r="B97" s="41">
        <v>1000425</v>
      </c>
      <c r="C97" s="39" t="s">
        <v>1454</v>
      </c>
      <c r="D97" s="40" t="s">
        <v>14</v>
      </c>
      <c r="E97" s="40" t="str">
        <f>IFERROR(IF(INDEX('de para abc'!$C:$C,MATCH($B97,'de para abc'!$A:$A,0))=0,"C",INDEX('de para abc'!$C:$C,MATCH($B97,'de para abc'!$A:$A,0))),IFERROR(IF(INDEX('de para abc'!$C:$C,MATCH($C97,'de para abc'!$B:$B,0))=0,"C",INDEX('de para abc'!$C:$C,MATCH($C97,'de para abc'!$B:$B,0))),"C"))</f>
        <v>C</v>
      </c>
      <c r="F97" s="56">
        <v>0</v>
      </c>
    </row>
    <row r="98" spans="1:6" x14ac:dyDescent="0.25">
      <c r="A98" s="55" t="s">
        <v>301</v>
      </c>
      <c r="B98" s="41">
        <v>1001197</v>
      </c>
      <c r="C98" s="39" t="s">
        <v>485</v>
      </c>
      <c r="D98" s="40" t="s">
        <v>14</v>
      </c>
      <c r="E98" s="40" t="str">
        <f>IFERROR(IF(INDEX('de para abc'!$C:$C,MATCH($B98,'de para abc'!$A:$A,0))=0,"C",INDEX('de para abc'!$C:$C,MATCH($B98,'de para abc'!$A:$A,0))),IFERROR(IF(INDEX('de para abc'!$C:$C,MATCH($C98,'de para abc'!$B:$B,0))=0,"C",INDEX('de para abc'!$C:$C,MATCH($C98,'de para abc'!$B:$B,0))),"C"))</f>
        <v>B</v>
      </c>
      <c r="F98" s="56">
        <v>0</v>
      </c>
    </row>
    <row r="99" spans="1:6" x14ac:dyDescent="0.25">
      <c r="A99" s="55" t="s">
        <v>301</v>
      </c>
      <c r="B99" s="41">
        <v>1002107</v>
      </c>
      <c r="C99" s="39" t="s">
        <v>486</v>
      </c>
      <c r="D99" s="40" t="s">
        <v>18</v>
      </c>
      <c r="E99" s="40" t="str">
        <f>IFERROR(IF(INDEX('de para abc'!$C:$C,MATCH($B99,'de para abc'!$A:$A,0))=0,"C",INDEX('de para abc'!$C:$C,MATCH($B99,'de para abc'!$A:$A,0))),IFERROR(IF(INDEX('de para abc'!$C:$C,MATCH($C99,'de para abc'!$B:$B,0))=0,"C",INDEX('de para abc'!$C:$C,MATCH($C99,'de para abc'!$B:$B,0))),"C"))</f>
        <v>C</v>
      </c>
      <c r="F99" s="56">
        <v>0</v>
      </c>
    </row>
    <row r="100" spans="1:6" x14ac:dyDescent="0.25">
      <c r="A100" s="55" t="s">
        <v>301</v>
      </c>
      <c r="B100" s="41">
        <v>1001200</v>
      </c>
      <c r="C100" s="39" t="s">
        <v>489</v>
      </c>
      <c r="D100" s="40" t="s">
        <v>14</v>
      </c>
      <c r="E100" s="40" t="str">
        <f>IFERROR(IF(INDEX('de para abc'!$C:$C,MATCH($B100,'de para abc'!$A:$A,0))=0,"C",INDEX('de para abc'!$C:$C,MATCH($B100,'de para abc'!$A:$A,0))),IFERROR(IF(INDEX('de para abc'!$C:$C,MATCH($C100,'de para abc'!$B:$B,0))=0,"C",INDEX('de para abc'!$C:$C,MATCH($C100,'de para abc'!$B:$B,0))),"C"))</f>
        <v>C</v>
      </c>
      <c r="F100" s="56">
        <v>1</v>
      </c>
    </row>
    <row r="101" spans="1:6" x14ac:dyDescent="0.25">
      <c r="A101" s="55" t="s">
        <v>301</v>
      </c>
      <c r="B101" s="41">
        <v>1002046</v>
      </c>
      <c r="C101" s="39" t="s">
        <v>2658</v>
      </c>
      <c r="D101" s="40" t="s">
        <v>3449</v>
      </c>
      <c r="E101" s="40" t="str">
        <f>IFERROR(IF(INDEX('de para abc'!$C:$C,MATCH($B101,'de para abc'!$A:$A,0))=0,"C",INDEX('de para abc'!$C:$C,MATCH($B101,'de para abc'!$A:$A,0))),IFERROR(IF(INDEX('de para abc'!$C:$C,MATCH($C101,'de para abc'!$B:$B,0))=0,"C",INDEX('de para abc'!$C:$C,MATCH($C101,'de para abc'!$B:$B,0))),"C"))</f>
        <v>C</v>
      </c>
      <c r="F101" s="56">
        <v>1</v>
      </c>
    </row>
    <row r="102" spans="1:6" x14ac:dyDescent="0.25">
      <c r="A102" s="55" t="s">
        <v>301</v>
      </c>
      <c r="B102" s="41">
        <v>1000446</v>
      </c>
      <c r="C102" s="39" t="s">
        <v>1762</v>
      </c>
      <c r="D102" s="40" t="s">
        <v>14</v>
      </c>
      <c r="E102" s="40" t="str">
        <f>IFERROR(IF(INDEX('de para abc'!$C:$C,MATCH($B102,'de para abc'!$A:$A,0))=0,"C",INDEX('de para abc'!$C:$C,MATCH($B102,'de para abc'!$A:$A,0))),IFERROR(IF(INDEX('de para abc'!$C:$C,MATCH($C102,'de para abc'!$B:$B,0))=0,"C",INDEX('de para abc'!$C:$C,MATCH($C102,'de para abc'!$B:$B,0))),"C"))</f>
        <v>C</v>
      </c>
      <c r="F102" s="56">
        <v>1</v>
      </c>
    </row>
    <row r="103" spans="1:6" x14ac:dyDescent="0.25">
      <c r="A103" s="55" t="s">
        <v>301</v>
      </c>
      <c r="B103" s="41">
        <v>1000455</v>
      </c>
      <c r="C103" s="39" t="s">
        <v>493</v>
      </c>
      <c r="D103" s="40" t="s">
        <v>14</v>
      </c>
      <c r="E103" s="40" t="str">
        <f>IFERROR(IF(INDEX('de para abc'!$C:$C,MATCH($B103,'de para abc'!$A:$A,0))=0,"C",INDEX('de para abc'!$C:$C,MATCH($B103,'de para abc'!$A:$A,0))),IFERROR(IF(INDEX('de para abc'!$C:$C,MATCH($C103,'de para abc'!$B:$B,0))=0,"C",INDEX('de para abc'!$C:$C,MATCH($C103,'de para abc'!$B:$B,0))),"C"))</f>
        <v>C</v>
      </c>
      <c r="F103" s="56">
        <v>3</v>
      </c>
    </row>
    <row r="104" spans="1:6" x14ac:dyDescent="0.25">
      <c r="A104" s="55" t="s">
        <v>301</v>
      </c>
      <c r="B104" s="41">
        <v>1001266</v>
      </c>
      <c r="C104" s="39" t="s">
        <v>495</v>
      </c>
      <c r="D104" s="40" t="s">
        <v>14</v>
      </c>
      <c r="E104" s="40" t="str">
        <f>IFERROR(IF(INDEX('de para abc'!$C:$C,MATCH($B104,'de para abc'!$A:$A,0))=0,"C",INDEX('de para abc'!$C:$C,MATCH($B104,'de para abc'!$A:$A,0))),IFERROR(IF(INDEX('de para abc'!$C:$C,MATCH($C104,'de para abc'!$B:$B,0))=0,"C",INDEX('de para abc'!$C:$C,MATCH($C104,'de para abc'!$B:$B,0))),"C"))</f>
        <v>C</v>
      </c>
      <c r="F104" s="56">
        <v>1</v>
      </c>
    </row>
    <row r="105" spans="1:6" x14ac:dyDescent="0.25">
      <c r="A105" s="55" t="s">
        <v>301</v>
      </c>
      <c r="B105" s="41">
        <v>1006901</v>
      </c>
      <c r="C105" s="39" t="s">
        <v>2983</v>
      </c>
      <c r="D105" s="40" t="s">
        <v>10</v>
      </c>
      <c r="E105" s="40" t="str">
        <f>IFERROR(IF(INDEX('de para abc'!$C:$C,MATCH($B105,'de para abc'!$A:$A,0))=0,"C",INDEX('de para abc'!$C:$C,MATCH($B105,'de para abc'!$A:$A,0))),IFERROR(IF(INDEX('de para abc'!$C:$C,MATCH($C105,'de para abc'!$B:$B,0))=0,"C",INDEX('de para abc'!$C:$C,MATCH($C105,'de para abc'!$B:$B,0))),"C"))</f>
        <v>C</v>
      </c>
      <c r="F105" s="56">
        <v>0</v>
      </c>
    </row>
    <row r="106" spans="1:6" x14ac:dyDescent="0.25">
      <c r="A106" s="55" t="s">
        <v>301</v>
      </c>
      <c r="B106" s="41">
        <v>10001066</v>
      </c>
      <c r="C106" s="39" t="s">
        <v>497</v>
      </c>
      <c r="D106" s="40" t="s">
        <v>10</v>
      </c>
      <c r="E106" s="40" t="str">
        <f>IFERROR(IF(INDEX('de para abc'!$C:$C,MATCH($B106,'de para abc'!$A:$A,0))=0,"C",INDEX('de para abc'!$C:$C,MATCH($B106,'de para abc'!$A:$A,0))),IFERROR(IF(INDEX('de para abc'!$C:$C,MATCH($C106,'de para abc'!$B:$B,0))=0,"C",INDEX('de para abc'!$C:$C,MATCH($C106,'de para abc'!$B:$B,0))),"C"))</f>
        <v>C</v>
      </c>
      <c r="F106" s="56">
        <v>1</v>
      </c>
    </row>
    <row r="107" spans="1:6" x14ac:dyDescent="0.25">
      <c r="A107" s="55" t="s">
        <v>301</v>
      </c>
      <c r="B107" s="41">
        <v>1001480</v>
      </c>
      <c r="C107" s="39" t="s">
        <v>499</v>
      </c>
      <c r="D107" s="40" t="s">
        <v>18</v>
      </c>
      <c r="E107" s="40" t="str">
        <f>IFERROR(IF(INDEX('de para abc'!$C:$C,MATCH($B107,'de para abc'!$A:$A,0))=0,"C",INDEX('de para abc'!$C:$C,MATCH($B107,'de para abc'!$A:$A,0))),IFERROR(IF(INDEX('de para abc'!$C:$C,MATCH($C107,'de para abc'!$B:$B,0))=0,"C",INDEX('de para abc'!$C:$C,MATCH($C107,'de para abc'!$B:$B,0))),"C"))</f>
        <v>C</v>
      </c>
      <c r="F107" s="56">
        <v>2</v>
      </c>
    </row>
    <row r="108" spans="1:6" x14ac:dyDescent="0.25">
      <c r="A108" s="55" t="s">
        <v>69</v>
      </c>
      <c r="B108" s="41">
        <v>1001850</v>
      </c>
      <c r="C108" s="39" t="s">
        <v>167</v>
      </c>
      <c r="D108" s="40" t="s">
        <v>10</v>
      </c>
      <c r="E108" s="40" t="str">
        <f>IFERROR(IF(INDEX('de para abc'!$C:$C,MATCH($B108,'de para abc'!$A:$A,0))=0,"C",INDEX('de para abc'!$C:$C,MATCH($B108,'de para abc'!$A:$A,0))),IFERROR(IF(INDEX('de para abc'!$C:$C,MATCH($C108,'de para abc'!$B:$B,0))=0,"C",INDEX('de para abc'!$C:$C,MATCH($C108,'de para abc'!$B:$B,0))),"C"))</f>
        <v>C</v>
      </c>
      <c r="F108" s="56">
        <v>5</v>
      </c>
    </row>
    <row r="109" spans="1:6" x14ac:dyDescent="0.25">
      <c r="A109" s="55" t="s">
        <v>69</v>
      </c>
      <c r="B109" s="41">
        <v>1006180</v>
      </c>
      <c r="C109" s="39" t="s">
        <v>168</v>
      </c>
      <c r="D109" s="40" t="s">
        <v>18</v>
      </c>
      <c r="E109" s="40" t="str">
        <f>IFERROR(IF(INDEX('de para abc'!$C:$C,MATCH($B109,'de para abc'!$A:$A,0))=0,"C",INDEX('de para abc'!$C:$C,MATCH($B109,'de para abc'!$A:$A,0))),IFERROR(IF(INDEX('de para abc'!$C:$C,MATCH($C109,'de para abc'!$B:$B,0))=0,"C",INDEX('de para abc'!$C:$C,MATCH($C109,'de para abc'!$B:$B,0))),"C"))</f>
        <v>C</v>
      </c>
      <c r="F109" s="56">
        <v>6</v>
      </c>
    </row>
    <row r="110" spans="1:6" x14ac:dyDescent="0.25">
      <c r="A110" s="55" t="s">
        <v>69</v>
      </c>
      <c r="B110" s="41">
        <v>1000052</v>
      </c>
      <c r="C110" s="39" t="s">
        <v>169</v>
      </c>
      <c r="D110" s="40" t="s">
        <v>14</v>
      </c>
      <c r="E110" s="40" t="str">
        <f>IFERROR(IF(INDEX('de para abc'!$C:$C,MATCH($B110,'de para abc'!$A:$A,0))=0,"C",INDEX('de para abc'!$C:$C,MATCH($B110,'de para abc'!$A:$A,0))),IFERROR(IF(INDEX('de para abc'!$C:$C,MATCH($C110,'de para abc'!$B:$B,0))=0,"C",INDEX('de para abc'!$C:$C,MATCH($C110,'de para abc'!$B:$B,0))),"C"))</f>
        <v>A</v>
      </c>
      <c r="F110" s="56">
        <v>9</v>
      </c>
    </row>
    <row r="111" spans="1:6" x14ac:dyDescent="0.25">
      <c r="A111" s="55" t="s">
        <v>69</v>
      </c>
      <c r="B111" s="41">
        <v>1001864</v>
      </c>
      <c r="C111" s="39" t="s">
        <v>567</v>
      </c>
      <c r="D111" s="40" t="s">
        <v>14</v>
      </c>
      <c r="E111" s="40" t="str">
        <f>IFERROR(IF(INDEX('de para abc'!$C:$C,MATCH($B111,'de para abc'!$A:$A,0))=0,"C",INDEX('de para abc'!$C:$C,MATCH($B111,'de para abc'!$A:$A,0))),IFERROR(IF(INDEX('de para abc'!$C:$C,MATCH($C111,'de para abc'!$B:$B,0))=0,"C",INDEX('de para abc'!$C:$C,MATCH($C111,'de para abc'!$B:$B,0))),"C"))</f>
        <v>C</v>
      </c>
      <c r="F111" s="56">
        <v>4</v>
      </c>
    </row>
    <row r="112" spans="1:6" x14ac:dyDescent="0.25">
      <c r="A112" s="55" t="s">
        <v>69</v>
      </c>
      <c r="B112" s="41">
        <v>1001523</v>
      </c>
      <c r="C112" s="39" t="s">
        <v>577</v>
      </c>
      <c r="D112" s="40" t="s">
        <v>233</v>
      </c>
      <c r="E112" s="40" t="str">
        <f>IFERROR(IF(INDEX('de para abc'!$C:$C,MATCH($B112,'de para abc'!$A:$A,0))=0,"C",INDEX('de para abc'!$C:$C,MATCH($B112,'de para abc'!$A:$A,0))),IFERROR(IF(INDEX('de para abc'!$C:$C,MATCH($C112,'de para abc'!$B:$B,0))=0,"C",INDEX('de para abc'!$C:$C,MATCH($C112,'de para abc'!$B:$B,0))),"C"))</f>
        <v>C</v>
      </c>
      <c r="F112" s="56">
        <v>0</v>
      </c>
    </row>
    <row r="113" spans="1:6" x14ac:dyDescent="0.25">
      <c r="A113" s="55" t="s">
        <v>69</v>
      </c>
      <c r="B113" s="41">
        <v>1000069</v>
      </c>
      <c r="C113" s="39" t="s">
        <v>74</v>
      </c>
      <c r="D113" s="40" t="s">
        <v>71</v>
      </c>
      <c r="E113" s="40" t="str">
        <f>IFERROR(IF(INDEX('de para abc'!$C:$C,MATCH($B113,'de para abc'!$A:$A,0))=0,"C",INDEX('de para abc'!$C:$C,MATCH($B113,'de para abc'!$A:$A,0))),IFERROR(IF(INDEX('de para abc'!$C:$C,MATCH($C113,'de para abc'!$B:$B,0))=0,"C",INDEX('de para abc'!$C:$C,MATCH($C113,'de para abc'!$B:$B,0))),"C"))</f>
        <v>C</v>
      </c>
      <c r="F113" s="56">
        <v>3</v>
      </c>
    </row>
    <row r="114" spans="1:6" x14ac:dyDescent="0.25">
      <c r="A114" s="55" t="s">
        <v>69</v>
      </c>
      <c r="B114" s="41">
        <v>1000070</v>
      </c>
      <c r="C114" s="39" t="s">
        <v>75</v>
      </c>
      <c r="D114" s="40" t="s">
        <v>71</v>
      </c>
      <c r="E114" s="40" t="str">
        <f>IFERROR(IF(INDEX('de para abc'!$C:$C,MATCH($B114,'de para abc'!$A:$A,0))=0,"C",INDEX('de para abc'!$C:$C,MATCH($B114,'de para abc'!$A:$A,0))),IFERROR(IF(INDEX('de para abc'!$C:$C,MATCH($C114,'de para abc'!$B:$B,0))=0,"C",INDEX('de para abc'!$C:$C,MATCH($C114,'de para abc'!$B:$B,0))),"C"))</f>
        <v>C</v>
      </c>
      <c r="F114" s="56">
        <v>1</v>
      </c>
    </row>
    <row r="115" spans="1:6" x14ac:dyDescent="0.25">
      <c r="A115" s="55" t="s">
        <v>69</v>
      </c>
      <c r="B115" s="41">
        <v>1000071</v>
      </c>
      <c r="C115" s="39" t="s">
        <v>76</v>
      </c>
      <c r="D115" s="40" t="s">
        <v>71</v>
      </c>
      <c r="E115" s="40" t="str">
        <f>IFERROR(IF(INDEX('de para abc'!$C:$C,MATCH($B115,'de para abc'!$A:$A,0))=0,"C",INDEX('de para abc'!$C:$C,MATCH($B115,'de para abc'!$A:$A,0))),IFERROR(IF(INDEX('de para abc'!$C:$C,MATCH($C115,'de para abc'!$B:$B,0))=0,"C",INDEX('de para abc'!$C:$C,MATCH($C115,'de para abc'!$B:$B,0))),"C"))</f>
        <v>C</v>
      </c>
      <c r="F115" s="56">
        <v>1</v>
      </c>
    </row>
    <row r="116" spans="1:6" x14ac:dyDescent="0.25">
      <c r="A116" s="55" t="s">
        <v>69</v>
      </c>
      <c r="B116" s="41">
        <v>1000072</v>
      </c>
      <c r="C116" s="39" t="s">
        <v>171</v>
      </c>
      <c r="D116" s="40" t="s">
        <v>14</v>
      </c>
      <c r="E116" s="40" t="str">
        <f>IFERROR(IF(INDEX('de para abc'!$C:$C,MATCH($B116,'de para abc'!$A:$A,0))=0,"C",INDEX('de para abc'!$C:$C,MATCH($B116,'de para abc'!$A:$A,0))),IFERROR(IF(INDEX('de para abc'!$C:$C,MATCH($C116,'de para abc'!$B:$B,0))=0,"C",INDEX('de para abc'!$C:$C,MATCH($C116,'de para abc'!$B:$B,0))),"C"))</f>
        <v>C</v>
      </c>
      <c r="F116" s="56">
        <v>1</v>
      </c>
    </row>
    <row r="117" spans="1:6" x14ac:dyDescent="0.25">
      <c r="A117" s="55" t="s">
        <v>69</v>
      </c>
      <c r="B117" s="41">
        <v>1000073</v>
      </c>
      <c r="C117" s="39" t="s">
        <v>172</v>
      </c>
      <c r="D117" s="40" t="s">
        <v>71</v>
      </c>
      <c r="E117" s="40" t="str">
        <f>IFERROR(IF(INDEX('de para abc'!$C:$C,MATCH($B117,'de para abc'!$A:$A,0))=0,"C",INDEX('de para abc'!$C:$C,MATCH($B117,'de para abc'!$A:$A,0))),IFERROR(IF(INDEX('de para abc'!$C:$C,MATCH($C117,'de para abc'!$B:$B,0))=0,"C",INDEX('de para abc'!$C:$C,MATCH($C117,'de para abc'!$B:$B,0))),"C"))</f>
        <v>C</v>
      </c>
      <c r="F117" s="56">
        <v>1</v>
      </c>
    </row>
    <row r="118" spans="1:6" x14ac:dyDescent="0.25">
      <c r="A118" s="55" t="s">
        <v>69</v>
      </c>
      <c r="B118" s="41">
        <v>1000074</v>
      </c>
      <c r="C118" s="39" t="s">
        <v>173</v>
      </c>
      <c r="D118" s="40" t="s">
        <v>71</v>
      </c>
      <c r="E118" s="40" t="str">
        <f>IFERROR(IF(INDEX('de para abc'!$C:$C,MATCH($B118,'de para abc'!$A:$A,0))=0,"C",INDEX('de para abc'!$C:$C,MATCH($B118,'de para abc'!$A:$A,0))),IFERROR(IF(INDEX('de para abc'!$C:$C,MATCH($C118,'de para abc'!$B:$B,0))=0,"C",INDEX('de para abc'!$C:$C,MATCH($C118,'de para abc'!$B:$B,0))),"C"))</f>
        <v>C</v>
      </c>
      <c r="F118" s="56">
        <v>3</v>
      </c>
    </row>
    <row r="119" spans="1:6" x14ac:dyDescent="0.25">
      <c r="A119" s="55" t="s">
        <v>69</v>
      </c>
      <c r="B119" s="41">
        <v>1001700</v>
      </c>
      <c r="C119" s="39" t="s">
        <v>3006</v>
      </c>
      <c r="D119" s="40" t="s">
        <v>14</v>
      </c>
      <c r="E119" s="40" t="str">
        <f>IFERROR(IF(INDEX('de para abc'!$C:$C,MATCH($B119,'de para abc'!$A:$A,0))=0,"C",INDEX('de para abc'!$C:$C,MATCH($B119,'de para abc'!$A:$A,0))),IFERROR(IF(INDEX('de para abc'!$C:$C,MATCH($C119,'de para abc'!$B:$B,0))=0,"C",INDEX('de para abc'!$C:$C,MATCH($C119,'de para abc'!$B:$B,0))),"C"))</f>
        <v>C</v>
      </c>
      <c r="F119" s="56">
        <v>1</v>
      </c>
    </row>
    <row r="120" spans="1:6" x14ac:dyDescent="0.25">
      <c r="A120" s="55" t="s">
        <v>69</v>
      </c>
      <c r="B120" s="41">
        <v>1001697</v>
      </c>
      <c r="C120" s="39" t="s">
        <v>3007</v>
      </c>
      <c r="D120" s="40" t="s">
        <v>14</v>
      </c>
      <c r="E120" s="40" t="str">
        <f>IFERROR(IF(INDEX('de para abc'!$C:$C,MATCH($B120,'de para abc'!$A:$A,0))=0,"C",INDEX('de para abc'!$C:$C,MATCH($B120,'de para abc'!$A:$A,0))),IFERROR(IF(INDEX('de para abc'!$C:$C,MATCH($C120,'de para abc'!$B:$B,0))=0,"C",INDEX('de para abc'!$C:$C,MATCH($C120,'de para abc'!$B:$B,0))),"C"))</f>
        <v>C</v>
      </c>
      <c r="F120" s="56">
        <v>0</v>
      </c>
    </row>
    <row r="121" spans="1:6" x14ac:dyDescent="0.25">
      <c r="A121" s="55" t="s">
        <v>69</v>
      </c>
      <c r="B121" s="41">
        <v>1001698</v>
      </c>
      <c r="C121" s="39" t="s">
        <v>2991</v>
      </c>
      <c r="D121" s="40" t="s">
        <v>14</v>
      </c>
      <c r="E121" s="40" t="str">
        <f>IFERROR(IF(INDEX('de para abc'!$C:$C,MATCH($B121,'de para abc'!$A:$A,0))=0,"C",INDEX('de para abc'!$C:$C,MATCH($B121,'de para abc'!$A:$A,0))),IFERROR(IF(INDEX('de para abc'!$C:$C,MATCH($C121,'de para abc'!$B:$B,0))=0,"C",INDEX('de para abc'!$C:$C,MATCH($C121,'de para abc'!$B:$B,0))),"C"))</f>
        <v>C</v>
      </c>
      <c r="F121" s="56">
        <v>1</v>
      </c>
    </row>
    <row r="122" spans="1:6" x14ac:dyDescent="0.25">
      <c r="A122" s="55" t="s">
        <v>69</v>
      </c>
      <c r="B122" s="41">
        <v>1001699</v>
      </c>
      <c r="C122" s="39" t="s">
        <v>3008</v>
      </c>
      <c r="D122" s="40" t="s">
        <v>14</v>
      </c>
      <c r="E122" s="40" t="str">
        <f>IFERROR(IF(INDEX('de para abc'!$C:$C,MATCH($B122,'de para abc'!$A:$A,0))=0,"C",INDEX('de para abc'!$C:$C,MATCH($B122,'de para abc'!$A:$A,0))),IFERROR(IF(INDEX('de para abc'!$C:$C,MATCH($C122,'de para abc'!$B:$B,0))=0,"C",INDEX('de para abc'!$C:$C,MATCH($C122,'de para abc'!$B:$B,0))),"C"))</f>
        <v>C</v>
      </c>
      <c r="F122" s="56">
        <v>3</v>
      </c>
    </row>
    <row r="123" spans="1:6" x14ac:dyDescent="0.25">
      <c r="A123" s="55" t="s">
        <v>69</v>
      </c>
      <c r="B123" s="41">
        <v>1002148</v>
      </c>
      <c r="C123" s="39" t="s">
        <v>80</v>
      </c>
      <c r="D123" s="40" t="s">
        <v>10</v>
      </c>
      <c r="E123" s="40" t="str">
        <f>IFERROR(IF(INDEX('de para abc'!$C:$C,MATCH($B123,'de para abc'!$A:$A,0))=0,"C",INDEX('de para abc'!$C:$C,MATCH($B123,'de para abc'!$A:$A,0))),IFERROR(IF(INDEX('de para abc'!$C:$C,MATCH($C123,'de para abc'!$B:$B,0))=0,"C",INDEX('de para abc'!$C:$C,MATCH($C123,'de para abc'!$B:$B,0))),"C"))</f>
        <v>C</v>
      </c>
      <c r="F123" s="56">
        <v>2</v>
      </c>
    </row>
    <row r="124" spans="1:6" x14ac:dyDescent="0.25">
      <c r="A124" s="55" t="s">
        <v>69</v>
      </c>
      <c r="B124" s="41">
        <v>1001916</v>
      </c>
      <c r="C124" s="39" t="s">
        <v>240</v>
      </c>
      <c r="D124" s="40" t="s">
        <v>14</v>
      </c>
      <c r="E124" s="40" t="str">
        <f>IFERROR(IF(INDEX('de para abc'!$C:$C,MATCH($B124,'de para abc'!$A:$A,0))=0,"C",INDEX('de para abc'!$C:$C,MATCH($B124,'de para abc'!$A:$A,0))),IFERROR(IF(INDEX('de para abc'!$C:$C,MATCH($C124,'de para abc'!$B:$B,0))=0,"C",INDEX('de para abc'!$C:$C,MATCH($C124,'de para abc'!$B:$B,0))),"C"))</f>
        <v>C</v>
      </c>
      <c r="F124" s="56">
        <v>1</v>
      </c>
    </row>
    <row r="125" spans="1:6" x14ac:dyDescent="0.25">
      <c r="A125" s="55" t="s">
        <v>69</v>
      </c>
      <c r="B125" s="41">
        <v>1006857</v>
      </c>
      <c r="C125" s="39" t="s">
        <v>508</v>
      </c>
      <c r="D125" s="40" t="s">
        <v>10</v>
      </c>
      <c r="E125" s="40" t="str">
        <f>IFERROR(IF(INDEX('de para abc'!$C:$C,MATCH($B125,'de para abc'!$A:$A,0))=0,"C",INDEX('de para abc'!$C:$C,MATCH($B125,'de para abc'!$A:$A,0))),IFERROR(IF(INDEX('de para abc'!$C:$C,MATCH($C125,'de para abc'!$B:$B,0))=0,"C",INDEX('de para abc'!$C:$C,MATCH($C125,'de para abc'!$B:$B,0))),"C"))</f>
        <v>C</v>
      </c>
      <c r="F125" s="56">
        <v>6</v>
      </c>
    </row>
    <row r="126" spans="1:6" x14ac:dyDescent="0.25">
      <c r="A126" s="55" t="s">
        <v>69</v>
      </c>
      <c r="B126" s="41">
        <v>1002147</v>
      </c>
      <c r="C126" s="39" t="s">
        <v>509</v>
      </c>
      <c r="D126" s="40" t="s">
        <v>14</v>
      </c>
      <c r="E126" s="40" t="str">
        <f>IFERROR(IF(INDEX('de para abc'!$C:$C,MATCH($B126,'de para abc'!$A:$A,0))=0,"C",INDEX('de para abc'!$C:$C,MATCH($B126,'de para abc'!$A:$A,0))),IFERROR(IF(INDEX('de para abc'!$C:$C,MATCH($C126,'de para abc'!$B:$B,0))=0,"C",INDEX('de para abc'!$C:$C,MATCH($C126,'de para abc'!$B:$B,0))),"C"))</f>
        <v>C</v>
      </c>
      <c r="F126" s="56">
        <v>3</v>
      </c>
    </row>
    <row r="127" spans="1:6" x14ac:dyDescent="0.25">
      <c r="A127" s="55" t="s">
        <v>69</v>
      </c>
      <c r="B127" s="41">
        <v>1006853</v>
      </c>
      <c r="C127" s="39" t="s">
        <v>510</v>
      </c>
      <c r="D127" s="40" t="s">
        <v>10</v>
      </c>
      <c r="E127" s="40" t="str">
        <f>IFERROR(IF(INDEX('de para abc'!$C:$C,MATCH($B127,'de para abc'!$A:$A,0))=0,"C",INDEX('de para abc'!$C:$C,MATCH($B127,'de para abc'!$A:$A,0))),IFERROR(IF(INDEX('de para abc'!$C:$C,MATCH($C127,'de para abc'!$B:$B,0))=0,"C",INDEX('de para abc'!$C:$C,MATCH($C127,'de para abc'!$B:$B,0))),"C"))</f>
        <v>C</v>
      </c>
      <c r="F127" s="56">
        <v>1</v>
      </c>
    </row>
    <row r="128" spans="1:6" x14ac:dyDescent="0.25">
      <c r="A128" s="55" t="s">
        <v>69</v>
      </c>
      <c r="B128" s="41">
        <v>1006854</v>
      </c>
      <c r="C128" s="39" t="s">
        <v>511</v>
      </c>
      <c r="D128" s="40" t="s">
        <v>10</v>
      </c>
      <c r="E128" s="40" t="str">
        <f>IFERROR(IF(INDEX('de para abc'!$C:$C,MATCH($B128,'de para abc'!$A:$A,0))=0,"C",INDEX('de para abc'!$C:$C,MATCH($B128,'de para abc'!$A:$A,0))),IFERROR(IF(INDEX('de para abc'!$C:$C,MATCH($C128,'de para abc'!$B:$B,0))=0,"C",INDEX('de para abc'!$C:$C,MATCH($C128,'de para abc'!$B:$B,0))),"C"))</f>
        <v>C</v>
      </c>
      <c r="F128" s="56">
        <v>10</v>
      </c>
    </row>
    <row r="129" spans="1:6" x14ac:dyDescent="0.25">
      <c r="A129" s="55" t="s">
        <v>69</v>
      </c>
      <c r="B129" s="41">
        <v>1006852</v>
      </c>
      <c r="C129" s="39" t="s">
        <v>512</v>
      </c>
      <c r="D129" s="40" t="s">
        <v>10</v>
      </c>
      <c r="E129" s="40" t="str">
        <f>IFERROR(IF(INDEX('de para abc'!$C:$C,MATCH($B129,'de para abc'!$A:$A,0))=0,"C",INDEX('de para abc'!$C:$C,MATCH($B129,'de para abc'!$A:$A,0))),IFERROR(IF(INDEX('de para abc'!$C:$C,MATCH($C129,'de para abc'!$B:$B,0))=0,"C",INDEX('de para abc'!$C:$C,MATCH($C129,'de para abc'!$B:$B,0))),"C"))</f>
        <v>C</v>
      </c>
      <c r="F129" s="56">
        <v>6</v>
      </c>
    </row>
    <row r="130" spans="1:6" x14ac:dyDescent="0.25">
      <c r="A130" s="55" t="s">
        <v>69</v>
      </c>
      <c r="B130" s="41">
        <v>1006851</v>
      </c>
      <c r="C130" s="39" t="s">
        <v>513</v>
      </c>
      <c r="D130" s="40" t="s">
        <v>10</v>
      </c>
      <c r="E130" s="40" t="str">
        <f>IFERROR(IF(INDEX('de para abc'!$C:$C,MATCH($B130,'de para abc'!$A:$A,0))=0,"C",INDEX('de para abc'!$C:$C,MATCH($B130,'de para abc'!$A:$A,0))),IFERROR(IF(INDEX('de para abc'!$C:$C,MATCH($C130,'de para abc'!$B:$B,0))=0,"C",INDEX('de para abc'!$C:$C,MATCH($C130,'de para abc'!$B:$B,0))),"C"))</f>
        <v>C</v>
      </c>
      <c r="F130" s="56">
        <v>2</v>
      </c>
    </row>
    <row r="131" spans="1:6" x14ac:dyDescent="0.25">
      <c r="A131" s="55" t="s">
        <v>69</v>
      </c>
      <c r="B131" s="41">
        <v>1001906</v>
      </c>
      <c r="C131" s="39" t="s">
        <v>516</v>
      </c>
      <c r="D131" s="40" t="s">
        <v>18</v>
      </c>
      <c r="E131" s="40" t="str">
        <f>IFERROR(IF(INDEX('de para abc'!$C:$C,MATCH($B131,'de para abc'!$A:$A,0))=0,"C",INDEX('de para abc'!$C:$C,MATCH($B131,'de para abc'!$A:$A,0))),IFERROR(IF(INDEX('de para abc'!$C:$C,MATCH($C131,'de para abc'!$B:$B,0))=0,"C",INDEX('de para abc'!$C:$C,MATCH($C131,'de para abc'!$B:$B,0))),"C"))</f>
        <v>C</v>
      </c>
      <c r="F131" s="56">
        <v>1</v>
      </c>
    </row>
    <row r="132" spans="1:6" x14ac:dyDescent="0.25">
      <c r="A132" s="55" t="s">
        <v>69</v>
      </c>
      <c r="B132" s="41">
        <v>1001907</v>
      </c>
      <c r="C132" s="39" t="s">
        <v>3038</v>
      </c>
      <c r="D132" s="40" t="s">
        <v>18</v>
      </c>
      <c r="E132" s="40" t="str">
        <f>IFERROR(IF(INDEX('de para abc'!$C:$C,MATCH($B132,'de para abc'!$A:$A,0))=0,"C",INDEX('de para abc'!$C:$C,MATCH($B132,'de para abc'!$A:$A,0))),IFERROR(IF(INDEX('de para abc'!$C:$C,MATCH($C132,'de para abc'!$B:$B,0))=0,"C",INDEX('de para abc'!$C:$C,MATCH($C132,'de para abc'!$B:$B,0))),"C"))</f>
        <v>C</v>
      </c>
      <c r="F132" s="56">
        <v>0</v>
      </c>
    </row>
    <row r="133" spans="1:6" x14ac:dyDescent="0.25">
      <c r="A133" s="55" t="s">
        <v>69</v>
      </c>
      <c r="B133" s="41">
        <v>1001289</v>
      </c>
      <c r="C133" s="39" t="s">
        <v>517</v>
      </c>
      <c r="D133" s="40" t="s">
        <v>14</v>
      </c>
      <c r="E133" s="40" t="str">
        <f>IFERROR(IF(INDEX('de para abc'!$C:$C,MATCH($B133,'de para abc'!$A:$A,0))=0,"C",INDEX('de para abc'!$C:$C,MATCH($B133,'de para abc'!$A:$A,0))),IFERROR(IF(INDEX('de para abc'!$C:$C,MATCH($C133,'de para abc'!$B:$B,0))=0,"C",INDEX('de para abc'!$C:$C,MATCH($C133,'de para abc'!$B:$B,0))),"C"))</f>
        <v>C</v>
      </c>
      <c r="F133" s="56">
        <v>5</v>
      </c>
    </row>
    <row r="134" spans="1:6" x14ac:dyDescent="0.25">
      <c r="A134" s="55" t="s">
        <v>69</v>
      </c>
      <c r="B134" s="41">
        <v>1001302</v>
      </c>
      <c r="C134" s="39" t="s">
        <v>96</v>
      </c>
      <c r="D134" s="40" t="s">
        <v>10</v>
      </c>
      <c r="E134" s="40" t="str">
        <f>IFERROR(IF(INDEX('de para abc'!$C:$C,MATCH($B134,'de para abc'!$A:$A,0))=0,"C",INDEX('de para abc'!$C:$C,MATCH($B134,'de para abc'!$A:$A,0))),IFERROR(IF(INDEX('de para abc'!$C:$C,MATCH($C134,'de para abc'!$B:$B,0))=0,"C",INDEX('de para abc'!$C:$C,MATCH($C134,'de para abc'!$B:$B,0))),"C"))</f>
        <v>C</v>
      </c>
      <c r="F134" s="56">
        <v>12</v>
      </c>
    </row>
    <row r="135" spans="1:6" x14ac:dyDescent="0.25">
      <c r="A135" s="55" t="s">
        <v>69</v>
      </c>
      <c r="B135" s="41">
        <v>1001190</v>
      </c>
      <c r="C135" s="39" t="s">
        <v>97</v>
      </c>
      <c r="D135" s="40" t="s">
        <v>10</v>
      </c>
      <c r="E135" s="40" t="str">
        <f>IFERROR(IF(INDEX('de para abc'!$C:$C,MATCH($B135,'de para abc'!$A:$A,0))=0,"C",INDEX('de para abc'!$C:$C,MATCH($B135,'de para abc'!$A:$A,0))),IFERROR(IF(INDEX('de para abc'!$C:$C,MATCH($C135,'de para abc'!$B:$B,0))=0,"C",INDEX('de para abc'!$C:$C,MATCH($C135,'de para abc'!$B:$B,0))),"C"))</f>
        <v>C</v>
      </c>
      <c r="F135" s="56">
        <v>7</v>
      </c>
    </row>
    <row r="136" spans="1:6" x14ac:dyDescent="0.25">
      <c r="A136" s="55" t="s">
        <v>69</v>
      </c>
      <c r="B136" s="41">
        <v>1000146</v>
      </c>
      <c r="C136" s="39" t="s">
        <v>99</v>
      </c>
      <c r="D136" s="40" t="s">
        <v>10</v>
      </c>
      <c r="E136" s="40" t="str">
        <f>IFERROR(IF(INDEX('de para abc'!$C:$C,MATCH($B136,'de para abc'!$A:$A,0))=0,"C",INDEX('de para abc'!$C:$C,MATCH($B136,'de para abc'!$A:$A,0))),IFERROR(IF(INDEX('de para abc'!$C:$C,MATCH($C136,'de para abc'!$B:$B,0))=0,"C",INDEX('de para abc'!$C:$C,MATCH($C136,'de para abc'!$B:$B,0))),"C"))</f>
        <v>C</v>
      </c>
      <c r="F136" s="56">
        <v>6</v>
      </c>
    </row>
    <row r="137" spans="1:6" x14ac:dyDescent="0.25">
      <c r="A137" s="55" t="s">
        <v>69</v>
      </c>
      <c r="B137" s="41">
        <v>1006018</v>
      </c>
      <c r="C137" s="39" t="s">
        <v>724</v>
      </c>
      <c r="D137" s="40" t="s">
        <v>18</v>
      </c>
      <c r="E137" s="40" t="str">
        <f>IFERROR(IF(INDEX('de para abc'!$C:$C,MATCH($B137,'de para abc'!$A:$A,0))=0,"C",INDEX('de para abc'!$C:$C,MATCH($B137,'de para abc'!$A:$A,0))),IFERROR(IF(INDEX('de para abc'!$C:$C,MATCH($C137,'de para abc'!$B:$B,0))=0,"C",INDEX('de para abc'!$C:$C,MATCH($C137,'de para abc'!$B:$B,0))),"C"))</f>
        <v>C</v>
      </c>
      <c r="F137" s="56">
        <v>0</v>
      </c>
    </row>
    <row r="138" spans="1:6" x14ac:dyDescent="0.25">
      <c r="A138" s="55" t="s">
        <v>69</v>
      </c>
      <c r="B138" s="41">
        <v>1000204</v>
      </c>
      <c r="C138" s="39" t="s">
        <v>519</v>
      </c>
      <c r="D138" s="40" t="s">
        <v>10</v>
      </c>
      <c r="E138" s="40" t="str">
        <f>IFERROR(IF(INDEX('de para abc'!$C:$C,MATCH($B138,'de para abc'!$A:$A,0))=0,"C",INDEX('de para abc'!$C:$C,MATCH($B138,'de para abc'!$A:$A,0))),IFERROR(IF(INDEX('de para abc'!$C:$C,MATCH($C138,'de para abc'!$B:$B,0))=0,"C",INDEX('de para abc'!$C:$C,MATCH($C138,'de para abc'!$B:$B,0))),"C"))</f>
        <v>C</v>
      </c>
      <c r="F138" s="56">
        <v>4</v>
      </c>
    </row>
    <row r="139" spans="1:6" x14ac:dyDescent="0.25">
      <c r="A139" s="55" t="s">
        <v>69</v>
      </c>
      <c r="B139" s="41">
        <v>2000456</v>
      </c>
      <c r="C139" s="39" t="s">
        <v>440</v>
      </c>
      <c r="D139" s="40"/>
      <c r="E139" s="40" t="str">
        <f>IFERROR(IF(INDEX('de para abc'!$C:$C,MATCH($B139,'de para abc'!$A:$A,0))=0,"C",INDEX('de para abc'!$C:$C,MATCH($B139,'de para abc'!$A:$A,0))),IFERROR(IF(INDEX('de para abc'!$C:$C,MATCH($C139,'de para abc'!$B:$B,0))=0,"C",INDEX('de para abc'!$C:$C,MATCH($C139,'de para abc'!$B:$B,0))),"C"))</f>
        <v>C</v>
      </c>
      <c r="F139" s="56">
        <v>2</v>
      </c>
    </row>
    <row r="140" spans="1:6" x14ac:dyDescent="0.25">
      <c r="A140" s="55" t="s">
        <v>69</v>
      </c>
      <c r="B140" s="41">
        <v>1000206</v>
      </c>
      <c r="C140" s="39" t="s">
        <v>102</v>
      </c>
      <c r="D140" s="40" t="s">
        <v>10</v>
      </c>
      <c r="E140" s="40" t="str">
        <f>IFERROR(IF(INDEX('de para abc'!$C:$C,MATCH($B140,'de para abc'!$A:$A,0))=0,"C",INDEX('de para abc'!$C:$C,MATCH($B140,'de para abc'!$A:$A,0))),IFERROR(IF(INDEX('de para abc'!$C:$C,MATCH($C140,'de para abc'!$B:$B,0))=0,"C",INDEX('de para abc'!$C:$C,MATCH($C140,'de para abc'!$B:$B,0))),"C"))</f>
        <v>C</v>
      </c>
      <c r="F140" s="56">
        <v>8</v>
      </c>
    </row>
    <row r="141" spans="1:6" x14ac:dyDescent="0.25">
      <c r="A141" s="55" t="s">
        <v>69</v>
      </c>
      <c r="B141" s="41">
        <v>1001254</v>
      </c>
      <c r="C141" s="39" t="s">
        <v>271</v>
      </c>
      <c r="D141" s="40" t="s">
        <v>14</v>
      </c>
      <c r="E141" s="40" t="str">
        <f>IFERROR(IF(INDEX('de para abc'!$C:$C,MATCH($B141,'de para abc'!$A:$A,0))=0,"C",INDEX('de para abc'!$C:$C,MATCH($B141,'de para abc'!$A:$A,0))),IFERROR(IF(INDEX('de para abc'!$C:$C,MATCH($C141,'de para abc'!$B:$B,0))=0,"C",INDEX('de para abc'!$C:$C,MATCH($C141,'de para abc'!$B:$B,0))),"C"))</f>
        <v>C</v>
      </c>
      <c r="F141" s="56">
        <v>0</v>
      </c>
    </row>
    <row r="142" spans="1:6" x14ac:dyDescent="0.25">
      <c r="A142" s="55" t="s">
        <v>69</v>
      </c>
      <c r="B142" s="41">
        <v>1000208</v>
      </c>
      <c r="C142" s="39" t="s">
        <v>103</v>
      </c>
      <c r="D142" s="40" t="s">
        <v>14</v>
      </c>
      <c r="E142" s="40" t="str">
        <f>IFERROR(IF(INDEX('de para abc'!$C:$C,MATCH($B142,'de para abc'!$A:$A,0))=0,"C",INDEX('de para abc'!$C:$C,MATCH($B142,'de para abc'!$A:$A,0))),IFERROR(IF(INDEX('de para abc'!$C:$C,MATCH($C142,'de para abc'!$B:$B,0))=0,"C",INDEX('de para abc'!$C:$C,MATCH($C142,'de para abc'!$B:$B,0))),"C"))</f>
        <v>C</v>
      </c>
      <c r="F142" s="56">
        <v>10</v>
      </c>
    </row>
    <row r="143" spans="1:6" x14ac:dyDescent="0.25">
      <c r="A143" s="55" t="s">
        <v>69</v>
      </c>
      <c r="B143" s="41">
        <v>1001854</v>
      </c>
      <c r="C143" s="39" t="s">
        <v>105</v>
      </c>
      <c r="D143" s="40" t="s">
        <v>10</v>
      </c>
      <c r="E143" s="40" t="str">
        <f>IFERROR(IF(INDEX('de para abc'!$C:$C,MATCH($B143,'de para abc'!$A:$A,0))=0,"C",INDEX('de para abc'!$C:$C,MATCH($B143,'de para abc'!$A:$A,0))),IFERROR(IF(INDEX('de para abc'!$C:$C,MATCH($C143,'de para abc'!$B:$B,0))=0,"C",INDEX('de para abc'!$C:$C,MATCH($C143,'de para abc'!$B:$B,0))),"C"))</f>
        <v>C</v>
      </c>
      <c r="F143" s="56">
        <v>6</v>
      </c>
    </row>
    <row r="144" spans="1:6" x14ac:dyDescent="0.25">
      <c r="A144" s="55" t="s">
        <v>69</v>
      </c>
      <c r="B144" s="41">
        <v>1001851</v>
      </c>
      <c r="C144" s="39" t="s">
        <v>180</v>
      </c>
      <c r="D144" s="40" t="s">
        <v>10</v>
      </c>
      <c r="E144" s="40" t="str">
        <f>IFERROR(IF(INDEX('de para abc'!$C:$C,MATCH($B144,'de para abc'!$A:$A,0))=0,"C",INDEX('de para abc'!$C:$C,MATCH($B144,'de para abc'!$A:$A,0))),IFERROR(IF(INDEX('de para abc'!$C:$C,MATCH($C144,'de para abc'!$B:$B,0))=0,"C",INDEX('de para abc'!$C:$C,MATCH($C144,'de para abc'!$B:$B,0))),"C"))</f>
        <v>C</v>
      </c>
      <c r="F144" s="56">
        <v>7</v>
      </c>
    </row>
    <row r="145" spans="1:6" x14ac:dyDescent="0.25">
      <c r="A145" s="55" t="s">
        <v>69</v>
      </c>
      <c r="B145" s="41">
        <v>1001855</v>
      </c>
      <c r="C145" s="39" t="s">
        <v>521</v>
      </c>
      <c r="D145" s="40" t="s">
        <v>10</v>
      </c>
      <c r="E145" s="40" t="str">
        <f>IFERROR(IF(INDEX('de para abc'!$C:$C,MATCH($B145,'de para abc'!$A:$A,0))=0,"C",INDEX('de para abc'!$C:$C,MATCH($B145,'de para abc'!$A:$A,0))),IFERROR(IF(INDEX('de para abc'!$C:$C,MATCH($C145,'de para abc'!$B:$B,0))=0,"C",INDEX('de para abc'!$C:$C,MATCH($C145,'de para abc'!$B:$B,0))),"C"))</f>
        <v>C</v>
      </c>
      <c r="F145" s="56">
        <v>6</v>
      </c>
    </row>
    <row r="146" spans="1:6" x14ac:dyDescent="0.25">
      <c r="A146" s="55" t="s">
        <v>69</v>
      </c>
      <c r="B146" s="41">
        <v>1001265</v>
      </c>
      <c r="C146" s="39" t="s">
        <v>522</v>
      </c>
      <c r="D146" s="40" t="s">
        <v>14</v>
      </c>
      <c r="E146" s="40" t="str">
        <f>IFERROR(IF(INDEX('de para abc'!$C:$C,MATCH($B146,'de para abc'!$A:$A,0))=0,"C",INDEX('de para abc'!$C:$C,MATCH($B146,'de para abc'!$A:$A,0))),IFERROR(IF(INDEX('de para abc'!$C:$C,MATCH($C146,'de para abc'!$B:$B,0))=0,"C",INDEX('de para abc'!$C:$C,MATCH($C146,'de para abc'!$B:$B,0))),"C"))</f>
        <v>C</v>
      </c>
      <c r="F146" s="56">
        <v>1</v>
      </c>
    </row>
    <row r="147" spans="1:6" x14ac:dyDescent="0.25">
      <c r="A147" s="55" t="s">
        <v>69</v>
      </c>
      <c r="B147" s="41">
        <v>1000277</v>
      </c>
      <c r="C147" s="39" t="s">
        <v>182</v>
      </c>
      <c r="D147" s="40" t="s">
        <v>183</v>
      </c>
      <c r="E147" s="40" t="str">
        <f>IFERROR(IF(INDEX('de para abc'!$C:$C,MATCH($B147,'de para abc'!$A:$A,0))=0,"C",INDEX('de para abc'!$C:$C,MATCH($B147,'de para abc'!$A:$A,0))),IFERROR(IF(INDEX('de para abc'!$C:$C,MATCH($C147,'de para abc'!$B:$B,0))=0,"C",INDEX('de para abc'!$C:$C,MATCH($C147,'de para abc'!$B:$B,0))),"C"))</f>
        <v>C</v>
      </c>
      <c r="F147" s="56">
        <v>6</v>
      </c>
    </row>
    <row r="148" spans="1:6" x14ac:dyDescent="0.25">
      <c r="A148" s="55" t="s">
        <v>69</v>
      </c>
      <c r="B148" s="41">
        <v>1006179</v>
      </c>
      <c r="C148" s="39" t="s">
        <v>106</v>
      </c>
      <c r="D148" s="40" t="s">
        <v>18</v>
      </c>
      <c r="E148" s="40" t="str">
        <f>IFERROR(IF(INDEX('de para abc'!$C:$C,MATCH($B148,'de para abc'!$A:$A,0))=0,"C",INDEX('de para abc'!$C:$C,MATCH($B148,'de para abc'!$A:$A,0))),IFERROR(IF(INDEX('de para abc'!$C:$C,MATCH($C148,'de para abc'!$B:$B,0))=0,"C",INDEX('de para abc'!$C:$C,MATCH($C148,'de para abc'!$B:$B,0))),"C"))</f>
        <v>C</v>
      </c>
      <c r="F148" s="56">
        <v>4</v>
      </c>
    </row>
    <row r="149" spans="1:6" x14ac:dyDescent="0.25">
      <c r="A149" s="55" t="s">
        <v>69</v>
      </c>
      <c r="B149" s="41">
        <v>1001042</v>
      </c>
      <c r="C149" s="39" t="s">
        <v>523</v>
      </c>
      <c r="D149" s="40" t="s">
        <v>14</v>
      </c>
      <c r="E149" s="40" t="str">
        <f>IFERROR(IF(INDEX('de para abc'!$C:$C,MATCH($B149,'de para abc'!$A:$A,0))=0,"C",INDEX('de para abc'!$C:$C,MATCH($B149,'de para abc'!$A:$A,0))),IFERROR(IF(INDEX('de para abc'!$C:$C,MATCH($C149,'de para abc'!$B:$B,0))=0,"C",INDEX('de para abc'!$C:$C,MATCH($C149,'de para abc'!$B:$B,0))),"C"))</f>
        <v>C</v>
      </c>
      <c r="F149" s="56">
        <v>7</v>
      </c>
    </row>
    <row r="150" spans="1:6" x14ac:dyDescent="0.25">
      <c r="A150" s="55" t="s">
        <v>69</v>
      </c>
      <c r="B150" s="41">
        <v>1001926</v>
      </c>
      <c r="C150" s="39" t="s">
        <v>282</v>
      </c>
      <c r="D150" s="40" t="s">
        <v>14</v>
      </c>
      <c r="E150" s="40" t="str">
        <f>IFERROR(IF(INDEX('de para abc'!$C:$C,MATCH($B150,'de para abc'!$A:$A,0))=0,"C",INDEX('de para abc'!$C:$C,MATCH($B150,'de para abc'!$A:$A,0))),IFERROR(IF(INDEX('de para abc'!$C:$C,MATCH($C150,'de para abc'!$B:$B,0))=0,"C",INDEX('de para abc'!$C:$C,MATCH($C150,'de para abc'!$B:$B,0))),"C"))</f>
        <v>C</v>
      </c>
      <c r="F150" s="56">
        <v>1</v>
      </c>
    </row>
    <row r="151" spans="1:6" x14ac:dyDescent="0.25">
      <c r="A151" s="55" t="s">
        <v>69</v>
      </c>
      <c r="B151" s="41">
        <v>1001923</v>
      </c>
      <c r="C151" s="39" t="s">
        <v>107</v>
      </c>
      <c r="D151" s="40" t="s">
        <v>18</v>
      </c>
      <c r="E151" s="40" t="str">
        <f>IFERROR(IF(INDEX('de para abc'!$C:$C,MATCH($B151,'de para abc'!$A:$A,0))=0,"C",INDEX('de para abc'!$C:$C,MATCH($B151,'de para abc'!$A:$A,0))),IFERROR(IF(INDEX('de para abc'!$C:$C,MATCH($C151,'de para abc'!$B:$B,0))=0,"C",INDEX('de para abc'!$C:$C,MATCH($C151,'de para abc'!$B:$B,0))),"C"))</f>
        <v>C</v>
      </c>
      <c r="F151" s="56">
        <v>2</v>
      </c>
    </row>
    <row r="152" spans="1:6" x14ac:dyDescent="0.25">
      <c r="A152" s="55" t="s">
        <v>69</v>
      </c>
      <c r="B152" s="41">
        <v>1001924</v>
      </c>
      <c r="C152" s="39" t="s">
        <v>283</v>
      </c>
      <c r="D152" s="40" t="s">
        <v>14</v>
      </c>
      <c r="E152" s="40" t="str">
        <f>IFERROR(IF(INDEX('de para abc'!$C:$C,MATCH($B152,'de para abc'!$A:$A,0))=0,"C",INDEX('de para abc'!$C:$C,MATCH($B152,'de para abc'!$A:$A,0))),IFERROR(IF(INDEX('de para abc'!$C:$C,MATCH($C152,'de para abc'!$B:$B,0))=0,"C",INDEX('de para abc'!$C:$C,MATCH($C152,'de para abc'!$B:$B,0))),"C"))</f>
        <v>C</v>
      </c>
      <c r="F152" s="56">
        <v>1</v>
      </c>
    </row>
    <row r="153" spans="1:6" x14ac:dyDescent="0.25">
      <c r="A153" s="55" t="s">
        <v>69</v>
      </c>
      <c r="B153" s="41">
        <v>1000305</v>
      </c>
      <c r="C153" s="39" t="s">
        <v>111</v>
      </c>
      <c r="D153" s="40" t="s">
        <v>10</v>
      </c>
      <c r="E153" s="40" t="str">
        <f>IFERROR(IF(INDEX('de para abc'!$C:$C,MATCH($B153,'de para abc'!$A:$A,0))=0,"C",INDEX('de para abc'!$C:$C,MATCH($B153,'de para abc'!$A:$A,0))),IFERROR(IF(INDEX('de para abc'!$C:$C,MATCH($C153,'de para abc'!$B:$B,0))=0,"C",INDEX('de para abc'!$C:$C,MATCH($C153,'de para abc'!$B:$B,0))),"C"))</f>
        <v>C</v>
      </c>
      <c r="F153" s="56">
        <v>1</v>
      </c>
    </row>
    <row r="154" spans="1:6" x14ac:dyDescent="0.25">
      <c r="A154" s="55" t="s">
        <v>69</v>
      </c>
      <c r="B154" s="41">
        <v>1000665</v>
      </c>
      <c r="C154" s="39" t="s">
        <v>113</v>
      </c>
      <c r="D154" s="40" t="s">
        <v>71</v>
      </c>
      <c r="E154" s="40" t="str">
        <f>IFERROR(IF(INDEX('de para abc'!$C:$C,MATCH($B154,'de para abc'!$A:$A,0))=0,"C",INDEX('de para abc'!$C:$C,MATCH($B154,'de para abc'!$A:$A,0))),IFERROR(IF(INDEX('de para abc'!$C:$C,MATCH($C154,'de para abc'!$B:$B,0))=0,"C",INDEX('de para abc'!$C:$C,MATCH($C154,'de para abc'!$B:$B,0))),"C"))</f>
        <v>C</v>
      </c>
      <c r="F154" s="56">
        <v>5</v>
      </c>
    </row>
    <row r="155" spans="1:6" x14ac:dyDescent="0.25">
      <c r="A155" s="55" t="s">
        <v>69</v>
      </c>
      <c r="B155" s="41">
        <v>1000327</v>
      </c>
      <c r="C155" s="39" t="s">
        <v>114</v>
      </c>
      <c r="D155" s="40" t="s">
        <v>71</v>
      </c>
      <c r="E155" s="40" t="str">
        <f>IFERROR(IF(INDEX('de para abc'!$C:$C,MATCH($B155,'de para abc'!$A:$A,0))=0,"C",INDEX('de para abc'!$C:$C,MATCH($B155,'de para abc'!$A:$A,0))),IFERROR(IF(INDEX('de para abc'!$C:$C,MATCH($C155,'de para abc'!$B:$B,0))=0,"C",INDEX('de para abc'!$C:$C,MATCH($C155,'de para abc'!$B:$B,0))),"C"))</f>
        <v>C</v>
      </c>
      <c r="F155" s="56">
        <v>10</v>
      </c>
    </row>
    <row r="156" spans="1:6" x14ac:dyDescent="0.25">
      <c r="A156" s="55" t="s">
        <v>69</v>
      </c>
      <c r="B156" s="41">
        <v>1006150</v>
      </c>
      <c r="C156" s="39" t="s">
        <v>115</v>
      </c>
      <c r="D156" s="40" t="s">
        <v>71</v>
      </c>
      <c r="E156" s="40" t="str">
        <f>IFERROR(IF(INDEX('de para abc'!$C:$C,MATCH($B156,'de para abc'!$A:$A,0))=0,"C",INDEX('de para abc'!$C:$C,MATCH($B156,'de para abc'!$A:$A,0))),IFERROR(IF(INDEX('de para abc'!$C:$C,MATCH($C156,'de para abc'!$B:$B,0))=0,"C",INDEX('de para abc'!$C:$C,MATCH($C156,'de para abc'!$B:$B,0))),"C"))</f>
        <v>C</v>
      </c>
      <c r="F156" s="56">
        <v>5</v>
      </c>
    </row>
    <row r="157" spans="1:6" x14ac:dyDescent="0.25">
      <c r="A157" s="55" t="s">
        <v>69</v>
      </c>
      <c r="B157" s="41">
        <v>1002282</v>
      </c>
      <c r="C157" s="39" t="s">
        <v>527</v>
      </c>
      <c r="D157" s="40" t="s">
        <v>71</v>
      </c>
      <c r="E157" s="40" t="str">
        <f>IFERROR(IF(INDEX('de para abc'!$C:$C,MATCH($B157,'de para abc'!$A:$A,0))=0,"C",INDEX('de para abc'!$C:$C,MATCH($B157,'de para abc'!$A:$A,0))),IFERROR(IF(INDEX('de para abc'!$C:$C,MATCH($C157,'de para abc'!$B:$B,0))=0,"C",INDEX('de para abc'!$C:$C,MATCH($C157,'de para abc'!$B:$B,0))),"C"))</f>
        <v>C</v>
      </c>
      <c r="F157" s="56">
        <v>1</v>
      </c>
    </row>
    <row r="158" spans="1:6" x14ac:dyDescent="0.25">
      <c r="A158" s="55" t="s">
        <v>69</v>
      </c>
      <c r="B158" s="41">
        <v>1000544</v>
      </c>
      <c r="C158" s="39" t="s">
        <v>116</v>
      </c>
      <c r="D158" s="40" t="s">
        <v>14</v>
      </c>
      <c r="E158" s="40" t="str">
        <f>IFERROR(IF(INDEX('de para abc'!$C:$C,MATCH($B158,'de para abc'!$A:$A,0))=0,"C",INDEX('de para abc'!$C:$C,MATCH($B158,'de para abc'!$A:$A,0))),IFERROR(IF(INDEX('de para abc'!$C:$C,MATCH($C158,'de para abc'!$B:$B,0))=0,"C",INDEX('de para abc'!$C:$C,MATCH($C158,'de para abc'!$B:$B,0))),"C"))</f>
        <v>C</v>
      </c>
      <c r="F158" s="56">
        <v>0</v>
      </c>
    </row>
    <row r="159" spans="1:6" x14ac:dyDescent="0.25">
      <c r="A159" s="55" t="s">
        <v>69</v>
      </c>
      <c r="B159" s="41">
        <v>1001852</v>
      </c>
      <c r="C159" s="39" t="s">
        <v>185</v>
      </c>
      <c r="D159" s="40" t="s">
        <v>10</v>
      </c>
      <c r="E159" s="40" t="str">
        <f>IFERROR(IF(INDEX('de para abc'!$C:$C,MATCH($B159,'de para abc'!$A:$A,0))=0,"C",INDEX('de para abc'!$C:$C,MATCH($B159,'de para abc'!$A:$A,0))),IFERROR(IF(INDEX('de para abc'!$C:$C,MATCH($C159,'de para abc'!$B:$B,0))=0,"C",INDEX('de para abc'!$C:$C,MATCH($C159,'de para abc'!$B:$B,0))),"C"))</f>
        <v>C</v>
      </c>
      <c r="F159" s="56">
        <v>11</v>
      </c>
    </row>
    <row r="160" spans="1:6" x14ac:dyDescent="0.25">
      <c r="A160" s="55" t="s">
        <v>69</v>
      </c>
      <c r="B160" s="41">
        <v>1001562</v>
      </c>
      <c r="C160" s="39" t="s">
        <v>1190</v>
      </c>
      <c r="D160" s="40" t="s">
        <v>18</v>
      </c>
      <c r="E160" s="40" t="str">
        <f>IFERROR(IF(INDEX('de para abc'!$C:$C,MATCH($B160,'de para abc'!$A:$A,0))=0,"C",INDEX('de para abc'!$C:$C,MATCH($B160,'de para abc'!$A:$A,0))),IFERROR(IF(INDEX('de para abc'!$C:$C,MATCH($C160,'de para abc'!$B:$B,0))=0,"C",INDEX('de para abc'!$C:$C,MATCH($C160,'de para abc'!$B:$B,0))),"C"))</f>
        <v>C</v>
      </c>
      <c r="F160" s="56">
        <v>4</v>
      </c>
    </row>
    <row r="161" spans="1:6" x14ac:dyDescent="0.25">
      <c r="A161" s="55" t="s">
        <v>69</v>
      </c>
      <c r="B161" s="41">
        <v>1000368</v>
      </c>
      <c r="C161" s="39" t="s">
        <v>186</v>
      </c>
      <c r="D161" s="40" t="s">
        <v>10</v>
      </c>
      <c r="E161" s="40" t="str">
        <f>IFERROR(IF(INDEX('de para abc'!$C:$C,MATCH($B161,'de para abc'!$A:$A,0))=0,"C",INDEX('de para abc'!$C:$C,MATCH($B161,'de para abc'!$A:$A,0))),IFERROR(IF(INDEX('de para abc'!$C:$C,MATCH($C161,'de para abc'!$B:$B,0))=0,"C",INDEX('de para abc'!$C:$C,MATCH($C161,'de para abc'!$B:$B,0))),"C"))</f>
        <v>C</v>
      </c>
      <c r="F161" s="56">
        <v>7</v>
      </c>
    </row>
    <row r="162" spans="1:6" x14ac:dyDescent="0.25">
      <c r="A162" s="55" t="s">
        <v>69</v>
      </c>
      <c r="B162" s="41">
        <v>1001762</v>
      </c>
      <c r="C162" s="39" t="s">
        <v>480</v>
      </c>
      <c r="D162" s="40" t="s">
        <v>71</v>
      </c>
      <c r="E162" s="40" t="str">
        <f>IFERROR(IF(INDEX('de para abc'!$C:$C,MATCH($B162,'de para abc'!$A:$A,0))=0,"C",INDEX('de para abc'!$C:$C,MATCH($B162,'de para abc'!$A:$A,0))),IFERROR(IF(INDEX('de para abc'!$C:$C,MATCH($C162,'de para abc'!$B:$B,0))=0,"C",INDEX('de para abc'!$C:$C,MATCH($C162,'de para abc'!$B:$B,0))),"C"))</f>
        <v>C</v>
      </c>
      <c r="F162" s="56">
        <v>3</v>
      </c>
    </row>
    <row r="163" spans="1:6" x14ac:dyDescent="0.25">
      <c r="A163" s="55" t="s">
        <v>69</v>
      </c>
      <c r="B163" s="41">
        <v>1000583</v>
      </c>
      <c r="C163" s="39" t="s">
        <v>3455</v>
      </c>
      <c r="D163" s="40" t="s">
        <v>14</v>
      </c>
      <c r="E163" s="40" t="str">
        <f>IFERROR(IF(INDEX('de para abc'!$C:$C,MATCH($B163,'de para abc'!$A:$A,0))=0,"C",INDEX('de para abc'!$C:$C,MATCH($B163,'de para abc'!$A:$A,0))),IFERROR(IF(INDEX('de para abc'!$C:$C,MATCH($C163,'de para abc'!$B:$B,0))=0,"C",INDEX('de para abc'!$C:$C,MATCH($C163,'de para abc'!$B:$B,0))),"C"))</f>
        <v>C</v>
      </c>
      <c r="F163" s="56">
        <v>13</v>
      </c>
    </row>
    <row r="164" spans="1:6" x14ac:dyDescent="0.25">
      <c r="A164" s="55" t="s">
        <v>69</v>
      </c>
      <c r="B164" s="41">
        <v>1000648</v>
      </c>
      <c r="C164" s="39" t="s">
        <v>1758</v>
      </c>
      <c r="D164" s="40" t="s">
        <v>14</v>
      </c>
      <c r="E164" s="40" t="str">
        <f>IFERROR(IF(INDEX('de para abc'!$C:$C,MATCH($B164,'de para abc'!$A:$A,0))=0,"C",INDEX('de para abc'!$C:$C,MATCH($B164,'de para abc'!$A:$A,0))),IFERROR(IF(INDEX('de para abc'!$C:$C,MATCH($C164,'de para abc'!$B:$B,0))=0,"C",INDEX('de para abc'!$C:$C,MATCH($C164,'de para abc'!$B:$B,0))),"C"))</f>
        <v>C</v>
      </c>
      <c r="F164" s="56">
        <v>8</v>
      </c>
    </row>
    <row r="165" spans="1:6" x14ac:dyDescent="0.25">
      <c r="A165" s="55" t="s">
        <v>69</v>
      </c>
      <c r="B165" s="41">
        <v>1000995</v>
      </c>
      <c r="C165" s="39" t="s">
        <v>530</v>
      </c>
      <c r="D165" s="40" t="s">
        <v>14</v>
      </c>
      <c r="E165" s="40" t="str">
        <f>IFERROR(IF(INDEX('de para abc'!$C:$C,MATCH($B165,'de para abc'!$A:$A,0))=0,"C",INDEX('de para abc'!$C:$C,MATCH($B165,'de para abc'!$A:$A,0))),IFERROR(IF(INDEX('de para abc'!$C:$C,MATCH($C165,'de para abc'!$B:$B,0))=0,"C",INDEX('de para abc'!$C:$C,MATCH($C165,'de para abc'!$B:$B,0))),"C"))</f>
        <v>C</v>
      </c>
      <c r="F165" s="56">
        <v>4</v>
      </c>
    </row>
    <row r="166" spans="1:6" x14ac:dyDescent="0.25">
      <c r="A166" s="55" t="s">
        <v>69</v>
      </c>
      <c r="B166" s="41">
        <v>1001853</v>
      </c>
      <c r="C166" s="39" t="s">
        <v>531</v>
      </c>
      <c r="D166" s="40" t="s">
        <v>10</v>
      </c>
      <c r="E166" s="40" t="str">
        <f>IFERROR(IF(INDEX('de para abc'!$C:$C,MATCH($B166,'de para abc'!$A:$A,0))=0,"C",INDEX('de para abc'!$C:$C,MATCH($B166,'de para abc'!$A:$A,0))),IFERROR(IF(INDEX('de para abc'!$C:$C,MATCH($C166,'de para abc'!$B:$B,0))=0,"C",INDEX('de para abc'!$C:$C,MATCH($C166,'de para abc'!$B:$B,0))),"C"))</f>
        <v>C</v>
      </c>
      <c r="F166" s="56">
        <v>8</v>
      </c>
    </row>
    <row r="167" spans="1:6" x14ac:dyDescent="0.25">
      <c r="A167" s="55" t="s">
        <v>69</v>
      </c>
      <c r="B167" s="41">
        <v>1000367</v>
      </c>
      <c r="C167" s="39" t="s">
        <v>124</v>
      </c>
      <c r="D167" s="40" t="s">
        <v>14</v>
      </c>
      <c r="E167" s="40" t="str">
        <f>IFERROR(IF(INDEX('de para abc'!$C:$C,MATCH($B167,'de para abc'!$A:$A,0))=0,"C",INDEX('de para abc'!$C:$C,MATCH($B167,'de para abc'!$A:$A,0))),IFERROR(IF(INDEX('de para abc'!$C:$C,MATCH($C167,'de para abc'!$B:$B,0))=0,"C",INDEX('de para abc'!$C:$C,MATCH($C167,'de para abc'!$B:$B,0))),"C"))</f>
        <v>C</v>
      </c>
      <c r="F167" s="56">
        <v>3</v>
      </c>
    </row>
    <row r="168" spans="1:6" x14ac:dyDescent="0.25">
      <c r="A168" s="57" t="s">
        <v>69</v>
      </c>
      <c r="B168" s="58">
        <v>1000997</v>
      </c>
      <c r="C168" s="59" t="s">
        <v>291</v>
      </c>
      <c r="D168" s="60" t="s">
        <v>14</v>
      </c>
      <c r="E168" s="60" t="str">
        <f>IFERROR(IF(INDEX('de para abc'!$C:$C,MATCH($B168,'de para abc'!$A:$A,0))=0,"C",INDEX('de para abc'!$C:$C,MATCH($B168,'de para abc'!$A:$A,0))),IFERROR(IF(INDEX('de para abc'!$C:$C,MATCH($C168,'de para abc'!$B:$B,0))=0,"C",INDEX('de para abc'!$C:$C,MATCH($C168,'de para abc'!$B:$B,0))),"C"))</f>
        <v>C</v>
      </c>
      <c r="F168" s="61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4B30-0A04-4BCA-93E3-0F4E55FDD719}">
  <dimension ref="A1:J142"/>
  <sheetViews>
    <sheetView workbookViewId="0">
      <pane ySplit="4" topLeftCell="A115" activePane="bottomLeft" state="frozen"/>
      <selection pane="bottomLeft" activeCell="A4" sqref="A4:F142"/>
    </sheetView>
  </sheetViews>
  <sheetFormatPr defaultRowHeight="15" x14ac:dyDescent="0.25"/>
  <cols>
    <col min="1" max="1" width="11.5703125" customWidth="1"/>
    <col min="2" max="2" width="9.28515625" customWidth="1"/>
    <col min="3" max="3" width="49.5703125" customWidth="1"/>
    <col min="4" max="4" width="10.7109375" customWidth="1"/>
    <col min="5" max="5" width="15.85546875" customWidth="1"/>
    <col min="6" max="6" width="13.5703125" customWidth="1"/>
  </cols>
  <sheetData>
    <row r="1" spans="1:10" ht="18.75" x14ac:dyDescent="0.3">
      <c r="A1" s="37" t="s">
        <v>3458</v>
      </c>
    </row>
    <row r="2" spans="1:10" x14ac:dyDescent="0.25">
      <c r="A2" s="38" t="s">
        <v>3459</v>
      </c>
    </row>
    <row r="4" spans="1:10" x14ac:dyDescent="0.25">
      <c r="A4" s="47" t="s">
        <v>2</v>
      </c>
      <c r="B4" s="48" t="s">
        <v>3</v>
      </c>
      <c r="C4" s="48" t="s">
        <v>4</v>
      </c>
      <c r="D4" s="48" t="s">
        <v>5</v>
      </c>
      <c r="E4" s="48" t="s">
        <v>128</v>
      </c>
      <c r="F4" s="49" t="s">
        <v>7</v>
      </c>
      <c r="H4" s="31" t="s">
        <v>2</v>
      </c>
      <c r="I4" s="31" t="s">
        <v>192</v>
      </c>
      <c r="J4" s="31" t="s">
        <v>7</v>
      </c>
    </row>
    <row r="5" spans="1:10" x14ac:dyDescent="0.25">
      <c r="A5" s="55" t="s">
        <v>301</v>
      </c>
      <c r="B5" s="40">
        <v>1000021</v>
      </c>
      <c r="C5" s="39" t="s">
        <v>376</v>
      </c>
      <c r="D5" s="40" t="s">
        <v>10</v>
      </c>
      <c r="E5" s="40" t="str">
        <f>IFERROR(IF(INDEX('de para abc'!$C:$C,MATCH($B5,'de para abc'!$A:$A,0))=0,"C",INDEX('de para abc'!$C:$C,MATCH($B5,'de para abc'!$A:$A,0))),IFERROR(IF(INDEX('de para abc'!$C:$C,MATCH($C5,'de para abc'!$B:$B,0))=0,"C",INDEX('de para abc'!$C:$C,MATCH($C5,'de para abc'!$B:$B,0))),"C"))</f>
        <v>C</v>
      </c>
      <c r="F5" s="56">
        <v>0</v>
      </c>
      <c r="H5" t="s">
        <v>301</v>
      </c>
      <c r="I5" s="36">
        <f>COUNTIF($A$5:$A$142,H5)</f>
        <v>86</v>
      </c>
      <c r="J5" s="36">
        <f>SUMIF($A$5:$A$142,H5,$F$5:$F$142)</f>
        <v>181</v>
      </c>
    </row>
    <row r="6" spans="1:10" x14ac:dyDescent="0.25">
      <c r="A6" s="55" t="s">
        <v>301</v>
      </c>
      <c r="B6" s="40">
        <v>1000032</v>
      </c>
      <c r="C6" s="39" t="s">
        <v>9</v>
      </c>
      <c r="D6" s="40" t="s">
        <v>10</v>
      </c>
      <c r="E6" s="40" t="str">
        <f>IFERROR(IF(INDEX('de para abc'!$C:$C,MATCH($B6,'de para abc'!$A:$A,0))=0,"C",INDEX('de para abc'!$C:$C,MATCH($B6,'de para abc'!$A:$A,0))),IFERROR(IF(INDEX('de para abc'!$C:$C,MATCH($C6,'de para abc'!$B:$B,0))=0,"C",INDEX('de para abc'!$C:$C,MATCH($C6,'de para abc'!$B:$B,0))),"C"))</f>
        <v>A</v>
      </c>
      <c r="F6" s="56">
        <v>2</v>
      </c>
      <c r="H6" t="s">
        <v>69</v>
      </c>
      <c r="I6" s="36">
        <f>COUNTIF($A$5:$A$142,H6)</f>
        <v>52</v>
      </c>
      <c r="J6" s="36">
        <f>SUMIF($A$5:$A$142,H6,$F$5:$F$142)</f>
        <v>116</v>
      </c>
    </row>
    <row r="7" spans="1:10" x14ac:dyDescent="0.25">
      <c r="A7" s="55" t="s">
        <v>301</v>
      </c>
      <c r="B7" s="40">
        <v>1000033</v>
      </c>
      <c r="C7" s="39" t="s">
        <v>12</v>
      </c>
      <c r="D7" s="40" t="s">
        <v>10</v>
      </c>
      <c r="E7" s="40" t="str">
        <f>IFERROR(IF(INDEX('de para abc'!$C:$C,MATCH($B7,'de para abc'!$A:$A,0))=0,"C",INDEX('de para abc'!$C:$C,MATCH($B7,'de para abc'!$A:$A,0))),IFERROR(IF(INDEX('de para abc'!$C:$C,MATCH($C7,'de para abc'!$B:$B,0))=0,"C",INDEX('de para abc'!$C:$C,MATCH($C7,'de para abc'!$B:$B,0))),"C"))</f>
        <v>A</v>
      </c>
      <c r="F7" s="56">
        <v>3</v>
      </c>
      <c r="H7" t="s">
        <v>194</v>
      </c>
      <c r="I7" s="36">
        <f>SUM(I5:I6)</f>
        <v>138</v>
      </c>
      <c r="J7" s="36">
        <f>SUM(J5:J6)</f>
        <v>297</v>
      </c>
    </row>
    <row r="8" spans="1:10" x14ac:dyDescent="0.25">
      <c r="A8" s="55" t="s">
        <v>301</v>
      </c>
      <c r="B8" s="40">
        <v>1000037</v>
      </c>
      <c r="C8" s="39" t="s">
        <v>46</v>
      </c>
      <c r="D8" s="40" t="s">
        <v>10</v>
      </c>
      <c r="E8" s="40" t="str">
        <f>IFERROR(IF(INDEX('de para abc'!$C:$C,MATCH($B8,'de para abc'!$A:$A,0))=0,"C",INDEX('de para abc'!$C:$C,MATCH($B8,'de para abc'!$A:$A,0))),IFERROR(IF(INDEX('de para abc'!$C:$C,MATCH($C8,'de para abc'!$B:$B,0))=0,"C",INDEX('de para abc'!$C:$C,MATCH($C8,'de para abc'!$B:$B,0))),"C"))</f>
        <v>A</v>
      </c>
      <c r="F8" s="56">
        <v>3</v>
      </c>
    </row>
    <row r="9" spans="1:10" x14ac:dyDescent="0.25">
      <c r="A9" s="55" t="s">
        <v>301</v>
      </c>
      <c r="B9" s="40">
        <v>1001260</v>
      </c>
      <c r="C9" s="39" t="s">
        <v>382</v>
      </c>
      <c r="D9" s="40" t="s">
        <v>14</v>
      </c>
      <c r="E9" s="40" t="str">
        <f>IFERROR(IF(INDEX('de para abc'!$C:$C,MATCH($B9,'de para abc'!$A:$A,0))=0,"C",INDEX('de para abc'!$C:$C,MATCH($B9,'de para abc'!$A:$A,0))),IFERROR(IF(INDEX('de para abc'!$C:$C,MATCH($C9,'de para abc'!$B:$B,0))=0,"C",INDEX('de para abc'!$C:$C,MATCH($C9,'de para abc'!$B:$B,0))),"C"))</f>
        <v>C</v>
      </c>
      <c r="F9" s="56">
        <v>1</v>
      </c>
    </row>
    <row r="10" spans="1:10" x14ac:dyDescent="0.25">
      <c r="A10" s="55" t="s">
        <v>301</v>
      </c>
      <c r="B10" s="40">
        <v>1000039</v>
      </c>
      <c r="C10" s="39" t="s">
        <v>16</v>
      </c>
      <c r="D10" s="40" t="s">
        <v>10</v>
      </c>
      <c r="E10" s="40" t="str">
        <f>IFERROR(IF(INDEX('de para abc'!$C:$C,MATCH($B10,'de para abc'!$A:$A,0))=0,"C",INDEX('de para abc'!$C:$C,MATCH($B10,'de para abc'!$A:$A,0))),IFERROR(IF(INDEX('de para abc'!$C:$C,MATCH($C10,'de para abc'!$B:$B,0))=0,"C",INDEX('de para abc'!$C:$C,MATCH($C10,'de para abc'!$B:$B,0))),"C"))</f>
        <v>A</v>
      </c>
      <c r="F10" s="56">
        <v>2</v>
      </c>
    </row>
    <row r="11" spans="1:10" x14ac:dyDescent="0.25">
      <c r="A11" s="55" t="s">
        <v>301</v>
      </c>
      <c r="B11" s="40">
        <v>1001850</v>
      </c>
      <c r="C11" s="39" t="s">
        <v>167</v>
      </c>
      <c r="D11" s="40" t="s">
        <v>10</v>
      </c>
      <c r="E11" s="40" t="str">
        <f>IFERROR(IF(INDEX('de para abc'!$C:$C,MATCH($B11,'de para abc'!$A:$A,0))=0,"C",INDEX('de para abc'!$C:$C,MATCH($B11,'de para abc'!$A:$A,0))),IFERROR(IF(INDEX('de para abc'!$C:$C,MATCH($C11,'de para abc'!$B:$B,0))=0,"C",INDEX('de para abc'!$C:$C,MATCH($C11,'de para abc'!$B:$B,0))),"C"))</f>
        <v>C</v>
      </c>
      <c r="F11" s="56">
        <v>3</v>
      </c>
    </row>
    <row r="12" spans="1:10" x14ac:dyDescent="0.25">
      <c r="A12" s="55" t="s">
        <v>301</v>
      </c>
      <c r="B12" s="40">
        <v>1006180</v>
      </c>
      <c r="C12" s="39" t="s">
        <v>168</v>
      </c>
      <c r="D12" s="40" t="s">
        <v>18</v>
      </c>
      <c r="E12" s="40" t="str">
        <f>IFERROR(IF(INDEX('de para abc'!$C:$C,MATCH($B12,'de para abc'!$A:$A,0))=0,"C",INDEX('de para abc'!$C:$C,MATCH($B12,'de para abc'!$A:$A,0))),IFERROR(IF(INDEX('de para abc'!$C:$C,MATCH($C12,'de para abc'!$B:$B,0))=0,"C",INDEX('de para abc'!$C:$C,MATCH($C12,'de para abc'!$B:$B,0))),"C"))</f>
        <v>C</v>
      </c>
      <c r="F12" s="56">
        <v>1</v>
      </c>
    </row>
    <row r="13" spans="1:10" x14ac:dyDescent="0.25">
      <c r="A13" s="55" t="s">
        <v>301</v>
      </c>
      <c r="B13" s="40">
        <v>1001029</v>
      </c>
      <c r="C13" s="39" t="s">
        <v>384</v>
      </c>
      <c r="D13" s="40" t="s">
        <v>14</v>
      </c>
      <c r="E13" s="40" t="str">
        <f>IFERROR(IF(INDEX('de para abc'!$C:$C,MATCH($B13,'de para abc'!$A:$A,0))=0,"C",INDEX('de para abc'!$C:$C,MATCH($B13,'de para abc'!$A:$A,0))),IFERROR(IF(INDEX('de para abc'!$C:$C,MATCH($C13,'de para abc'!$B:$B,0))=0,"C",INDEX('de para abc'!$C:$C,MATCH($C13,'de para abc'!$B:$B,0))),"C"))</f>
        <v>C</v>
      </c>
      <c r="F13" s="56">
        <v>1</v>
      </c>
    </row>
    <row r="14" spans="1:10" x14ac:dyDescent="0.25">
      <c r="A14" s="55" t="s">
        <v>301</v>
      </c>
      <c r="B14" s="40">
        <v>1000049</v>
      </c>
      <c r="C14" s="39" t="s">
        <v>48</v>
      </c>
      <c r="D14" s="40" t="s">
        <v>10</v>
      </c>
      <c r="E14" s="40" t="str">
        <f>IFERROR(IF(INDEX('de para abc'!$C:$C,MATCH($B14,'de para abc'!$A:$A,0))=0,"C",INDEX('de para abc'!$C:$C,MATCH($B14,'de para abc'!$A:$A,0))),IFERROR(IF(INDEX('de para abc'!$C:$C,MATCH($C14,'de para abc'!$B:$B,0))=0,"C",INDEX('de para abc'!$C:$C,MATCH($C14,'de para abc'!$B:$B,0))),"C"))</f>
        <v>A</v>
      </c>
      <c r="F14" s="56">
        <v>4</v>
      </c>
    </row>
    <row r="15" spans="1:10" x14ac:dyDescent="0.25">
      <c r="A15" s="55" t="s">
        <v>301</v>
      </c>
      <c r="B15" s="40">
        <v>1001110</v>
      </c>
      <c r="C15" s="39" t="s">
        <v>386</v>
      </c>
      <c r="D15" s="40" t="s">
        <v>10</v>
      </c>
      <c r="E15" s="40" t="str">
        <f>IFERROR(IF(INDEX('de para abc'!$C:$C,MATCH($B15,'de para abc'!$A:$A,0))=0,"C",INDEX('de para abc'!$C:$C,MATCH($B15,'de para abc'!$A:$A,0))),IFERROR(IF(INDEX('de para abc'!$C:$C,MATCH($C15,'de para abc'!$B:$B,0))=0,"C",INDEX('de para abc'!$C:$C,MATCH($C15,'de para abc'!$B:$B,0))),"C"))</f>
        <v>B</v>
      </c>
      <c r="F15" s="56">
        <v>0</v>
      </c>
    </row>
    <row r="16" spans="1:10" x14ac:dyDescent="0.25">
      <c r="A16" s="55" t="s">
        <v>301</v>
      </c>
      <c r="B16" s="40">
        <v>1000657</v>
      </c>
      <c r="C16" s="39" t="s">
        <v>387</v>
      </c>
      <c r="D16" s="40" t="s">
        <v>10</v>
      </c>
      <c r="E16" s="40" t="str">
        <f>IFERROR(IF(INDEX('de para abc'!$C:$C,MATCH($B16,'de para abc'!$A:$A,0))=0,"C",INDEX('de para abc'!$C:$C,MATCH($B16,'de para abc'!$A:$A,0))),IFERROR(IF(INDEX('de para abc'!$C:$C,MATCH($C16,'de para abc'!$B:$B,0))=0,"C",INDEX('de para abc'!$C:$C,MATCH($C16,'de para abc'!$B:$B,0))),"C"))</f>
        <v>C</v>
      </c>
      <c r="F16" s="56">
        <v>1</v>
      </c>
    </row>
    <row r="17" spans="1:6" x14ac:dyDescent="0.25">
      <c r="A17" s="55" t="s">
        <v>301</v>
      </c>
      <c r="B17" s="40">
        <v>1001262</v>
      </c>
      <c r="C17" s="39" t="s">
        <v>388</v>
      </c>
      <c r="D17" s="40" t="s">
        <v>14</v>
      </c>
      <c r="E17" s="40" t="str">
        <f>IFERROR(IF(INDEX('de para abc'!$C:$C,MATCH($B17,'de para abc'!$A:$A,0))=0,"C",INDEX('de para abc'!$C:$C,MATCH($B17,'de para abc'!$A:$A,0))),IFERROR(IF(INDEX('de para abc'!$C:$C,MATCH($C17,'de para abc'!$B:$B,0))=0,"C",INDEX('de para abc'!$C:$C,MATCH($C17,'de para abc'!$B:$B,0))),"C"))</f>
        <v>B</v>
      </c>
      <c r="F17" s="56">
        <v>1</v>
      </c>
    </row>
    <row r="18" spans="1:6" x14ac:dyDescent="0.25">
      <c r="A18" s="55" t="s">
        <v>301</v>
      </c>
      <c r="B18" s="40">
        <v>1000065</v>
      </c>
      <c r="C18" s="39" t="s">
        <v>131</v>
      </c>
      <c r="D18" s="40" t="s">
        <v>10</v>
      </c>
      <c r="E18" s="40" t="str">
        <f>IFERROR(IF(INDEX('de para abc'!$C:$C,MATCH($B18,'de para abc'!$A:$A,0))=0,"C",INDEX('de para abc'!$C:$C,MATCH($B18,'de para abc'!$A:$A,0))),IFERROR(IF(INDEX('de para abc'!$C:$C,MATCH($C18,'de para abc'!$B:$B,0))=0,"C",INDEX('de para abc'!$C:$C,MATCH($C18,'de para abc'!$B:$B,0))),"C"))</f>
        <v>A</v>
      </c>
      <c r="F18" s="56">
        <v>2</v>
      </c>
    </row>
    <row r="19" spans="1:6" x14ac:dyDescent="0.25">
      <c r="A19" s="55" t="s">
        <v>301</v>
      </c>
      <c r="B19" s="40">
        <v>1001122</v>
      </c>
      <c r="C19" s="39" t="s">
        <v>140</v>
      </c>
      <c r="D19" s="40" t="s">
        <v>10</v>
      </c>
      <c r="E19" s="40" t="str">
        <f>IFERROR(IF(INDEX('de para abc'!$C:$C,MATCH($B19,'de para abc'!$A:$A,0))=0,"C",INDEX('de para abc'!$C:$C,MATCH($B19,'de para abc'!$A:$A,0))),IFERROR(IF(INDEX('de para abc'!$C:$C,MATCH($C19,'de para abc'!$B:$B,0))=0,"C",INDEX('de para abc'!$C:$C,MATCH($C19,'de para abc'!$B:$B,0))),"C"))</f>
        <v>A</v>
      </c>
      <c r="F19" s="56">
        <v>5</v>
      </c>
    </row>
    <row r="20" spans="1:6" x14ac:dyDescent="0.25">
      <c r="A20" s="55" t="s">
        <v>301</v>
      </c>
      <c r="B20" s="40">
        <v>1000713</v>
      </c>
      <c r="C20" s="39" t="s">
        <v>396</v>
      </c>
      <c r="D20" s="40" t="s">
        <v>10</v>
      </c>
      <c r="E20" s="40" t="str">
        <f>IFERROR(IF(INDEX('de para abc'!$C:$C,MATCH($B20,'de para abc'!$A:$A,0))=0,"C",INDEX('de para abc'!$C:$C,MATCH($B20,'de para abc'!$A:$A,0))),IFERROR(IF(INDEX('de para abc'!$C:$C,MATCH($C20,'de para abc'!$B:$B,0))=0,"C",INDEX('de para abc'!$C:$C,MATCH($C20,'de para abc'!$B:$B,0))),"C"))</f>
        <v>C</v>
      </c>
      <c r="F20" s="56">
        <v>1</v>
      </c>
    </row>
    <row r="21" spans="1:6" x14ac:dyDescent="0.25">
      <c r="A21" s="55" t="s">
        <v>301</v>
      </c>
      <c r="B21" s="40">
        <v>1000149</v>
      </c>
      <c r="C21" s="39" t="s">
        <v>397</v>
      </c>
      <c r="D21" s="40" t="s">
        <v>14</v>
      </c>
      <c r="E21" s="40" t="str">
        <f>IFERROR(IF(INDEX('de para abc'!$C:$C,MATCH($B21,'de para abc'!$A:$A,0))=0,"C",INDEX('de para abc'!$C:$C,MATCH($B21,'de para abc'!$A:$A,0))),IFERROR(IF(INDEX('de para abc'!$C:$C,MATCH($C21,'de para abc'!$B:$B,0))=0,"C",INDEX('de para abc'!$C:$C,MATCH($C21,'de para abc'!$B:$B,0))),"C"))</f>
        <v>C</v>
      </c>
      <c r="F21" s="56">
        <v>1</v>
      </c>
    </row>
    <row r="22" spans="1:6" x14ac:dyDescent="0.25">
      <c r="A22" s="55" t="s">
        <v>301</v>
      </c>
      <c r="B22" s="40">
        <v>1000150</v>
      </c>
      <c r="C22" s="39" t="s">
        <v>398</v>
      </c>
      <c r="D22" s="40" t="s">
        <v>10</v>
      </c>
      <c r="E22" s="40" t="str">
        <f>IFERROR(IF(INDEX('de para abc'!$C:$C,MATCH($B22,'de para abc'!$A:$A,0))=0,"C",INDEX('de para abc'!$C:$C,MATCH($B22,'de para abc'!$A:$A,0))),IFERROR(IF(INDEX('de para abc'!$C:$C,MATCH($C22,'de para abc'!$B:$B,0))=0,"C",INDEX('de para abc'!$C:$C,MATCH($C22,'de para abc'!$B:$B,0))),"C"))</f>
        <v>C</v>
      </c>
      <c r="F22" s="56">
        <v>2</v>
      </c>
    </row>
    <row r="23" spans="1:6" x14ac:dyDescent="0.25">
      <c r="A23" s="55" t="s">
        <v>301</v>
      </c>
      <c r="B23" s="40">
        <v>1002012</v>
      </c>
      <c r="C23" s="39" t="s">
        <v>2048</v>
      </c>
      <c r="D23" s="40" t="s">
        <v>10</v>
      </c>
      <c r="E23" s="40" t="str">
        <f>IFERROR(IF(INDEX('de para abc'!$C:$C,MATCH($B23,'de para abc'!$A:$A,0))=0,"C",INDEX('de para abc'!$C:$C,MATCH($B23,'de para abc'!$A:$A,0))),IFERROR(IF(INDEX('de para abc'!$C:$C,MATCH($C23,'de para abc'!$B:$B,0))=0,"C",INDEX('de para abc'!$C:$C,MATCH($C23,'de para abc'!$B:$B,0))),"C"))</f>
        <v>C</v>
      </c>
      <c r="F23" s="56">
        <v>5</v>
      </c>
    </row>
    <row r="24" spans="1:6" x14ac:dyDescent="0.25">
      <c r="A24" s="55" t="s">
        <v>301</v>
      </c>
      <c r="B24" s="40">
        <v>1000834</v>
      </c>
      <c r="C24" s="39" t="s">
        <v>399</v>
      </c>
      <c r="D24" s="40" t="s">
        <v>14</v>
      </c>
      <c r="E24" s="40" t="str">
        <f>IFERROR(IF(INDEX('de para abc'!$C:$C,MATCH($B24,'de para abc'!$A:$A,0))=0,"C",INDEX('de para abc'!$C:$C,MATCH($B24,'de para abc'!$A:$A,0))),IFERROR(IF(INDEX('de para abc'!$C:$C,MATCH($C24,'de para abc'!$B:$B,0))=0,"C",INDEX('de para abc'!$C:$C,MATCH($C24,'de para abc'!$B:$B,0))),"C"))</f>
        <v>C</v>
      </c>
      <c r="F24" s="56">
        <v>1</v>
      </c>
    </row>
    <row r="25" spans="1:6" x14ac:dyDescent="0.25">
      <c r="A25" s="55" t="s">
        <v>301</v>
      </c>
      <c r="B25" s="40"/>
      <c r="C25" s="39" t="s">
        <v>3450</v>
      </c>
      <c r="D25" s="40" t="s">
        <v>10</v>
      </c>
      <c r="E25" s="40" t="str">
        <f>IFERROR(IF(INDEX('de para abc'!$C:$C,MATCH($B25,'de para abc'!$A:$A,0))=0,"C",INDEX('de para abc'!$C:$C,MATCH($B25,'de para abc'!$A:$A,0))),IFERROR(IF(INDEX('de para abc'!$C:$C,MATCH($C25,'de para abc'!$B:$B,0))=0,"C",INDEX('de para abc'!$C:$C,MATCH($C25,'de para abc'!$B:$B,0))),"C"))</f>
        <v>C</v>
      </c>
      <c r="F25" s="56">
        <v>1</v>
      </c>
    </row>
    <row r="26" spans="1:6" x14ac:dyDescent="0.25">
      <c r="A26" s="55" t="s">
        <v>301</v>
      </c>
      <c r="B26" s="40">
        <v>1006850</v>
      </c>
      <c r="C26" s="39" t="s">
        <v>402</v>
      </c>
      <c r="D26" s="40" t="s">
        <v>10</v>
      </c>
      <c r="E26" s="40" t="str">
        <f>IFERROR(IF(INDEX('de para abc'!$C:$C,MATCH($B26,'de para abc'!$A:$A,0))=0,"C",INDEX('de para abc'!$C:$C,MATCH($B26,'de para abc'!$A:$A,0))),IFERROR(IF(INDEX('de para abc'!$C:$C,MATCH($C26,'de para abc'!$B:$B,0))=0,"C",INDEX('de para abc'!$C:$C,MATCH($C26,'de para abc'!$B:$B,0))),"C"))</f>
        <v>C</v>
      </c>
      <c r="F26" s="56">
        <v>3</v>
      </c>
    </row>
    <row r="27" spans="1:6" x14ac:dyDescent="0.25">
      <c r="A27" s="55" t="s">
        <v>301</v>
      </c>
      <c r="B27" s="40">
        <v>1006835</v>
      </c>
      <c r="C27" s="39" t="s">
        <v>404</v>
      </c>
      <c r="D27" s="40" t="s">
        <v>10</v>
      </c>
      <c r="E27" s="40" t="str">
        <f>IFERROR(IF(INDEX('de para abc'!$C:$C,MATCH($B27,'de para abc'!$A:$A,0))=0,"C",INDEX('de para abc'!$C:$C,MATCH($B27,'de para abc'!$A:$A,0))),IFERROR(IF(INDEX('de para abc'!$C:$C,MATCH($C27,'de para abc'!$B:$B,0))=0,"C",INDEX('de para abc'!$C:$C,MATCH($C27,'de para abc'!$B:$B,0))),"C"))</f>
        <v>C</v>
      </c>
      <c r="F27" s="56">
        <v>2</v>
      </c>
    </row>
    <row r="28" spans="1:6" x14ac:dyDescent="0.25">
      <c r="A28" s="55" t="s">
        <v>301</v>
      </c>
      <c r="B28" s="40">
        <v>1006836</v>
      </c>
      <c r="C28" s="39" t="s">
        <v>405</v>
      </c>
      <c r="D28" s="40" t="s">
        <v>10</v>
      </c>
      <c r="E28" s="40" t="str">
        <f>IFERROR(IF(INDEX('de para abc'!$C:$C,MATCH($B28,'de para abc'!$A:$A,0))=0,"C",INDEX('de para abc'!$C:$C,MATCH($B28,'de para abc'!$A:$A,0))),IFERROR(IF(INDEX('de para abc'!$C:$C,MATCH($C28,'de para abc'!$B:$B,0))=0,"C",INDEX('de para abc'!$C:$C,MATCH($C28,'de para abc'!$B:$B,0))),"C"))</f>
        <v>C</v>
      </c>
      <c r="F28" s="56">
        <v>1</v>
      </c>
    </row>
    <row r="29" spans="1:6" x14ac:dyDescent="0.25">
      <c r="A29" s="55" t="s">
        <v>301</v>
      </c>
      <c r="B29" s="40">
        <v>1006837</v>
      </c>
      <c r="C29" s="39" t="s">
        <v>406</v>
      </c>
      <c r="D29" s="40" t="s">
        <v>10</v>
      </c>
      <c r="E29" s="40" t="str">
        <f>IFERROR(IF(INDEX('de para abc'!$C:$C,MATCH($B29,'de para abc'!$A:$A,0))=0,"C",INDEX('de para abc'!$C:$C,MATCH($B29,'de para abc'!$A:$A,0))),IFERROR(IF(INDEX('de para abc'!$C:$C,MATCH($C29,'de para abc'!$B:$B,0))=0,"C",INDEX('de para abc'!$C:$C,MATCH($C29,'de para abc'!$B:$B,0))),"C"))</f>
        <v>C</v>
      </c>
      <c r="F29" s="56">
        <v>2</v>
      </c>
    </row>
    <row r="30" spans="1:6" x14ac:dyDescent="0.25">
      <c r="A30" s="55" t="s">
        <v>301</v>
      </c>
      <c r="B30" s="40">
        <v>1006827</v>
      </c>
      <c r="C30" s="39" t="s">
        <v>408</v>
      </c>
      <c r="D30" s="40" t="s">
        <v>10</v>
      </c>
      <c r="E30" s="40" t="str">
        <f>IFERROR(IF(INDEX('de para abc'!$C:$C,MATCH($B30,'de para abc'!$A:$A,0))=0,"C",INDEX('de para abc'!$C:$C,MATCH($B30,'de para abc'!$A:$A,0))),IFERROR(IF(INDEX('de para abc'!$C:$C,MATCH($C30,'de para abc'!$B:$B,0))=0,"C",INDEX('de para abc'!$C:$C,MATCH($C30,'de para abc'!$B:$B,0))),"C"))</f>
        <v>C</v>
      </c>
      <c r="F30" s="56">
        <v>3</v>
      </c>
    </row>
    <row r="31" spans="1:6" x14ac:dyDescent="0.25">
      <c r="A31" s="55" t="s">
        <v>301</v>
      </c>
      <c r="B31" s="40">
        <v>1006828</v>
      </c>
      <c r="C31" s="39" t="s">
        <v>409</v>
      </c>
      <c r="D31" s="40" t="s">
        <v>10</v>
      </c>
      <c r="E31" s="40" t="str">
        <f>IFERROR(IF(INDEX('de para abc'!$C:$C,MATCH($B31,'de para abc'!$A:$A,0))=0,"C",INDEX('de para abc'!$C:$C,MATCH($B31,'de para abc'!$A:$A,0))),IFERROR(IF(INDEX('de para abc'!$C:$C,MATCH($C31,'de para abc'!$B:$B,0))=0,"C",INDEX('de para abc'!$C:$C,MATCH($C31,'de para abc'!$B:$B,0))),"C"))</f>
        <v>C</v>
      </c>
      <c r="F31" s="56">
        <v>4</v>
      </c>
    </row>
    <row r="32" spans="1:6" x14ac:dyDescent="0.25">
      <c r="A32" s="55" t="s">
        <v>301</v>
      </c>
      <c r="B32" s="40">
        <v>1000169</v>
      </c>
      <c r="C32" s="39" t="s">
        <v>415</v>
      </c>
      <c r="D32" s="40" t="s">
        <v>10</v>
      </c>
      <c r="E32" s="40" t="str">
        <f>IFERROR(IF(INDEX('de para abc'!$C:$C,MATCH($B32,'de para abc'!$A:$A,0))=0,"C",INDEX('de para abc'!$C:$C,MATCH($B32,'de para abc'!$A:$A,0))),IFERROR(IF(INDEX('de para abc'!$C:$C,MATCH($C32,'de para abc'!$B:$B,0))=0,"C",INDEX('de para abc'!$C:$C,MATCH($C32,'de para abc'!$B:$B,0))),"C"))</f>
        <v>C</v>
      </c>
      <c r="F32" s="56">
        <v>1</v>
      </c>
    </row>
    <row r="33" spans="1:6" x14ac:dyDescent="0.25">
      <c r="A33" s="55" t="s">
        <v>301</v>
      </c>
      <c r="B33" s="40">
        <v>1006829</v>
      </c>
      <c r="C33" s="39" t="s">
        <v>416</v>
      </c>
      <c r="D33" s="40" t="s">
        <v>10</v>
      </c>
      <c r="E33" s="40" t="str">
        <f>IFERROR(IF(INDEX('de para abc'!$C:$C,MATCH($B33,'de para abc'!$A:$A,0))=0,"C",INDEX('de para abc'!$C:$C,MATCH($B33,'de para abc'!$A:$A,0))),IFERROR(IF(INDEX('de para abc'!$C:$C,MATCH($C33,'de para abc'!$B:$B,0))=0,"C",INDEX('de para abc'!$C:$C,MATCH($C33,'de para abc'!$B:$B,0))),"C"))</f>
        <v>C</v>
      </c>
      <c r="F33" s="56">
        <v>3</v>
      </c>
    </row>
    <row r="34" spans="1:6" x14ac:dyDescent="0.25">
      <c r="A34" s="55" t="s">
        <v>301</v>
      </c>
      <c r="B34" s="40">
        <v>1001677</v>
      </c>
      <c r="C34" s="39" t="s">
        <v>418</v>
      </c>
      <c r="D34" s="40" t="s">
        <v>18</v>
      </c>
      <c r="E34" s="40" t="str">
        <f>IFERROR(IF(INDEX('de para abc'!$C:$C,MATCH($B34,'de para abc'!$A:$A,0))=0,"C",INDEX('de para abc'!$C:$C,MATCH($B34,'de para abc'!$A:$A,0))),IFERROR(IF(INDEX('de para abc'!$C:$C,MATCH($C34,'de para abc'!$B:$B,0))=0,"C",INDEX('de para abc'!$C:$C,MATCH($C34,'de para abc'!$B:$B,0))),"C"))</f>
        <v>C</v>
      </c>
      <c r="F34" s="56">
        <v>3</v>
      </c>
    </row>
    <row r="35" spans="1:6" x14ac:dyDescent="0.25">
      <c r="A35" s="55" t="s">
        <v>301</v>
      </c>
      <c r="B35" s="40">
        <v>1006950</v>
      </c>
      <c r="C35" s="39" t="s">
        <v>419</v>
      </c>
      <c r="D35" s="40" t="s">
        <v>10</v>
      </c>
      <c r="E35" s="40" t="str">
        <f>IFERROR(IF(INDEX('de para abc'!$C:$C,MATCH($B35,'de para abc'!$A:$A,0))=0,"C",INDEX('de para abc'!$C:$C,MATCH($B35,'de para abc'!$A:$A,0))),IFERROR(IF(INDEX('de para abc'!$C:$C,MATCH($C35,'de para abc'!$B:$B,0))=0,"C",INDEX('de para abc'!$C:$C,MATCH($C35,'de para abc'!$B:$B,0))),"C"))</f>
        <v>C</v>
      </c>
      <c r="F35" s="56">
        <v>2</v>
      </c>
    </row>
    <row r="36" spans="1:6" x14ac:dyDescent="0.25">
      <c r="A36" s="55" t="s">
        <v>301</v>
      </c>
      <c r="B36" s="40">
        <v>1001676</v>
      </c>
      <c r="C36" s="39" t="s">
        <v>421</v>
      </c>
      <c r="D36" s="40" t="s">
        <v>18</v>
      </c>
      <c r="E36" s="40" t="str">
        <f>IFERROR(IF(INDEX('de para abc'!$C:$C,MATCH($B36,'de para abc'!$A:$A,0))=0,"C",INDEX('de para abc'!$C:$C,MATCH($B36,'de para abc'!$A:$A,0))),IFERROR(IF(INDEX('de para abc'!$C:$C,MATCH($C36,'de para abc'!$B:$B,0))=0,"C",INDEX('de para abc'!$C:$C,MATCH($C36,'de para abc'!$B:$B,0))),"C"))</f>
        <v>C</v>
      </c>
      <c r="F36" s="56">
        <v>6</v>
      </c>
    </row>
    <row r="37" spans="1:6" x14ac:dyDescent="0.25">
      <c r="A37" s="55" t="s">
        <v>301</v>
      </c>
      <c r="B37" s="40">
        <v>1006832</v>
      </c>
      <c r="C37" s="39" t="s">
        <v>422</v>
      </c>
      <c r="D37" s="40" t="s">
        <v>10</v>
      </c>
      <c r="E37" s="40" t="str">
        <f>IFERROR(IF(INDEX('de para abc'!$C:$C,MATCH($B37,'de para abc'!$A:$A,0))=0,"C",INDEX('de para abc'!$C:$C,MATCH($B37,'de para abc'!$A:$A,0))),IFERROR(IF(INDEX('de para abc'!$C:$C,MATCH($C37,'de para abc'!$B:$B,0))=0,"C",INDEX('de para abc'!$C:$C,MATCH($C37,'de para abc'!$B:$B,0))),"C"))</f>
        <v>C</v>
      </c>
      <c r="F37" s="56">
        <v>3</v>
      </c>
    </row>
    <row r="38" spans="1:6" x14ac:dyDescent="0.25">
      <c r="A38" s="55" t="s">
        <v>301</v>
      </c>
      <c r="B38" s="40">
        <v>1000838</v>
      </c>
      <c r="C38" s="39" t="s">
        <v>411</v>
      </c>
      <c r="D38" s="40" t="s">
        <v>14</v>
      </c>
      <c r="E38" s="40" t="str">
        <f>IFERROR(IF(INDEX('de para abc'!$C:$C,MATCH($B38,'de para abc'!$A:$A,0))=0,"C",INDEX('de para abc'!$C:$C,MATCH($B38,'de para abc'!$A:$A,0))),IFERROR(IF(INDEX('de para abc'!$C:$C,MATCH($C38,'de para abc'!$B:$B,0))=0,"C",INDEX('de para abc'!$C:$C,MATCH($C38,'de para abc'!$B:$B,0))),"C"))</f>
        <v>C</v>
      </c>
      <c r="F38" s="56">
        <v>4</v>
      </c>
    </row>
    <row r="39" spans="1:6" x14ac:dyDescent="0.25">
      <c r="A39" s="55" t="s">
        <v>301</v>
      </c>
      <c r="B39" s="40">
        <v>1000837</v>
      </c>
      <c r="C39" s="39" t="s">
        <v>413</v>
      </c>
      <c r="D39" s="40" t="s">
        <v>14</v>
      </c>
      <c r="E39" s="40" t="str">
        <f>IFERROR(IF(INDEX('de para abc'!$C:$C,MATCH($B39,'de para abc'!$A:$A,0))=0,"C",INDEX('de para abc'!$C:$C,MATCH($B39,'de para abc'!$A:$A,0))),IFERROR(IF(INDEX('de para abc'!$C:$C,MATCH($C39,'de para abc'!$B:$B,0))=0,"C",INDEX('de para abc'!$C:$C,MATCH($C39,'de para abc'!$B:$B,0))),"C"))</f>
        <v>C</v>
      </c>
      <c r="F39" s="56">
        <v>3</v>
      </c>
    </row>
    <row r="40" spans="1:6" x14ac:dyDescent="0.25">
      <c r="A40" s="55" t="s">
        <v>301</v>
      </c>
      <c r="B40" s="40">
        <v>1000553</v>
      </c>
      <c r="C40" s="39" t="s">
        <v>414</v>
      </c>
      <c r="D40" s="40" t="s">
        <v>10</v>
      </c>
      <c r="E40" s="40" t="str">
        <f>IFERROR(IF(INDEX('de para abc'!$C:$C,MATCH($B40,'de para abc'!$A:$A,0))=0,"C",INDEX('de para abc'!$C:$C,MATCH($B40,'de para abc'!$A:$A,0))),IFERROR(IF(INDEX('de para abc'!$C:$C,MATCH($C40,'de para abc'!$B:$B,0))=0,"C",INDEX('de para abc'!$C:$C,MATCH($C40,'de para abc'!$B:$B,0))),"C"))</f>
        <v>C</v>
      </c>
      <c r="F40" s="56">
        <v>3</v>
      </c>
    </row>
    <row r="41" spans="1:6" x14ac:dyDescent="0.25">
      <c r="A41" s="55" t="s">
        <v>301</v>
      </c>
      <c r="B41" s="40">
        <v>1006952</v>
      </c>
      <c r="C41" s="39" t="s">
        <v>424</v>
      </c>
      <c r="D41" s="40" t="s">
        <v>10</v>
      </c>
      <c r="E41" s="40" t="str">
        <f>IFERROR(IF(INDEX('de para abc'!$C:$C,MATCH($B41,'de para abc'!$A:$A,0))=0,"C",INDEX('de para abc'!$C:$C,MATCH($B41,'de para abc'!$A:$A,0))),IFERROR(IF(INDEX('de para abc'!$C:$C,MATCH($C41,'de para abc'!$B:$B,0))=0,"C",INDEX('de para abc'!$C:$C,MATCH($C41,'de para abc'!$B:$B,0))),"C"))</f>
        <v>C</v>
      </c>
      <c r="F41" s="56">
        <v>1</v>
      </c>
    </row>
    <row r="42" spans="1:6" x14ac:dyDescent="0.25">
      <c r="A42" s="55" t="s">
        <v>301</v>
      </c>
      <c r="B42" s="40">
        <v>1006951</v>
      </c>
      <c r="C42" s="39" t="s">
        <v>425</v>
      </c>
      <c r="D42" s="40" t="s">
        <v>10</v>
      </c>
      <c r="E42" s="40" t="str">
        <f>IFERROR(IF(INDEX('de para abc'!$C:$C,MATCH($B42,'de para abc'!$A:$A,0))=0,"C",INDEX('de para abc'!$C:$C,MATCH($B42,'de para abc'!$A:$A,0))),IFERROR(IF(INDEX('de para abc'!$C:$C,MATCH($C42,'de para abc'!$B:$B,0))=0,"C",INDEX('de para abc'!$C:$C,MATCH($C42,'de para abc'!$B:$B,0))),"C"))</f>
        <v>C</v>
      </c>
      <c r="F42" s="56">
        <v>1</v>
      </c>
    </row>
    <row r="43" spans="1:6" x14ac:dyDescent="0.25">
      <c r="A43" s="55" t="s">
        <v>301</v>
      </c>
      <c r="B43" s="40">
        <v>1006843</v>
      </c>
      <c r="C43" s="39" t="s">
        <v>427</v>
      </c>
      <c r="D43" s="40" t="s">
        <v>10</v>
      </c>
      <c r="E43" s="40" t="str">
        <f>IFERROR(IF(INDEX('de para abc'!$C:$C,MATCH($B43,'de para abc'!$A:$A,0))=0,"C",INDEX('de para abc'!$C:$C,MATCH($B43,'de para abc'!$A:$A,0))),IFERROR(IF(INDEX('de para abc'!$C:$C,MATCH($C43,'de para abc'!$B:$B,0))=0,"C",INDEX('de para abc'!$C:$C,MATCH($C43,'de para abc'!$B:$B,0))),"C"))</f>
        <v>C</v>
      </c>
      <c r="F43" s="56">
        <v>2</v>
      </c>
    </row>
    <row r="44" spans="1:6" x14ac:dyDescent="0.25">
      <c r="A44" s="55" t="s">
        <v>301</v>
      </c>
      <c r="B44" s="40">
        <v>1006844</v>
      </c>
      <c r="C44" s="39" t="s">
        <v>428</v>
      </c>
      <c r="D44" s="40" t="s">
        <v>10</v>
      </c>
      <c r="E44" s="40" t="str">
        <f>IFERROR(IF(INDEX('de para abc'!$C:$C,MATCH($B44,'de para abc'!$A:$A,0))=0,"C",INDEX('de para abc'!$C:$C,MATCH($B44,'de para abc'!$A:$A,0))),IFERROR(IF(INDEX('de para abc'!$C:$C,MATCH($C44,'de para abc'!$B:$B,0))=0,"C",INDEX('de para abc'!$C:$C,MATCH($C44,'de para abc'!$B:$B,0))),"C"))</f>
        <v>C</v>
      </c>
      <c r="F44" s="56">
        <v>4</v>
      </c>
    </row>
    <row r="45" spans="1:6" x14ac:dyDescent="0.25">
      <c r="A45" s="55" t="s">
        <v>301</v>
      </c>
      <c r="B45" s="40">
        <v>1006845</v>
      </c>
      <c r="C45" s="39" t="s">
        <v>429</v>
      </c>
      <c r="D45" s="40" t="s">
        <v>10</v>
      </c>
      <c r="E45" s="40" t="str">
        <f>IFERROR(IF(INDEX('de para abc'!$C:$C,MATCH($B45,'de para abc'!$A:$A,0))=0,"C",INDEX('de para abc'!$C:$C,MATCH($B45,'de para abc'!$A:$A,0))),IFERROR(IF(INDEX('de para abc'!$C:$C,MATCH($C45,'de para abc'!$B:$B,0))=0,"C",INDEX('de para abc'!$C:$C,MATCH($C45,'de para abc'!$B:$B,0))),"C"))</f>
        <v>C</v>
      </c>
      <c r="F45" s="56">
        <v>2</v>
      </c>
    </row>
    <row r="46" spans="1:6" x14ac:dyDescent="0.25">
      <c r="A46" s="55" t="s">
        <v>301</v>
      </c>
      <c r="B46" s="40">
        <v>1006846</v>
      </c>
      <c r="C46" s="39" t="s">
        <v>430</v>
      </c>
      <c r="D46" s="40" t="s">
        <v>10</v>
      </c>
      <c r="E46" s="40" t="str">
        <f>IFERROR(IF(INDEX('de para abc'!$C:$C,MATCH($B46,'de para abc'!$A:$A,0))=0,"C",INDEX('de para abc'!$C:$C,MATCH($B46,'de para abc'!$A:$A,0))),IFERROR(IF(INDEX('de para abc'!$C:$C,MATCH($C46,'de para abc'!$B:$B,0))=0,"C",INDEX('de para abc'!$C:$C,MATCH($C46,'de para abc'!$B:$B,0))),"C"))</f>
        <v>C</v>
      </c>
      <c r="F46" s="56">
        <v>5</v>
      </c>
    </row>
    <row r="47" spans="1:6" x14ac:dyDescent="0.25">
      <c r="A47" s="55" t="s">
        <v>301</v>
      </c>
      <c r="B47" s="40">
        <v>1001263</v>
      </c>
      <c r="C47" s="39" t="s">
        <v>719</v>
      </c>
      <c r="D47" s="40" t="s">
        <v>14</v>
      </c>
      <c r="E47" s="40" t="str">
        <f>IFERROR(IF(INDEX('de para abc'!$C:$C,MATCH($B47,'de para abc'!$A:$A,0))=0,"C",INDEX('de para abc'!$C:$C,MATCH($B47,'de para abc'!$A:$A,0))),IFERROR(IF(INDEX('de para abc'!$C:$C,MATCH($C47,'de para abc'!$B:$B,0))=0,"C",INDEX('de para abc'!$C:$C,MATCH($C47,'de para abc'!$B:$B,0))),"C"))</f>
        <v>C</v>
      </c>
      <c r="F47" s="56">
        <v>1</v>
      </c>
    </row>
    <row r="48" spans="1:6" x14ac:dyDescent="0.25">
      <c r="A48" s="55" t="s">
        <v>301</v>
      </c>
      <c r="B48" s="40">
        <v>1000195</v>
      </c>
      <c r="C48" s="39" t="s">
        <v>32</v>
      </c>
      <c r="D48" s="40" t="s">
        <v>10</v>
      </c>
      <c r="E48" s="40" t="str">
        <f>IFERROR(IF(INDEX('de para abc'!$C:$C,MATCH($B48,'de para abc'!$A:$A,0))=0,"C",INDEX('de para abc'!$C:$C,MATCH($B48,'de para abc'!$A:$A,0))),IFERROR(IF(INDEX('de para abc'!$C:$C,MATCH($C48,'de para abc'!$B:$B,0))=0,"C",INDEX('de para abc'!$C:$C,MATCH($C48,'de para abc'!$B:$B,0))),"C"))</f>
        <v>A</v>
      </c>
      <c r="F48" s="56">
        <v>0</v>
      </c>
    </row>
    <row r="49" spans="1:6" x14ac:dyDescent="0.25">
      <c r="A49" s="55" t="s">
        <v>301</v>
      </c>
      <c r="B49" s="40">
        <v>1006847</v>
      </c>
      <c r="C49" s="39" t="s">
        <v>434</v>
      </c>
      <c r="D49" s="40" t="s">
        <v>10</v>
      </c>
      <c r="E49" s="40" t="str">
        <f>IFERROR(IF(INDEX('de para abc'!$C:$C,MATCH($B49,'de para abc'!$A:$A,0))=0,"C",INDEX('de para abc'!$C:$C,MATCH($B49,'de para abc'!$A:$A,0))),IFERROR(IF(INDEX('de para abc'!$C:$C,MATCH($C49,'de para abc'!$B:$B,0))=0,"C",INDEX('de para abc'!$C:$C,MATCH($C49,'de para abc'!$B:$B,0))),"C"))</f>
        <v>C</v>
      </c>
      <c r="F49" s="56">
        <v>6</v>
      </c>
    </row>
    <row r="50" spans="1:6" x14ac:dyDescent="0.25">
      <c r="A50" s="55" t="s">
        <v>301</v>
      </c>
      <c r="B50" s="40">
        <v>1006848</v>
      </c>
      <c r="C50" s="39" t="s">
        <v>435</v>
      </c>
      <c r="D50" s="40" t="s">
        <v>10</v>
      </c>
      <c r="E50" s="40" t="str">
        <f>IFERROR(IF(INDEX('de para abc'!$C:$C,MATCH($B50,'de para abc'!$A:$A,0))=0,"C",INDEX('de para abc'!$C:$C,MATCH($B50,'de para abc'!$A:$A,0))),IFERROR(IF(INDEX('de para abc'!$C:$C,MATCH($C50,'de para abc'!$B:$B,0))=0,"C",INDEX('de para abc'!$C:$C,MATCH($C50,'de para abc'!$B:$B,0))),"C"))</f>
        <v>C</v>
      </c>
      <c r="F50" s="56">
        <v>4</v>
      </c>
    </row>
    <row r="51" spans="1:6" x14ac:dyDescent="0.25">
      <c r="A51" s="55" t="s">
        <v>301</v>
      </c>
      <c r="B51" s="40">
        <v>1006849</v>
      </c>
      <c r="C51" s="39" t="s">
        <v>436</v>
      </c>
      <c r="D51" s="40" t="s">
        <v>10</v>
      </c>
      <c r="E51" s="40" t="str">
        <f>IFERROR(IF(INDEX('de para abc'!$C:$C,MATCH($B51,'de para abc'!$A:$A,0))=0,"C",INDEX('de para abc'!$C:$C,MATCH($B51,'de para abc'!$A:$A,0))),IFERROR(IF(INDEX('de para abc'!$C:$C,MATCH($C51,'de para abc'!$B:$B,0))=0,"C",INDEX('de para abc'!$C:$C,MATCH($C51,'de para abc'!$B:$B,0))),"C"))</f>
        <v>C</v>
      </c>
      <c r="F51" s="56">
        <v>4</v>
      </c>
    </row>
    <row r="52" spans="1:6" x14ac:dyDescent="0.25">
      <c r="A52" s="55" t="s">
        <v>301</v>
      </c>
      <c r="B52" s="40">
        <v>1000205</v>
      </c>
      <c r="C52" s="39" t="s">
        <v>144</v>
      </c>
      <c r="D52" s="40" t="s">
        <v>18</v>
      </c>
      <c r="E52" s="40" t="str">
        <f>IFERROR(IF(INDEX('de para abc'!$C:$C,MATCH($B52,'de para abc'!$A:$A,0))=0,"C",INDEX('de para abc'!$C:$C,MATCH($B52,'de para abc'!$A:$A,0))),IFERROR(IF(INDEX('de para abc'!$C:$C,MATCH($C52,'de para abc'!$B:$B,0))=0,"C",INDEX('de para abc'!$C:$C,MATCH($C52,'de para abc'!$B:$B,0))),"C"))</f>
        <v>C</v>
      </c>
      <c r="F52" s="56">
        <v>1</v>
      </c>
    </row>
    <row r="53" spans="1:6" x14ac:dyDescent="0.25">
      <c r="A53" s="55" t="s">
        <v>301</v>
      </c>
      <c r="B53" s="40">
        <v>1001045</v>
      </c>
      <c r="C53" s="39" t="s">
        <v>145</v>
      </c>
      <c r="D53" s="40" t="s">
        <v>10</v>
      </c>
      <c r="E53" s="40" t="str">
        <f>IFERROR(IF(INDEX('de para abc'!$C:$C,MATCH($B53,'de para abc'!$A:$A,0))=0,"C",INDEX('de para abc'!$C:$C,MATCH($B53,'de para abc'!$A:$A,0))),IFERROR(IF(INDEX('de para abc'!$C:$C,MATCH($C53,'de para abc'!$B:$B,0))=0,"C",INDEX('de para abc'!$C:$C,MATCH($C53,'de para abc'!$B:$B,0))),"C"))</f>
        <v>A</v>
      </c>
      <c r="F53" s="56">
        <v>5</v>
      </c>
    </row>
    <row r="54" spans="1:6" x14ac:dyDescent="0.25">
      <c r="A54" s="55" t="s">
        <v>301</v>
      </c>
      <c r="B54" s="40">
        <v>9000059</v>
      </c>
      <c r="C54" s="39" t="s">
        <v>736</v>
      </c>
      <c r="D54" s="40" t="s">
        <v>18</v>
      </c>
      <c r="E54" s="40" t="str">
        <f>IFERROR(IF(INDEX('de para abc'!$C:$C,MATCH($B54,'de para abc'!$A:$A,0))=0,"C",INDEX('de para abc'!$C:$C,MATCH($B54,'de para abc'!$A:$A,0))),IFERROR(IF(INDEX('de para abc'!$C:$C,MATCH($C54,'de para abc'!$B:$B,0))=0,"C",INDEX('de para abc'!$C:$C,MATCH($C54,'de para abc'!$B:$B,0))),"C"))</f>
        <v>C</v>
      </c>
      <c r="F54" s="56">
        <v>1</v>
      </c>
    </row>
    <row r="55" spans="1:6" x14ac:dyDescent="0.25">
      <c r="A55" s="55" t="s">
        <v>301</v>
      </c>
      <c r="B55" s="40">
        <v>1000224</v>
      </c>
      <c r="C55" s="39" t="s">
        <v>146</v>
      </c>
      <c r="D55" s="40" t="s">
        <v>14</v>
      </c>
      <c r="E55" s="40" t="str">
        <f>IFERROR(IF(INDEX('de para abc'!$C:$C,MATCH($B55,'de para abc'!$A:$A,0))=0,"C",INDEX('de para abc'!$C:$C,MATCH($B55,'de para abc'!$A:$A,0))),IFERROR(IF(INDEX('de para abc'!$C:$C,MATCH($C55,'de para abc'!$B:$B,0))=0,"C",INDEX('de para abc'!$C:$C,MATCH($C55,'de para abc'!$B:$B,0))),"C"))</f>
        <v>A</v>
      </c>
      <c r="F55" s="56">
        <v>3</v>
      </c>
    </row>
    <row r="56" spans="1:6" x14ac:dyDescent="0.25">
      <c r="A56" s="55" t="s">
        <v>301</v>
      </c>
      <c r="B56" s="40">
        <v>1001025</v>
      </c>
      <c r="C56" s="39" t="s">
        <v>447</v>
      </c>
      <c r="D56" s="40" t="s">
        <v>14</v>
      </c>
      <c r="E56" s="40" t="str">
        <f>IFERROR(IF(INDEX('de para abc'!$C:$C,MATCH($B56,'de para abc'!$A:$A,0))=0,"C",INDEX('de para abc'!$C:$C,MATCH($B56,'de para abc'!$A:$A,0))),IFERROR(IF(INDEX('de para abc'!$C:$C,MATCH($C56,'de para abc'!$B:$B,0))=0,"C",INDEX('de para abc'!$C:$C,MATCH($C56,'de para abc'!$B:$B,0))),"C"))</f>
        <v>C</v>
      </c>
      <c r="F56" s="56">
        <v>1</v>
      </c>
    </row>
    <row r="57" spans="1:6" x14ac:dyDescent="0.25">
      <c r="A57" s="55" t="s">
        <v>301</v>
      </c>
      <c r="B57" s="40">
        <v>1000243</v>
      </c>
      <c r="C57" s="39" t="s">
        <v>150</v>
      </c>
      <c r="D57" s="40" t="s">
        <v>14</v>
      </c>
      <c r="E57" s="40" t="str">
        <f>IFERROR(IF(INDEX('de para abc'!$C:$C,MATCH($B57,'de para abc'!$A:$A,0))=0,"C",INDEX('de para abc'!$C:$C,MATCH($B57,'de para abc'!$A:$A,0))),IFERROR(IF(INDEX('de para abc'!$C:$C,MATCH($C57,'de para abc'!$B:$B,0))=0,"C",INDEX('de para abc'!$C:$C,MATCH($C57,'de para abc'!$B:$B,0))),"C"))</f>
        <v>A</v>
      </c>
      <c r="F57" s="56">
        <v>3</v>
      </c>
    </row>
    <row r="58" spans="1:6" x14ac:dyDescent="0.25">
      <c r="A58" s="55" t="s">
        <v>301</v>
      </c>
      <c r="B58" s="40">
        <v>1000254</v>
      </c>
      <c r="C58" s="39" t="s">
        <v>151</v>
      </c>
      <c r="D58" s="40" t="s">
        <v>14</v>
      </c>
      <c r="E58" s="40" t="str">
        <f>IFERROR(IF(INDEX('de para abc'!$C:$C,MATCH($B58,'de para abc'!$A:$A,0))=0,"C",INDEX('de para abc'!$C:$C,MATCH($B58,'de para abc'!$A:$A,0))),IFERROR(IF(INDEX('de para abc'!$C:$C,MATCH($C58,'de para abc'!$B:$B,0))=0,"C",INDEX('de para abc'!$C:$C,MATCH($C58,'de para abc'!$B:$B,0))),"C"))</f>
        <v>A</v>
      </c>
      <c r="F58" s="56">
        <v>5</v>
      </c>
    </row>
    <row r="59" spans="1:6" x14ac:dyDescent="0.25">
      <c r="A59" s="55" t="s">
        <v>301</v>
      </c>
      <c r="B59" s="40">
        <v>1001264</v>
      </c>
      <c r="C59" s="39" t="s">
        <v>37</v>
      </c>
      <c r="D59" s="40" t="s">
        <v>10</v>
      </c>
      <c r="E59" s="40" t="str">
        <f>IFERROR(IF(INDEX('de para abc'!$C:$C,MATCH($B59,'de para abc'!$A:$A,0))=0,"C",INDEX('de para abc'!$C:$C,MATCH($B59,'de para abc'!$A:$A,0))),IFERROR(IF(INDEX('de para abc'!$C:$C,MATCH($C59,'de para abc'!$B:$B,0))=0,"C",INDEX('de para abc'!$C:$C,MATCH($C59,'de para abc'!$B:$B,0))),"C"))</f>
        <v>A</v>
      </c>
      <c r="F59" s="56">
        <v>6</v>
      </c>
    </row>
    <row r="60" spans="1:6" x14ac:dyDescent="0.25">
      <c r="A60" s="55" t="s">
        <v>301</v>
      </c>
      <c r="B60" s="40">
        <v>1000586</v>
      </c>
      <c r="C60" s="39" t="s">
        <v>456</v>
      </c>
      <c r="D60" s="40" t="s">
        <v>14</v>
      </c>
      <c r="E60" s="40" t="str">
        <f>IFERROR(IF(INDEX('de para abc'!$C:$C,MATCH($B60,'de para abc'!$A:$A,0))=0,"C",INDEX('de para abc'!$C:$C,MATCH($B60,'de para abc'!$A:$A,0))),IFERROR(IF(INDEX('de para abc'!$C:$C,MATCH($C60,'de para abc'!$B:$B,0))=0,"C",INDEX('de para abc'!$C:$C,MATCH($C60,'de para abc'!$B:$B,0))),"C"))</f>
        <v>C</v>
      </c>
      <c r="F60" s="56">
        <v>5</v>
      </c>
    </row>
    <row r="61" spans="1:6" x14ac:dyDescent="0.25">
      <c r="A61" s="55" t="s">
        <v>301</v>
      </c>
      <c r="B61" s="40">
        <v>1000293</v>
      </c>
      <c r="C61" s="39" t="s">
        <v>458</v>
      </c>
      <c r="D61" s="40" t="s">
        <v>10</v>
      </c>
      <c r="E61" s="40" t="str">
        <f>IFERROR(IF(INDEX('de para abc'!$C:$C,MATCH($B61,'de para abc'!$A:$A,0))=0,"C",INDEX('de para abc'!$C:$C,MATCH($B61,'de para abc'!$A:$A,0))),IFERROR(IF(INDEX('de para abc'!$C:$C,MATCH($C61,'de para abc'!$B:$B,0))=0,"C",INDEX('de para abc'!$C:$C,MATCH($C61,'de para abc'!$B:$B,0))),"C"))</f>
        <v>C</v>
      </c>
      <c r="F61" s="56">
        <v>0</v>
      </c>
    </row>
    <row r="62" spans="1:6" x14ac:dyDescent="0.25">
      <c r="A62" s="55" t="s">
        <v>301</v>
      </c>
      <c r="B62" s="40">
        <v>1000300</v>
      </c>
      <c r="C62" s="39" t="s">
        <v>1785</v>
      </c>
      <c r="D62" s="40" t="s">
        <v>14</v>
      </c>
      <c r="E62" s="40" t="str">
        <f>IFERROR(IF(INDEX('de para abc'!$C:$C,MATCH($B62,'de para abc'!$A:$A,0))=0,"C",INDEX('de para abc'!$C:$C,MATCH($B62,'de para abc'!$A:$A,0))),IFERROR(IF(INDEX('de para abc'!$C:$C,MATCH($C62,'de para abc'!$B:$B,0))=0,"C",INDEX('de para abc'!$C:$C,MATCH($C62,'de para abc'!$B:$B,0))),"C"))</f>
        <v>B</v>
      </c>
      <c r="F62" s="56">
        <v>1</v>
      </c>
    </row>
    <row r="63" spans="1:6" x14ac:dyDescent="0.25">
      <c r="A63" s="55" t="s">
        <v>301</v>
      </c>
      <c r="B63" s="40">
        <v>1001241</v>
      </c>
      <c r="C63" s="39" t="s">
        <v>205</v>
      </c>
      <c r="D63" s="40" t="s">
        <v>10</v>
      </c>
      <c r="E63" s="40" t="str">
        <f>IFERROR(IF(INDEX('de para abc'!$C:$C,MATCH($B63,'de para abc'!$A:$A,0))=0,"C",INDEX('de para abc'!$C:$C,MATCH($B63,'de para abc'!$A:$A,0))),IFERROR(IF(INDEX('de para abc'!$C:$C,MATCH($C63,'de para abc'!$B:$B,0))=0,"C",INDEX('de para abc'!$C:$C,MATCH($C63,'de para abc'!$B:$B,0))),"C"))</f>
        <v>B</v>
      </c>
      <c r="F63" s="56">
        <v>2</v>
      </c>
    </row>
    <row r="64" spans="1:6" x14ac:dyDescent="0.25">
      <c r="A64" s="55" t="s">
        <v>301</v>
      </c>
      <c r="B64" s="40">
        <v>1001049</v>
      </c>
      <c r="C64" s="39" t="s">
        <v>1140</v>
      </c>
      <c r="D64" s="40" t="s">
        <v>14</v>
      </c>
      <c r="E64" s="40" t="str">
        <f>IFERROR(IF(INDEX('de para abc'!$C:$C,MATCH($B64,'de para abc'!$A:$A,0))=0,"C",INDEX('de para abc'!$C:$C,MATCH($B64,'de para abc'!$A:$A,0))),IFERROR(IF(INDEX('de para abc'!$C:$C,MATCH($C64,'de para abc'!$B:$B,0))=0,"C",INDEX('de para abc'!$C:$C,MATCH($C64,'de para abc'!$B:$B,0))),"C"))</f>
        <v>C</v>
      </c>
      <c r="F64" s="56">
        <v>1</v>
      </c>
    </row>
    <row r="65" spans="1:6" x14ac:dyDescent="0.25">
      <c r="A65" s="55" t="s">
        <v>301</v>
      </c>
      <c r="B65" s="40">
        <v>1000319</v>
      </c>
      <c r="C65" s="39" t="s">
        <v>54</v>
      </c>
      <c r="D65" s="40" t="s">
        <v>10</v>
      </c>
      <c r="E65" s="40" t="str">
        <f>IFERROR(IF(INDEX('de para abc'!$C:$C,MATCH($B65,'de para abc'!$A:$A,0))=0,"C",INDEX('de para abc'!$C:$C,MATCH($B65,'de para abc'!$A:$A,0))),IFERROR(IF(INDEX('de para abc'!$C:$C,MATCH($C65,'de para abc'!$B:$B,0))=0,"C",INDEX('de para abc'!$C:$C,MATCH($C65,'de para abc'!$B:$B,0))),"C"))</f>
        <v>A</v>
      </c>
      <c r="F65" s="56">
        <v>5</v>
      </c>
    </row>
    <row r="66" spans="1:6" x14ac:dyDescent="0.25">
      <c r="A66" s="55" t="s">
        <v>301</v>
      </c>
      <c r="B66" s="40">
        <v>1001660</v>
      </c>
      <c r="C66" s="39" t="s">
        <v>41</v>
      </c>
      <c r="D66" s="40" t="s">
        <v>14</v>
      </c>
      <c r="E66" s="40" t="str">
        <f>IFERROR(IF(INDEX('de para abc'!$C:$C,MATCH($B66,'de para abc'!$A:$A,0))=0,"C",INDEX('de para abc'!$C:$C,MATCH($B66,'de para abc'!$A:$A,0))),IFERROR(IF(INDEX('de para abc'!$C:$C,MATCH($C66,'de para abc'!$B:$B,0))=0,"C",INDEX('de para abc'!$C:$C,MATCH($C66,'de para abc'!$B:$B,0))),"C"))</f>
        <v>B</v>
      </c>
      <c r="F66" s="56">
        <v>1</v>
      </c>
    </row>
    <row r="67" spans="1:6" x14ac:dyDescent="0.25">
      <c r="A67" s="55" t="s">
        <v>301</v>
      </c>
      <c r="B67" s="40">
        <v>1006880</v>
      </c>
      <c r="C67" s="39" t="s">
        <v>468</v>
      </c>
      <c r="D67" s="40" t="s">
        <v>10</v>
      </c>
      <c r="E67" s="40" t="str">
        <f>IFERROR(IF(INDEX('de para abc'!$C:$C,MATCH($B67,'de para abc'!$A:$A,0))=0,"C",INDEX('de para abc'!$C:$C,MATCH($B67,'de para abc'!$A:$A,0))),IFERROR(IF(INDEX('de para abc'!$C:$C,MATCH($C67,'de para abc'!$B:$B,0))=0,"C",INDEX('de para abc'!$C:$C,MATCH($C67,'de para abc'!$B:$B,0))),"C"))</f>
        <v>C</v>
      </c>
      <c r="F67" s="56">
        <v>1</v>
      </c>
    </row>
    <row r="68" spans="1:6" x14ac:dyDescent="0.25">
      <c r="A68" s="55" t="s">
        <v>301</v>
      </c>
      <c r="B68" s="40">
        <v>1001118</v>
      </c>
      <c r="C68" s="39" t="s">
        <v>2510</v>
      </c>
      <c r="D68" s="40" t="s">
        <v>10</v>
      </c>
      <c r="E68" s="40" t="str">
        <f>IFERROR(IF(INDEX('de para abc'!$C:$C,MATCH($B68,'de para abc'!$A:$A,0))=0,"C",INDEX('de para abc'!$C:$C,MATCH($B68,'de para abc'!$A:$A,0))),IFERROR(IF(INDEX('de para abc'!$C:$C,MATCH($C68,'de para abc'!$B:$B,0))=0,"C",INDEX('de para abc'!$C:$C,MATCH($C68,'de para abc'!$B:$B,0))),"C"))</f>
        <v>C</v>
      </c>
      <c r="F68" s="56">
        <v>1</v>
      </c>
    </row>
    <row r="69" spans="1:6" x14ac:dyDescent="0.25">
      <c r="A69" s="55" t="s">
        <v>301</v>
      </c>
      <c r="B69" s="40">
        <v>1000340</v>
      </c>
      <c r="C69" s="39" t="s">
        <v>159</v>
      </c>
      <c r="D69" s="40" t="s">
        <v>10</v>
      </c>
      <c r="E69" s="40" t="str">
        <f>IFERROR(IF(INDEX('de para abc'!$C:$C,MATCH($B69,'de para abc'!$A:$A,0))=0,"C",INDEX('de para abc'!$C:$C,MATCH($B69,'de para abc'!$A:$A,0))),IFERROR(IF(INDEX('de para abc'!$C:$C,MATCH($C69,'de para abc'!$B:$B,0))=0,"C",INDEX('de para abc'!$C:$C,MATCH($C69,'de para abc'!$B:$B,0))),"C"))</f>
        <v>A</v>
      </c>
      <c r="F69" s="56">
        <v>2</v>
      </c>
    </row>
    <row r="70" spans="1:6" x14ac:dyDescent="0.25">
      <c r="A70" s="55" t="s">
        <v>301</v>
      </c>
      <c r="B70" s="40">
        <v>1000346</v>
      </c>
      <c r="C70" s="39" t="s">
        <v>470</v>
      </c>
      <c r="D70" s="40" t="s">
        <v>10</v>
      </c>
      <c r="E70" s="40" t="str">
        <f>IFERROR(IF(INDEX('de para abc'!$C:$C,MATCH($B70,'de para abc'!$A:$A,0))=0,"C",INDEX('de para abc'!$C:$C,MATCH($B70,'de para abc'!$A:$A,0))),IFERROR(IF(INDEX('de para abc'!$C:$C,MATCH($C70,'de para abc'!$B:$B,0))=0,"C",INDEX('de para abc'!$C:$C,MATCH($C70,'de para abc'!$B:$B,0))),"C"))</f>
        <v>C</v>
      </c>
      <c r="F70" s="56">
        <v>1</v>
      </c>
    </row>
    <row r="71" spans="1:6" x14ac:dyDescent="0.25">
      <c r="A71" s="55" t="s">
        <v>301</v>
      </c>
      <c r="B71" s="40"/>
      <c r="C71" s="39" t="s">
        <v>3460</v>
      </c>
      <c r="D71" s="40" t="s">
        <v>10</v>
      </c>
      <c r="E71" s="40" t="str">
        <f>IFERROR(IF(INDEX('de para abc'!$C:$C,MATCH($B71,'de para abc'!$A:$A,0))=0,"C",INDEX('de para abc'!$C:$C,MATCH($B71,'de para abc'!$A:$A,0))),IFERROR(IF(INDEX('de para abc'!$C:$C,MATCH($C71,'de para abc'!$B:$B,0))=0,"C",INDEX('de para abc'!$C:$C,MATCH($C71,'de para abc'!$B:$B,0))),"C"))</f>
        <v>C</v>
      </c>
      <c r="F71" s="56">
        <v>1</v>
      </c>
    </row>
    <row r="72" spans="1:6" x14ac:dyDescent="0.25">
      <c r="A72" s="55" t="s">
        <v>301</v>
      </c>
      <c r="B72" s="40">
        <v>1000503</v>
      </c>
      <c r="C72" s="39" t="s">
        <v>472</v>
      </c>
      <c r="D72" s="40" t="s">
        <v>10</v>
      </c>
      <c r="E72" s="40" t="str">
        <f>IFERROR(IF(INDEX('de para abc'!$C:$C,MATCH($B72,'de para abc'!$A:$A,0))=0,"C",INDEX('de para abc'!$C:$C,MATCH($B72,'de para abc'!$A:$A,0))),IFERROR(IF(INDEX('de para abc'!$C:$C,MATCH($C72,'de para abc'!$B:$B,0))=0,"C",INDEX('de para abc'!$C:$C,MATCH($C72,'de para abc'!$B:$B,0))),"C"))</f>
        <v>C</v>
      </c>
      <c r="F72" s="56">
        <v>1</v>
      </c>
    </row>
    <row r="73" spans="1:6" x14ac:dyDescent="0.25">
      <c r="A73" s="55" t="s">
        <v>301</v>
      </c>
      <c r="B73" s="40">
        <v>1000363</v>
      </c>
      <c r="C73" s="39" t="s">
        <v>160</v>
      </c>
      <c r="D73" s="40" t="s">
        <v>10</v>
      </c>
      <c r="E73" s="40" t="str">
        <f>IFERROR(IF(INDEX('de para abc'!$C:$C,MATCH($B73,'de para abc'!$A:$A,0))=0,"C",INDEX('de para abc'!$C:$C,MATCH($B73,'de para abc'!$A:$A,0))),IFERROR(IF(INDEX('de para abc'!$C:$C,MATCH($C73,'de para abc'!$B:$B,0))=0,"C",INDEX('de para abc'!$C:$C,MATCH($C73,'de para abc'!$B:$B,0))),"C"))</f>
        <v>A</v>
      </c>
      <c r="F73" s="56">
        <v>1</v>
      </c>
    </row>
    <row r="74" spans="1:6" x14ac:dyDescent="0.25">
      <c r="A74" s="55" t="s">
        <v>301</v>
      </c>
      <c r="B74" s="40">
        <v>1006903</v>
      </c>
      <c r="C74" s="39" t="s">
        <v>477</v>
      </c>
      <c r="D74" s="40" t="s">
        <v>71</v>
      </c>
      <c r="E74" s="40" t="str">
        <f>IFERROR(IF(INDEX('de para abc'!$C:$C,MATCH($B74,'de para abc'!$A:$A,0))=0,"C",INDEX('de para abc'!$C:$C,MATCH($B74,'de para abc'!$A:$A,0))),IFERROR(IF(INDEX('de para abc'!$C:$C,MATCH($C74,'de para abc'!$B:$B,0))=0,"C",INDEX('de para abc'!$C:$C,MATCH($C74,'de para abc'!$B:$B,0))),"C"))</f>
        <v>C</v>
      </c>
      <c r="F74" s="56">
        <v>1</v>
      </c>
    </row>
    <row r="75" spans="1:6" x14ac:dyDescent="0.25">
      <c r="A75" s="55" t="s">
        <v>301</v>
      </c>
      <c r="B75" s="40">
        <v>1000879</v>
      </c>
      <c r="C75" s="39" t="s">
        <v>528</v>
      </c>
      <c r="D75" s="40" t="s">
        <v>10</v>
      </c>
      <c r="E75" s="40" t="str">
        <f>IFERROR(IF(INDEX('de para abc'!$C:$C,MATCH($B75,'de para abc'!$A:$A,0))=0,"C",INDEX('de para abc'!$C:$C,MATCH($B75,'de para abc'!$A:$A,0))),IFERROR(IF(INDEX('de para abc'!$C:$C,MATCH($C75,'de para abc'!$B:$B,0))=0,"C",INDEX('de para abc'!$C:$C,MATCH($C75,'de para abc'!$B:$B,0))),"C"))</f>
        <v>C</v>
      </c>
      <c r="F75" s="56">
        <v>0</v>
      </c>
    </row>
    <row r="76" spans="1:6" x14ac:dyDescent="0.25">
      <c r="A76" s="55" t="s">
        <v>301</v>
      </c>
      <c r="B76" s="40">
        <v>1001450</v>
      </c>
      <c r="C76" s="39" t="s">
        <v>481</v>
      </c>
      <c r="D76" s="40" t="s">
        <v>14</v>
      </c>
      <c r="E76" s="40" t="str">
        <f>IFERROR(IF(INDEX('de para abc'!$C:$C,MATCH($B76,'de para abc'!$A:$A,0))=0,"C",INDEX('de para abc'!$C:$C,MATCH($B76,'de para abc'!$A:$A,0))),IFERROR(IF(INDEX('de para abc'!$C:$C,MATCH($C76,'de para abc'!$B:$B,0))=0,"C",INDEX('de para abc'!$C:$C,MATCH($C76,'de para abc'!$B:$B,0))),"C"))</f>
        <v>C</v>
      </c>
      <c r="F76" s="56">
        <v>1</v>
      </c>
    </row>
    <row r="77" spans="1:6" x14ac:dyDescent="0.25">
      <c r="A77" s="55" t="s">
        <v>301</v>
      </c>
      <c r="B77" s="40">
        <v>1000545</v>
      </c>
      <c r="C77" s="39" t="s">
        <v>1783</v>
      </c>
      <c r="D77" s="40" t="s">
        <v>14</v>
      </c>
      <c r="E77" s="40" t="str">
        <f>IFERROR(IF(INDEX('de para abc'!$C:$C,MATCH($B77,'de para abc'!$A:$A,0))=0,"C",INDEX('de para abc'!$C:$C,MATCH($B77,'de para abc'!$A:$A,0))),IFERROR(IF(INDEX('de para abc'!$C:$C,MATCH($C77,'de para abc'!$B:$B,0))=0,"C",INDEX('de para abc'!$C:$C,MATCH($C77,'de para abc'!$B:$B,0))),"C"))</f>
        <v>A</v>
      </c>
      <c r="F77" s="56">
        <v>0</v>
      </c>
    </row>
    <row r="78" spans="1:6" x14ac:dyDescent="0.25">
      <c r="A78" s="55" t="s">
        <v>301</v>
      </c>
      <c r="B78" s="40">
        <v>1000411</v>
      </c>
      <c r="C78" s="39" t="s">
        <v>482</v>
      </c>
      <c r="D78" s="40" t="s">
        <v>14</v>
      </c>
      <c r="E78" s="40" t="str">
        <f>IFERROR(IF(INDEX('de para abc'!$C:$C,MATCH($B78,'de para abc'!$A:$A,0))=0,"C",INDEX('de para abc'!$C:$C,MATCH($B78,'de para abc'!$A:$A,0))),IFERROR(IF(INDEX('de para abc'!$C:$C,MATCH($C78,'de para abc'!$B:$B,0))=0,"C",INDEX('de para abc'!$C:$C,MATCH($C78,'de para abc'!$B:$B,0))),"C"))</f>
        <v>C</v>
      </c>
      <c r="F78" s="56">
        <v>1</v>
      </c>
    </row>
    <row r="79" spans="1:6" x14ac:dyDescent="0.25">
      <c r="A79" s="55" t="s">
        <v>301</v>
      </c>
      <c r="B79" s="40">
        <v>1000417</v>
      </c>
      <c r="C79" s="39" t="s">
        <v>163</v>
      </c>
      <c r="D79" s="40" t="s">
        <v>14</v>
      </c>
      <c r="E79" s="40" t="str">
        <f>IFERROR(IF(INDEX('de para abc'!$C:$C,MATCH($B79,'de para abc'!$A:$A,0))=0,"C",INDEX('de para abc'!$C:$C,MATCH($B79,'de para abc'!$A:$A,0))),IFERROR(IF(INDEX('de para abc'!$C:$C,MATCH($C79,'de para abc'!$B:$B,0))=0,"C",INDEX('de para abc'!$C:$C,MATCH($C79,'de para abc'!$B:$B,0))),"C"))</f>
        <v>A</v>
      </c>
      <c r="F79" s="56">
        <v>4</v>
      </c>
    </row>
    <row r="80" spans="1:6" x14ac:dyDescent="0.25">
      <c r="A80" s="55" t="s">
        <v>301</v>
      </c>
      <c r="B80" s="40">
        <v>1006876</v>
      </c>
      <c r="C80" s="39" t="s">
        <v>2543</v>
      </c>
      <c r="D80" s="40" t="s">
        <v>18</v>
      </c>
      <c r="E80" s="40" t="str">
        <f>IFERROR(IF(INDEX('de para abc'!$C:$C,MATCH($B80,'de para abc'!$A:$A,0))=0,"C",INDEX('de para abc'!$C:$C,MATCH($B80,'de para abc'!$A:$A,0))),IFERROR(IF(INDEX('de para abc'!$C:$C,MATCH($C80,'de para abc'!$B:$B,0))=0,"C",INDEX('de para abc'!$C:$C,MATCH($C80,'de para abc'!$B:$B,0))),"C"))</f>
        <v>C</v>
      </c>
      <c r="F80" s="56">
        <v>1</v>
      </c>
    </row>
    <row r="81" spans="1:6" x14ac:dyDescent="0.25">
      <c r="A81" s="55" t="s">
        <v>301</v>
      </c>
      <c r="B81" s="40">
        <v>1000999</v>
      </c>
      <c r="C81" s="39" t="s">
        <v>474</v>
      </c>
      <c r="D81" s="40" t="s">
        <v>14</v>
      </c>
      <c r="E81" s="40" t="str">
        <f>IFERROR(IF(INDEX('de para abc'!$C:$C,MATCH($B81,'de para abc'!$A:$A,0))=0,"C",INDEX('de para abc'!$C:$C,MATCH($B81,'de para abc'!$A:$A,0))),IFERROR(IF(INDEX('de para abc'!$C:$C,MATCH($C81,'de para abc'!$B:$B,0))=0,"C",INDEX('de para abc'!$C:$C,MATCH($C81,'de para abc'!$B:$B,0))),"C"))</f>
        <v>C</v>
      </c>
      <c r="F81" s="56">
        <v>2</v>
      </c>
    </row>
    <row r="82" spans="1:6" x14ac:dyDescent="0.25">
      <c r="A82" s="55" t="s">
        <v>301</v>
      </c>
      <c r="B82" s="40">
        <v>1000393</v>
      </c>
      <c r="C82" s="39" t="s">
        <v>2560</v>
      </c>
      <c r="D82" s="40" t="s">
        <v>10</v>
      </c>
      <c r="E82" s="40" t="str">
        <f>IFERROR(IF(INDEX('de para abc'!$C:$C,MATCH($B82,'de para abc'!$A:$A,0))=0,"C",INDEX('de para abc'!$C:$C,MATCH($B82,'de para abc'!$A:$A,0))),IFERROR(IF(INDEX('de para abc'!$C:$C,MATCH($C82,'de para abc'!$B:$B,0))=0,"C",INDEX('de para abc'!$C:$C,MATCH($C82,'de para abc'!$B:$B,0))),"C"))</f>
        <v>C</v>
      </c>
      <c r="F82" s="56">
        <v>1</v>
      </c>
    </row>
    <row r="83" spans="1:6" x14ac:dyDescent="0.25">
      <c r="A83" s="55" t="s">
        <v>301</v>
      </c>
      <c r="B83" s="40">
        <v>1001669</v>
      </c>
      <c r="C83" s="39" t="s">
        <v>164</v>
      </c>
      <c r="D83" s="40" t="s">
        <v>18</v>
      </c>
      <c r="E83" s="40" t="str">
        <f>IFERROR(IF(INDEX('de para abc'!$C:$C,MATCH($B83,'de para abc'!$A:$A,0))=0,"C",INDEX('de para abc'!$C:$C,MATCH($B83,'de para abc'!$A:$A,0))),IFERROR(IF(INDEX('de para abc'!$C:$C,MATCH($C83,'de para abc'!$B:$B,0))=0,"C",INDEX('de para abc'!$C:$C,MATCH($C83,'de para abc'!$B:$B,0))),"C"))</f>
        <v>A</v>
      </c>
      <c r="F83" s="56">
        <v>2</v>
      </c>
    </row>
    <row r="84" spans="1:6" x14ac:dyDescent="0.25">
      <c r="A84" s="55" t="s">
        <v>301</v>
      </c>
      <c r="B84" s="40">
        <v>1002107</v>
      </c>
      <c r="C84" s="39" t="s">
        <v>486</v>
      </c>
      <c r="D84" s="40" t="s">
        <v>10</v>
      </c>
      <c r="E84" s="40" t="str">
        <f>IFERROR(IF(INDEX('de para abc'!$C:$C,MATCH($B84,'de para abc'!$A:$A,0))=0,"C",INDEX('de para abc'!$C:$C,MATCH($B84,'de para abc'!$A:$A,0))),IFERROR(IF(INDEX('de para abc'!$C:$C,MATCH($C84,'de para abc'!$B:$B,0))=0,"C",INDEX('de para abc'!$C:$C,MATCH($C84,'de para abc'!$B:$B,0))),"C"))</f>
        <v>C</v>
      </c>
      <c r="F84" s="56">
        <v>1</v>
      </c>
    </row>
    <row r="85" spans="1:6" x14ac:dyDescent="0.25">
      <c r="A85" s="55" t="s">
        <v>301</v>
      </c>
      <c r="B85" s="40">
        <v>1001222</v>
      </c>
      <c r="C85" s="39" t="s">
        <v>491</v>
      </c>
      <c r="D85" s="40" t="s">
        <v>10</v>
      </c>
      <c r="E85" s="40" t="str">
        <f>IFERROR(IF(INDEX('de para abc'!$C:$C,MATCH($B85,'de para abc'!$A:$A,0))=0,"C",INDEX('de para abc'!$C:$C,MATCH($B85,'de para abc'!$A:$A,0))),IFERROR(IF(INDEX('de para abc'!$C:$C,MATCH($C85,'de para abc'!$B:$B,0))=0,"C",INDEX('de para abc'!$C:$C,MATCH($C85,'de para abc'!$B:$B,0))),"C"))</f>
        <v>C</v>
      </c>
      <c r="F85" s="56">
        <v>2</v>
      </c>
    </row>
    <row r="86" spans="1:6" x14ac:dyDescent="0.25">
      <c r="A86" s="55" t="s">
        <v>301</v>
      </c>
      <c r="B86" s="40">
        <v>1001225</v>
      </c>
      <c r="C86" s="39" t="s">
        <v>492</v>
      </c>
      <c r="D86" s="40" t="s">
        <v>10</v>
      </c>
      <c r="E86" s="40" t="str">
        <f>IFERROR(IF(INDEX('de para abc'!$C:$C,MATCH($B86,'de para abc'!$A:$A,0))=0,"C",INDEX('de para abc'!$C:$C,MATCH($B86,'de para abc'!$A:$A,0))),IFERROR(IF(INDEX('de para abc'!$C:$C,MATCH($C86,'de para abc'!$B:$B,0))=0,"C",INDEX('de para abc'!$C:$C,MATCH($C86,'de para abc'!$B:$B,0))),"C"))</f>
        <v>C</v>
      </c>
      <c r="F86" s="56">
        <v>1</v>
      </c>
    </row>
    <row r="87" spans="1:6" x14ac:dyDescent="0.25">
      <c r="A87" s="55" t="s">
        <v>301</v>
      </c>
      <c r="B87" s="40">
        <v>1000446</v>
      </c>
      <c r="C87" s="39" t="s">
        <v>1762</v>
      </c>
      <c r="D87" s="40" t="s">
        <v>14</v>
      </c>
      <c r="E87" s="40" t="str">
        <f>IFERROR(IF(INDEX('de para abc'!$C:$C,MATCH($B87,'de para abc'!$A:$A,0))=0,"C",INDEX('de para abc'!$C:$C,MATCH($B87,'de para abc'!$A:$A,0))),IFERROR(IF(INDEX('de para abc'!$C:$C,MATCH($C87,'de para abc'!$B:$B,0))=0,"C",INDEX('de para abc'!$C:$C,MATCH($C87,'de para abc'!$B:$B,0))),"C"))</f>
        <v>C</v>
      </c>
      <c r="F87" s="56">
        <v>0</v>
      </c>
    </row>
    <row r="88" spans="1:6" x14ac:dyDescent="0.25">
      <c r="A88" s="55" t="s">
        <v>301</v>
      </c>
      <c r="B88" s="40">
        <v>1001266</v>
      </c>
      <c r="C88" s="39" t="s">
        <v>495</v>
      </c>
      <c r="D88" s="40" t="s">
        <v>10</v>
      </c>
      <c r="E88" s="40" t="str">
        <f>IFERROR(IF(INDEX('de para abc'!$C:$C,MATCH($B88,'de para abc'!$A:$A,0))=0,"C",INDEX('de para abc'!$C:$C,MATCH($B88,'de para abc'!$A:$A,0))),IFERROR(IF(INDEX('de para abc'!$C:$C,MATCH($C88,'de para abc'!$B:$B,0))=0,"C",INDEX('de para abc'!$C:$C,MATCH($C88,'de para abc'!$B:$B,0))),"C"))</f>
        <v>C</v>
      </c>
      <c r="F88" s="56">
        <v>2</v>
      </c>
    </row>
    <row r="89" spans="1:6" x14ac:dyDescent="0.25">
      <c r="A89" s="55" t="s">
        <v>301</v>
      </c>
      <c r="B89" s="40">
        <v>1006901</v>
      </c>
      <c r="C89" s="39" t="s">
        <v>2983</v>
      </c>
      <c r="D89" s="40" t="s">
        <v>10</v>
      </c>
      <c r="E89" s="40" t="str">
        <f>IFERROR(IF(INDEX('de para abc'!$C:$C,MATCH($B89,'de para abc'!$A:$A,0))=0,"C",INDEX('de para abc'!$C:$C,MATCH($B89,'de para abc'!$A:$A,0))),IFERROR(IF(INDEX('de para abc'!$C:$C,MATCH($C89,'de para abc'!$B:$B,0))=0,"C",INDEX('de para abc'!$C:$C,MATCH($C89,'de para abc'!$B:$B,0))),"C"))</f>
        <v>C</v>
      </c>
      <c r="F89" s="56">
        <v>0</v>
      </c>
    </row>
    <row r="90" spans="1:6" x14ac:dyDescent="0.25">
      <c r="A90" s="55" t="s">
        <v>301</v>
      </c>
      <c r="B90" s="40">
        <v>10001066</v>
      </c>
      <c r="C90" s="39" t="s">
        <v>497</v>
      </c>
      <c r="D90" s="40" t="s">
        <v>10</v>
      </c>
      <c r="E90" s="40" t="str">
        <f>IFERROR(IF(INDEX('de para abc'!$C:$C,MATCH($B90,'de para abc'!$A:$A,0))=0,"C",INDEX('de para abc'!$C:$C,MATCH($B90,'de para abc'!$A:$A,0))),IFERROR(IF(INDEX('de para abc'!$C:$C,MATCH($C90,'de para abc'!$B:$B,0))=0,"C",INDEX('de para abc'!$C:$C,MATCH($C90,'de para abc'!$B:$B,0))),"C"))</f>
        <v>C</v>
      </c>
      <c r="F90" s="56">
        <v>1</v>
      </c>
    </row>
    <row r="91" spans="1:6" x14ac:dyDescent="0.25">
      <c r="A91" s="55" t="s">
        <v>69</v>
      </c>
      <c r="B91" s="40">
        <v>1000052</v>
      </c>
      <c r="C91" s="39" t="s">
        <v>169</v>
      </c>
      <c r="D91" s="40" t="s">
        <v>14</v>
      </c>
      <c r="E91" s="40" t="str">
        <f>IFERROR(IF(INDEX('de para abc'!$C:$C,MATCH($B91,'de para abc'!$A:$A,0))=0,"C",INDEX('de para abc'!$C:$C,MATCH($B91,'de para abc'!$A:$A,0))),IFERROR(IF(INDEX('de para abc'!$C:$C,MATCH($C91,'de para abc'!$B:$B,0))=0,"C",INDEX('de para abc'!$C:$C,MATCH($C91,'de para abc'!$B:$B,0))),"C"))</f>
        <v>A</v>
      </c>
      <c r="F91" s="56">
        <v>5</v>
      </c>
    </row>
    <row r="92" spans="1:6" x14ac:dyDescent="0.25">
      <c r="A92" s="55" t="s">
        <v>69</v>
      </c>
      <c r="B92" s="40">
        <v>1001864</v>
      </c>
      <c r="C92" s="39" t="s">
        <v>567</v>
      </c>
      <c r="D92" s="40" t="s">
        <v>14</v>
      </c>
      <c r="E92" s="40" t="str">
        <f>IFERROR(IF(INDEX('de para abc'!$C:$C,MATCH($B92,'de para abc'!$A:$A,0))=0,"C",INDEX('de para abc'!$C:$C,MATCH($B92,'de para abc'!$A:$A,0))),IFERROR(IF(INDEX('de para abc'!$C:$C,MATCH($C92,'de para abc'!$B:$B,0))=0,"C",INDEX('de para abc'!$C:$C,MATCH($C92,'de para abc'!$B:$B,0))),"C"))</f>
        <v>C</v>
      </c>
      <c r="F92" s="56">
        <v>2</v>
      </c>
    </row>
    <row r="93" spans="1:6" x14ac:dyDescent="0.25">
      <c r="A93" s="55" t="s">
        <v>69</v>
      </c>
      <c r="B93" s="40">
        <v>1001249</v>
      </c>
      <c r="C93" s="39" t="s">
        <v>72</v>
      </c>
      <c r="D93" s="40" t="s">
        <v>71</v>
      </c>
      <c r="E93" s="40" t="str">
        <f>IFERROR(IF(INDEX('de para abc'!$C:$C,MATCH($B93,'de para abc'!$A:$A,0))=0,"C",INDEX('de para abc'!$C:$C,MATCH($B93,'de para abc'!$A:$A,0))),IFERROR(IF(INDEX('de para abc'!$C:$C,MATCH($C93,'de para abc'!$B:$B,0))=0,"C",INDEX('de para abc'!$C:$C,MATCH($C93,'de para abc'!$B:$B,0))),"C"))</f>
        <v>C</v>
      </c>
      <c r="F93" s="56">
        <v>0</v>
      </c>
    </row>
    <row r="94" spans="1:6" x14ac:dyDescent="0.25">
      <c r="A94" s="55" t="s">
        <v>69</v>
      </c>
      <c r="B94" s="40">
        <v>1000068</v>
      </c>
      <c r="C94" s="39" t="s">
        <v>73</v>
      </c>
      <c r="D94" s="40" t="s">
        <v>71</v>
      </c>
      <c r="E94" s="40" t="str">
        <f>IFERROR(IF(INDEX('de para abc'!$C:$C,MATCH($B94,'de para abc'!$A:$A,0))=0,"C",INDEX('de para abc'!$C:$C,MATCH($B94,'de para abc'!$A:$A,0))),IFERROR(IF(INDEX('de para abc'!$C:$C,MATCH($C94,'de para abc'!$B:$B,0))=0,"C",INDEX('de para abc'!$C:$C,MATCH($C94,'de para abc'!$B:$B,0))),"C"))</f>
        <v>C</v>
      </c>
      <c r="F94" s="56">
        <v>1</v>
      </c>
    </row>
    <row r="95" spans="1:6" x14ac:dyDescent="0.25">
      <c r="A95" s="55" t="s">
        <v>69</v>
      </c>
      <c r="B95" s="40">
        <v>1000075</v>
      </c>
      <c r="C95" s="39" t="s">
        <v>174</v>
      </c>
      <c r="D95" s="40" t="s">
        <v>71</v>
      </c>
      <c r="E95" s="40" t="str">
        <f>IFERROR(IF(INDEX('de para abc'!$C:$C,MATCH($B95,'de para abc'!$A:$A,0))=0,"C",INDEX('de para abc'!$C:$C,MATCH($B95,'de para abc'!$A:$A,0))),IFERROR(IF(INDEX('de para abc'!$C:$C,MATCH($C95,'de para abc'!$B:$B,0))=0,"C",INDEX('de para abc'!$C:$C,MATCH($C95,'de para abc'!$B:$B,0))),"C"))</f>
        <v>C</v>
      </c>
      <c r="F95" s="56">
        <v>0</v>
      </c>
    </row>
    <row r="96" spans="1:6" x14ac:dyDescent="0.25">
      <c r="A96" s="55" t="s">
        <v>69</v>
      </c>
      <c r="B96" s="40">
        <v>1001700</v>
      </c>
      <c r="C96" s="39" t="s">
        <v>3006</v>
      </c>
      <c r="D96" s="40" t="s">
        <v>10</v>
      </c>
      <c r="E96" s="40" t="str">
        <f>IFERROR(IF(INDEX('de para abc'!$C:$C,MATCH($B96,'de para abc'!$A:$A,0))=0,"C",INDEX('de para abc'!$C:$C,MATCH($B96,'de para abc'!$A:$A,0))),IFERROR(IF(INDEX('de para abc'!$C:$C,MATCH($C96,'de para abc'!$B:$B,0))=0,"C",INDEX('de para abc'!$C:$C,MATCH($C96,'de para abc'!$B:$B,0))),"C"))</f>
        <v>C</v>
      </c>
      <c r="F96" s="56">
        <v>5</v>
      </c>
    </row>
    <row r="97" spans="1:6" x14ac:dyDescent="0.25">
      <c r="A97" s="55" t="s">
        <v>69</v>
      </c>
      <c r="B97" s="40">
        <v>1001699</v>
      </c>
      <c r="C97" s="39" t="s">
        <v>3008</v>
      </c>
      <c r="D97" s="40" t="s">
        <v>10</v>
      </c>
      <c r="E97" s="40" t="str">
        <f>IFERROR(IF(INDEX('de para abc'!$C:$C,MATCH($B97,'de para abc'!$A:$A,0))=0,"C",INDEX('de para abc'!$C:$C,MATCH($B97,'de para abc'!$A:$A,0))),IFERROR(IF(INDEX('de para abc'!$C:$C,MATCH($C97,'de para abc'!$B:$B,0))=0,"C",INDEX('de para abc'!$C:$C,MATCH($C97,'de para abc'!$B:$B,0))),"C"))</f>
        <v>C</v>
      </c>
      <c r="F97" s="56">
        <v>4</v>
      </c>
    </row>
    <row r="98" spans="1:6" x14ac:dyDescent="0.25">
      <c r="A98" s="55" t="s">
        <v>69</v>
      </c>
      <c r="B98" s="40">
        <v>1002148</v>
      </c>
      <c r="C98" s="39" t="s">
        <v>80</v>
      </c>
      <c r="D98" s="40" t="s">
        <v>10</v>
      </c>
      <c r="E98" s="40" t="str">
        <f>IFERROR(IF(INDEX('de para abc'!$C:$C,MATCH($B98,'de para abc'!$A:$A,0))=0,"C",INDEX('de para abc'!$C:$C,MATCH($B98,'de para abc'!$A:$A,0))),IFERROR(IF(INDEX('de para abc'!$C:$C,MATCH($C98,'de para abc'!$B:$B,0))=0,"C",INDEX('de para abc'!$C:$C,MATCH($C98,'de para abc'!$B:$B,0))),"C"))</f>
        <v>C</v>
      </c>
      <c r="F98" s="56">
        <v>5</v>
      </c>
    </row>
    <row r="99" spans="1:6" x14ac:dyDescent="0.25">
      <c r="A99" s="55" t="s">
        <v>69</v>
      </c>
      <c r="B99" s="40">
        <v>1006857</v>
      </c>
      <c r="C99" s="39" t="s">
        <v>508</v>
      </c>
      <c r="D99" s="40" t="s">
        <v>10</v>
      </c>
      <c r="E99" s="40" t="str">
        <f>IFERROR(IF(INDEX('de para abc'!$C:$C,MATCH($B99,'de para abc'!$A:$A,0))=0,"C",INDEX('de para abc'!$C:$C,MATCH($B99,'de para abc'!$A:$A,0))),IFERROR(IF(INDEX('de para abc'!$C:$C,MATCH($C99,'de para abc'!$B:$B,0))=0,"C",INDEX('de para abc'!$C:$C,MATCH($C99,'de para abc'!$B:$B,0))),"C"))</f>
        <v>C</v>
      </c>
      <c r="F99" s="56">
        <v>2</v>
      </c>
    </row>
    <row r="100" spans="1:6" x14ac:dyDescent="0.25">
      <c r="A100" s="55" t="s">
        <v>69</v>
      </c>
      <c r="B100" s="40">
        <v>1002147</v>
      </c>
      <c r="C100" s="39" t="s">
        <v>509</v>
      </c>
      <c r="D100" s="40" t="s">
        <v>10</v>
      </c>
      <c r="E100" s="40" t="str">
        <f>IFERROR(IF(INDEX('de para abc'!$C:$C,MATCH($B100,'de para abc'!$A:$A,0))=0,"C",INDEX('de para abc'!$C:$C,MATCH($B100,'de para abc'!$A:$A,0))),IFERROR(IF(INDEX('de para abc'!$C:$C,MATCH($C100,'de para abc'!$B:$B,0))=0,"C",INDEX('de para abc'!$C:$C,MATCH($C100,'de para abc'!$B:$B,0))),"C"))</f>
        <v>C</v>
      </c>
      <c r="F100" s="56">
        <v>1</v>
      </c>
    </row>
    <row r="101" spans="1:6" x14ac:dyDescent="0.25">
      <c r="A101" s="55" t="s">
        <v>69</v>
      </c>
      <c r="B101" s="40">
        <v>1006853</v>
      </c>
      <c r="C101" s="39" t="s">
        <v>510</v>
      </c>
      <c r="D101" s="40" t="s">
        <v>10</v>
      </c>
      <c r="E101" s="40" t="str">
        <f>IFERROR(IF(INDEX('de para abc'!$C:$C,MATCH($B101,'de para abc'!$A:$A,0))=0,"C",INDEX('de para abc'!$C:$C,MATCH($B101,'de para abc'!$A:$A,0))),IFERROR(IF(INDEX('de para abc'!$C:$C,MATCH($C101,'de para abc'!$B:$B,0))=0,"C",INDEX('de para abc'!$C:$C,MATCH($C101,'de para abc'!$B:$B,0))),"C"))</f>
        <v>C</v>
      </c>
      <c r="F101" s="56">
        <v>0</v>
      </c>
    </row>
    <row r="102" spans="1:6" x14ac:dyDescent="0.25">
      <c r="A102" s="55" t="s">
        <v>69</v>
      </c>
      <c r="B102" s="40">
        <v>1006854</v>
      </c>
      <c r="C102" s="39" t="s">
        <v>511</v>
      </c>
      <c r="D102" s="40" t="s">
        <v>10</v>
      </c>
      <c r="E102" s="40" t="str">
        <f>IFERROR(IF(INDEX('de para abc'!$C:$C,MATCH($B102,'de para abc'!$A:$A,0))=0,"C",INDEX('de para abc'!$C:$C,MATCH($B102,'de para abc'!$A:$A,0))),IFERROR(IF(INDEX('de para abc'!$C:$C,MATCH($C102,'de para abc'!$B:$B,0))=0,"C",INDEX('de para abc'!$C:$C,MATCH($C102,'de para abc'!$B:$B,0))),"C"))</f>
        <v>C</v>
      </c>
      <c r="F102" s="56">
        <v>1</v>
      </c>
    </row>
    <row r="103" spans="1:6" x14ac:dyDescent="0.25">
      <c r="A103" s="55" t="s">
        <v>69</v>
      </c>
      <c r="B103" s="40">
        <v>1006852</v>
      </c>
      <c r="C103" s="39" t="s">
        <v>512</v>
      </c>
      <c r="D103" s="40" t="s">
        <v>10</v>
      </c>
      <c r="E103" s="40" t="str">
        <f>IFERROR(IF(INDEX('de para abc'!$C:$C,MATCH($B103,'de para abc'!$A:$A,0))=0,"C",INDEX('de para abc'!$C:$C,MATCH($B103,'de para abc'!$A:$A,0))),IFERROR(IF(INDEX('de para abc'!$C:$C,MATCH($C103,'de para abc'!$B:$B,0))=0,"C",INDEX('de para abc'!$C:$C,MATCH($C103,'de para abc'!$B:$B,0))),"C"))</f>
        <v>C</v>
      </c>
      <c r="F103" s="56">
        <v>4</v>
      </c>
    </row>
    <row r="104" spans="1:6" x14ac:dyDescent="0.25">
      <c r="A104" s="55" t="s">
        <v>69</v>
      </c>
      <c r="B104" s="40">
        <v>1006851</v>
      </c>
      <c r="C104" s="39" t="s">
        <v>513</v>
      </c>
      <c r="D104" s="40" t="s">
        <v>10</v>
      </c>
      <c r="E104" s="40" t="str">
        <f>IFERROR(IF(INDEX('de para abc'!$C:$C,MATCH($B104,'de para abc'!$A:$A,0))=0,"C",INDEX('de para abc'!$C:$C,MATCH($B104,'de para abc'!$A:$A,0))),IFERROR(IF(INDEX('de para abc'!$C:$C,MATCH($C104,'de para abc'!$B:$B,0))=0,"C",INDEX('de para abc'!$C:$C,MATCH($C104,'de para abc'!$B:$B,0))),"C"))</f>
        <v>C</v>
      </c>
      <c r="F104" s="56">
        <v>0</v>
      </c>
    </row>
    <row r="105" spans="1:6" x14ac:dyDescent="0.25">
      <c r="A105" s="55" t="s">
        <v>69</v>
      </c>
      <c r="B105" s="40">
        <v>1006856</v>
      </c>
      <c r="C105" s="39" t="s">
        <v>514</v>
      </c>
      <c r="D105" s="40" t="s">
        <v>101</v>
      </c>
      <c r="E105" s="40" t="str">
        <f>IFERROR(IF(INDEX('de para abc'!$C:$C,MATCH($B105,'de para abc'!$A:$A,0))=0,"C",INDEX('de para abc'!$C:$C,MATCH($B105,'de para abc'!$A:$A,0))),IFERROR(IF(INDEX('de para abc'!$C:$C,MATCH($C105,'de para abc'!$B:$B,0))=0,"C",INDEX('de para abc'!$C:$C,MATCH($C105,'de para abc'!$B:$B,0))),"C"))</f>
        <v>C</v>
      </c>
      <c r="F105" s="56">
        <v>1</v>
      </c>
    </row>
    <row r="106" spans="1:6" x14ac:dyDescent="0.25">
      <c r="A106" s="55" t="s">
        <v>69</v>
      </c>
      <c r="B106" s="40">
        <v>1001906</v>
      </c>
      <c r="C106" s="39" t="s">
        <v>516</v>
      </c>
      <c r="D106" s="40" t="s">
        <v>18</v>
      </c>
      <c r="E106" s="40" t="str">
        <f>IFERROR(IF(INDEX('de para abc'!$C:$C,MATCH($B106,'de para abc'!$A:$A,0))=0,"C",INDEX('de para abc'!$C:$C,MATCH($B106,'de para abc'!$A:$A,0))),IFERROR(IF(INDEX('de para abc'!$C:$C,MATCH($C106,'de para abc'!$B:$B,0))=0,"C",INDEX('de para abc'!$C:$C,MATCH($C106,'de para abc'!$B:$B,0))),"C"))</f>
        <v>C</v>
      </c>
      <c r="F106" s="56">
        <v>0</v>
      </c>
    </row>
    <row r="107" spans="1:6" x14ac:dyDescent="0.25">
      <c r="A107" s="55" t="s">
        <v>69</v>
      </c>
      <c r="B107" s="40">
        <v>1001907</v>
      </c>
      <c r="C107" s="39" t="s">
        <v>3038</v>
      </c>
      <c r="D107" s="40" t="s">
        <v>18</v>
      </c>
      <c r="E107" s="40" t="str">
        <f>IFERROR(IF(INDEX('de para abc'!$C:$C,MATCH($B107,'de para abc'!$A:$A,0))=0,"C",INDEX('de para abc'!$C:$C,MATCH($B107,'de para abc'!$A:$A,0))),IFERROR(IF(INDEX('de para abc'!$C:$C,MATCH($C107,'de para abc'!$B:$B,0))=0,"C",INDEX('de para abc'!$C:$C,MATCH($C107,'de para abc'!$B:$B,0))),"C"))</f>
        <v>C</v>
      </c>
      <c r="F107" s="56">
        <v>2</v>
      </c>
    </row>
    <row r="108" spans="1:6" x14ac:dyDescent="0.25">
      <c r="A108" s="55" t="s">
        <v>69</v>
      </c>
      <c r="B108" s="40">
        <v>1001289</v>
      </c>
      <c r="C108" s="39" t="s">
        <v>517</v>
      </c>
      <c r="D108" s="40" t="s">
        <v>14</v>
      </c>
      <c r="E108" s="40" t="str">
        <f>IFERROR(IF(INDEX('de para abc'!$C:$C,MATCH($B108,'de para abc'!$A:$A,0))=0,"C",INDEX('de para abc'!$C:$C,MATCH($B108,'de para abc'!$A:$A,0))),IFERROR(IF(INDEX('de para abc'!$C:$C,MATCH($C108,'de para abc'!$B:$B,0))=0,"C",INDEX('de para abc'!$C:$C,MATCH($C108,'de para abc'!$B:$B,0))),"C"))</f>
        <v>C</v>
      </c>
      <c r="F108" s="56">
        <v>2</v>
      </c>
    </row>
    <row r="109" spans="1:6" x14ac:dyDescent="0.25">
      <c r="A109" s="55" t="s">
        <v>69</v>
      </c>
      <c r="B109" s="40">
        <v>1001302</v>
      </c>
      <c r="C109" s="39" t="s">
        <v>96</v>
      </c>
      <c r="D109" s="40" t="s">
        <v>10</v>
      </c>
      <c r="E109" s="40" t="str">
        <f>IFERROR(IF(INDEX('de para abc'!$C:$C,MATCH($B109,'de para abc'!$A:$A,0))=0,"C",INDEX('de para abc'!$C:$C,MATCH($B109,'de para abc'!$A:$A,0))),IFERROR(IF(INDEX('de para abc'!$C:$C,MATCH($C109,'de para abc'!$B:$B,0))=0,"C",INDEX('de para abc'!$C:$C,MATCH($C109,'de para abc'!$B:$B,0))),"C"))</f>
        <v>C</v>
      </c>
      <c r="F109" s="56">
        <v>0</v>
      </c>
    </row>
    <row r="110" spans="1:6" x14ac:dyDescent="0.25">
      <c r="A110" s="55" t="s">
        <v>69</v>
      </c>
      <c r="B110" s="40">
        <v>1001237</v>
      </c>
      <c r="C110" s="39" t="s">
        <v>268</v>
      </c>
      <c r="D110" s="40" t="s">
        <v>14</v>
      </c>
      <c r="E110" s="40" t="str">
        <f>IFERROR(IF(INDEX('de para abc'!$C:$C,MATCH($B110,'de para abc'!$A:$A,0))=0,"C",INDEX('de para abc'!$C:$C,MATCH($B110,'de para abc'!$A:$A,0))),IFERROR(IF(INDEX('de para abc'!$C:$C,MATCH($C110,'de para abc'!$B:$B,0))=0,"C",INDEX('de para abc'!$C:$C,MATCH($C110,'de para abc'!$B:$B,0))),"C"))</f>
        <v>C</v>
      </c>
      <c r="F110" s="56">
        <v>2</v>
      </c>
    </row>
    <row r="111" spans="1:6" x14ac:dyDescent="0.25">
      <c r="A111" s="55" t="s">
        <v>69</v>
      </c>
      <c r="B111" s="40">
        <v>1000146</v>
      </c>
      <c r="C111" s="39" t="s">
        <v>99</v>
      </c>
      <c r="D111" s="40" t="s">
        <v>10</v>
      </c>
      <c r="E111" s="40" t="str">
        <f>IFERROR(IF(INDEX('de para abc'!$C:$C,MATCH($B111,'de para abc'!$A:$A,0))=0,"C",INDEX('de para abc'!$C:$C,MATCH($B111,'de para abc'!$A:$A,0))),IFERROR(IF(INDEX('de para abc'!$C:$C,MATCH($C111,'de para abc'!$B:$B,0))=0,"C",INDEX('de para abc'!$C:$C,MATCH($C111,'de para abc'!$B:$B,0))),"C"))</f>
        <v>C</v>
      </c>
      <c r="F111" s="56">
        <v>4</v>
      </c>
    </row>
    <row r="112" spans="1:6" x14ac:dyDescent="0.25">
      <c r="A112" s="55" t="s">
        <v>69</v>
      </c>
      <c r="B112" s="40">
        <v>1006018</v>
      </c>
      <c r="C112" s="39" t="s">
        <v>724</v>
      </c>
      <c r="D112" s="40" t="s">
        <v>18</v>
      </c>
      <c r="E112" s="40" t="str">
        <f>IFERROR(IF(INDEX('de para abc'!$C:$C,MATCH($B112,'de para abc'!$A:$A,0))=0,"C",INDEX('de para abc'!$C:$C,MATCH($B112,'de para abc'!$A:$A,0))),IFERROR(IF(INDEX('de para abc'!$C:$C,MATCH($C112,'de para abc'!$B:$B,0))=0,"C",INDEX('de para abc'!$C:$C,MATCH($C112,'de para abc'!$B:$B,0))),"C"))</f>
        <v>C</v>
      </c>
      <c r="F112" s="56">
        <v>2</v>
      </c>
    </row>
    <row r="113" spans="1:6" x14ac:dyDescent="0.25">
      <c r="A113" s="55" t="s">
        <v>69</v>
      </c>
      <c r="B113" s="40">
        <v>1000204</v>
      </c>
      <c r="C113" s="39" t="s">
        <v>519</v>
      </c>
      <c r="D113" s="40" t="s">
        <v>10</v>
      </c>
      <c r="E113" s="40" t="str">
        <f>IFERROR(IF(INDEX('de para abc'!$C:$C,MATCH($B113,'de para abc'!$A:$A,0))=0,"C",INDEX('de para abc'!$C:$C,MATCH($B113,'de para abc'!$A:$A,0))),IFERROR(IF(INDEX('de para abc'!$C:$C,MATCH($C113,'de para abc'!$B:$B,0))=0,"C",INDEX('de para abc'!$C:$C,MATCH($C113,'de para abc'!$B:$B,0))),"C"))</f>
        <v>C</v>
      </c>
      <c r="F113" s="56">
        <v>3</v>
      </c>
    </row>
    <row r="114" spans="1:6" x14ac:dyDescent="0.25">
      <c r="A114" s="55" t="s">
        <v>69</v>
      </c>
      <c r="B114" s="40">
        <v>2000456</v>
      </c>
      <c r="C114" s="39" t="s">
        <v>440</v>
      </c>
      <c r="D114" s="40"/>
      <c r="E114" s="40" t="str">
        <f>IFERROR(IF(INDEX('de para abc'!$C:$C,MATCH($B114,'de para abc'!$A:$A,0))=0,"C",INDEX('de para abc'!$C:$C,MATCH($B114,'de para abc'!$A:$A,0))),IFERROR(IF(INDEX('de para abc'!$C:$C,MATCH($C114,'de para abc'!$B:$B,0))=0,"C",INDEX('de para abc'!$C:$C,MATCH($C114,'de para abc'!$B:$B,0))),"C"))</f>
        <v>C</v>
      </c>
      <c r="F114" s="56">
        <v>0</v>
      </c>
    </row>
    <row r="115" spans="1:6" x14ac:dyDescent="0.25">
      <c r="A115" s="55" t="s">
        <v>69</v>
      </c>
      <c r="B115" s="40">
        <v>1000206</v>
      </c>
      <c r="C115" s="39" t="s">
        <v>102</v>
      </c>
      <c r="D115" s="40" t="s">
        <v>10</v>
      </c>
      <c r="E115" s="40" t="str">
        <f>IFERROR(IF(INDEX('de para abc'!$C:$C,MATCH($B115,'de para abc'!$A:$A,0))=0,"C",INDEX('de para abc'!$C:$C,MATCH($B115,'de para abc'!$A:$A,0))),IFERROR(IF(INDEX('de para abc'!$C:$C,MATCH($C115,'de para abc'!$B:$B,0))=0,"C",INDEX('de para abc'!$C:$C,MATCH($C115,'de para abc'!$B:$B,0))),"C"))</f>
        <v>C</v>
      </c>
      <c r="F115" s="56">
        <v>0</v>
      </c>
    </row>
    <row r="116" spans="1:6" x14ac:dyDescent="0.25">
      <c r="A116" s="55" t="s">
        <v>69</v>
      </c>
      <c r="B116" s="40">
        <v>1001254</v>
      </c>
      <c r="C116" s="39" t="s">
        <v>271</v>
      </c>
      <c r="D116" s="40" t="s">
        <v>14</v>
      </c>
      <c r="E116" s="40" t="str">
        <f>IFERROR(IF(INDEX('de para abc'!$C:$C,MATCH($B116,'de para abc'!$A:$A,0))=0,"C",INDEX('de para abc'!$C:$C,MATCH($B116,'de para abc'!$A:$A,0))),IFERROR(IF(INDEX('de para abc'!$C:$C,MATCH($C116,'de para abc'!$B:$B,0))=0,"C",INDEX('de para abc'!$C:$C,MATCH($C116,'de para abc'!$B:$B,0))),"C"))</f>
        <v>C</v>
      </c>
      <c r="F116" s="56">
        <v>7</v>
      </c>
    </row>
    <row r="117" spans="1:6" x14ac:dyDescent="0.25">
      <c r="A117" s="55" t="s">
        <v>69</v>
      </c>
      <c r="B117" s="40">
        <v>1000208</v>
      </c>
      <c r="C117" s="39" t="s">
        <v>103</v>
      </c>
      <c r="D117" s="40" t="s">
        <v>14</v>
      </c>
      <c r="E117" s="40" t="str">
        <f>IFERROR(IF(INDEX('de para abc'!$C:$C,MATCH($B117,'de para abc'!$A:$A,0))=0,"C",INDEX('de para abc'!$C:$C,MATCH($B117,'de para abc'!$A:$A,0))),IFERROR(IF(INDEX('de para abc'!$C:$C,MATCH($C117,'de para abc'!$B:$B,0))=0,"C",INDEX('de para abc'!$C:$C,MATCH($C117,'de para abc'!$B:$B,0))),"C"))</f>
        <v>C</v>
      </c>
      <c r="F117" s="56">
        <v>0</v>
      </c>
    </row>
    <row r="118" spans="1:6" x14ac:dyDescent="0.25">
      <c r="A118" s="55" t="s">
        <v>69</v>
      </c>
      <c r="B118" s="40">
        <v>1000480</v>
      </c>
      <c r="C118" s="39" t="s">
        <v>520</v>
      </c>
      <c r="D118" s="40" t="s">
        <v>14</v>
      </c>
      <c r="E118" s="40" t="str">
        <f>IFERROR(IF(INDEX('de para abc'!$C:$C,MATCH($B118,'de para abc'!$A:$A,0))=0,"C",INDEX('de para abc'!$C:$C,MATCH($B118,'de para abc'!$A:$A,0))),IFERROR(IF(INDEX('de para abc'!$C:$C,MATCH($C118,'de para abc'!$B:$B,0))=0,"C",INDEX('de para abc'!$C:$C,MATCH($C118,'de para abc'!$B:$B,0))),"C"))</f>
        <v>C</v>
      </c>
      <c r="F118" s="56">
        <v>0</v>
      </c>
    </row>
    <row r="119" spans="1:6" x14ac:dyDescent="0.25">
      <c r="A119" s="55" t="s">
        <v>69</v>
      </c>
      <c r="B119" s="40">
        <v>1001854</v>
      </c>
      <c r="C119" s="39" t="s">
        <v>105</v>
      </c>
      <c r="D119" s="40" t="s">
        <v>10</v>
      </c>
      <c r="E119" s="40" t="str">
        <f>IFERROR(IF(INDEX('de para abc'!$C:$C,MATCH($B119,'de para abc'!$A:$A,0))=0,"C",INDEX('de para abc'!$C:$C,MATCH($B119,'de para abc'!$A:$A,0))),IFERROR(IF(INDEX('de para abc'!$C:$C,MATCH($C119,'de para abc'!$B:$B,0))=0,"C",INDEX('de para abc'!$C:$C,MATCH($C119,'de para abc'!$B:$B,0))),"C"))</f>
        <v>C</v>
      </c>
      <c r="F119" s="56">
        <v>2</v>
      </c>
    </row>
    <row r="120" spans="1:6" x14ac:dyDescent="0.25">
      <c r="A120" s="55" t="s">
        <v>69</v>
      </c>
      <c r="B120" s="40">
        <v>1001851</v>
      </c>
      <c r="C120" s="39" t="s">
        <v>180</v>
      </c>
      <c r="D120" s="40" t="s">
        <v>10</v>
      </c>
      <c r="E120" s="40" t="str">
        <f>IFERROR(IF(INDEX('de para abc'!$C:$C,MATCH($B120,'de para abc'!$A:$A,0))=0,"C",INDEX('de para abc'!$C:$C,MATCH($B120,'de para abc'!$A:$A,0))),IFERROR(IF(INDEX('de para abc'!$C:$C,MATCH($C120,'de para abc'!$B:$B,0))=0,"C",INDEX('de para abc'!$C:$C,MATCH($C120,'de para abc'!$B:$B,0))),"C"))</f>
        <v>C</v>
      </c>
      <c r="F120" s="56">
        <v>2</v>
      </c>
    </row>
    <row r="121" spans="1:6" x14ac:dyDescent="0.25">
      <c r="A121" s="55" t="s">
        <v>69</v>
      </c>
      <c r="B121" s="40">
        <v>1001855</v>
      </c>
      <c r="C121" s="39" t="s">
        <v>521</v>
      </c>
      <c r="D121" s="40" t="s">
        <v>10</v>
      </c>
      <c r="E121" s="40" t="str">
        <f>IFERROR(IF(INDEX('de para abc'!$C:$C,MATCH($B121,'de para abc'!$A:$A,0))=0,"C",INDEX('de para abc'!$C:$C,MATCH($B121,'de para abc'!$A:$A,0))),IFERROR(IF(INDEX('de para abc'!$C:$C,MATCH($C121,'de para abc'!$B:$B,0))=0,"C",INDEX('de para abc'!$C:$C,MATCH($C121,'de para abc'!$B:$B,0))),"C"))</f>
        <v>C</v>
      </c>
      <c r="F121" s="56">
        <v>2</v>
      </c>
    </row>
    <row r="122" spans="1:6" x14ac:dyDescent="0.25">
      <c r="A122" s="55" t="s">
        <v>69</v>
      </c>
      <c r="B122" s="40">
        <v>1000277</v>
      </c>
      <c r="C122" s="39" t="s">
        <v>182</v>
      </c>
      <c r="D122" s="40" t="s">
        <v>183</v>
      </c>
      <c r="E122" s="40" t="str">
        <f>IFERROR(IF(INDEX('de para abc'!$C:$C,MATCH($B122,'de para abc'!$A:$A,0))=0,"C",INDEX('de para abc'!$C:$C,MATCH($B122,'de para abc'!$A:$A,0))),IFERROR(IF(INDEX('de para abc'!$C:$C,MATCH($C122,'de para abc'!$B:$B,0))=0,"C",INDEX('de para abc'!$C:$C,MATCH($C122,'de para abc'!$B:$B,0))),"C"))</f>
        <v>C</v>
      </c>
      <c r="F122" s="56">
        <v>0</v>
      </c>
    </row>
    <row r="123" spans="1:6" x14ac:dyDescent="0.25">
      <c r="A123" s="55" t="s">
        <v>69</v>
      </c>
      <c r="B123" s="40">
        <v>1006179</v>
      </c>
      <c r="C123" s="39" t="s">
        <v>106</v>
      </c>
      <c r="D123" s="40" t="s">
        <v>18</v>
      </c>
      <c r="E123" s="40" t="str">
        <f>IFERROR(IF(INDEX('de para abc'!$C:$C,MATCH($B123,'de para abc'!$A:$A,0))=0,"C",INDEX('de para abc'!$C:$C,MATCH($B123,'de para abc'!$A:$A,0))),IFERROR(IF(INDEX('de para abc'!$C:$C,MATCH($C123,'de para abc'!$B:$B,0))=0,"C",INDEX('de para abc'!$C:$C,MATCH($C123,'de para abc'!$B:$B,0))),"C"))</f>
        <v>C</v>
      </c>
      <c r="F123" s="56">
        <v>1</v>
      </c>
    </row>
    <row r="124" spans="1:6" x14ac:dyDescent="0.25">
      <c r="A124" s="55" t="s">
        <v>69</v>
      </c>
      <c r="B124" s="40">
        <v>1001042</v>
      </c>
      <c r="C124" s="39" t="s">
        <v>523</v>
      </c>
      <c r="D124" s="40" t="s">
        <v>14</v>
      </c>
      <c r="E124" s="40" t="str">
        <f>IFERROR(IF(INDEX('de para abc'!$C:$C,MATCH($B124,'de para abc'!$A:$A,0))=0,"C",INDEX('de para abc'!$C:$C,MATCH($B124,'de para abc'!$A:$A,0))),IFERROR(IF(INDEX('de para abc'!$C:$C,MATCH($C124,'de para abc'!$B:$B,0))=0,"C",INDEX('de para abc'!$C:$C,MATCH($C124,'de para abc'!$B:$B,0))),"C"))</f>
        <v>C</v>
      </c>
      <c r="F124" s="56">
        <v>1</v>
      </c>
    </row>
    <row r="125" spans="1:6" x14ac:dyDescent="0.25">
      <c r="A125" s="55" t="s">
        <v>69</v>
      </c>
      <c r="B125" s="40">
        <v>1000293</v>
      </c>
      <c r="C125" s="39" t="s">
        <v>458</v>
      </c>
      <c r="D125" s="40" t="s">
        <v>14</v>
      </c>
      <c r="E125" s="40" t="str">
        <f>IFERROR(IF(INDEX('de para abc'!$C:$C,MATCH($B125,'de para abc'!$A:$A,0))=0,"C",INDEX('de para abc'!$C:$C,MATCH($B125,'de para abc'!$A:$A,0))),IFERROR(IF(INDEX('de para abc'!$C:$C,MATCH($C125,'de para abc'!$B:$B,0))=0,"C",INDEX('de para abc'!$C:$C,MATCH($C125,'de para abc'!$B:$B,0))),"C"))</f>
        <v>C</v>
      </c>
      <c r="F125" s="56">
        <v>0</v>
      </c>
    </row>
    <row r="126" spans="1:6" x14ac:dyDescent="0.25">
      <c r="A126" s="55" t="s">
        <v>69</v>
      </c>
      <c r="B126" s="40">
        <v>1001926</v>
      </c>
      <c r="C126" s="39" t="s">
        <v>282</v>
      </c>
      <c r="D126" s="40" t="s">
        <v>18</v>
      </c>
      <c r="E126" s="40" t="str">
        <f>IFERROR(IF(INDEX('de para abc'!$C:$C,MATCH($B126,'de para abc'!$A:$A,0))=0,"C",INDEX('de para abc'!$C:$C,MATCH($B126,'de para abc'!$A:$A,0))),IFERROR(IF(INDEX('de para abc'!$C:$C,MATCH($C126,'de para abc'!$B:$B,0))=0,"C",INDEX('de para abc'!$C:$C,MATCH($C126,'de para abc'!$B:$B,0))),"C"))</f>
        <v>C</v>
      </c>
      <c r="F126" s="56">
        <v>0</v>
      </c>
    </row>
    <row r="127" spans="1:6" x14ac:dyDescent="0.25">
      <c r="A127" s="55" t="s">
        <v>69</v>
      </c>
      <c r="B127" s="40">
        <v>1000305</v>
      </c>
      <c r="C127" s="39" t="s">
        <v>111</v>
      </c>
      <c r="D127" s="40" t="s">
        <v>10</v>
      </c>
      <c r="E127" s="40" t="str">
        <f>IFERROR(IF(INDEX('de para abc'!$C:$C,MATCH($B127,'de para abc'!$A:$A,0))=0,"C",INDEX('de para abc'!$C:$C,MATCH($B127,'de para abc'!$A:$A,0))),IFERROR(IF(INDEX('de para abc'!$C:$C,MATCH($C127,'de para abc'!$B:$B,0))=0,"C",INDEX('de para abc'!$C:$C,MATCH($C127,'de para abc'!$B:$B,0))),"C"))</f>
        <v>C</v>
      </c>
      <c r="F127" s="56">
        <v>5</v>
      </c>
    </row>
    <row r="128" spans="1:6" x14ac:dyDescent="0.25">
      <c r="A128" s="55" t="s">
        <v>69</v>
      </c>
      <c r="B128" s="40">
        <v>1000327</v>
      </c>
      <c r="C128" s="39" t="s">
        <v>114</v>
      </c>
      <c r="D128" s="40" t="s">
        <v>71</v>
      </c>
      <c r="E128" s="40" t="str">
        <f>IFERROR(IF(INDEX('de para abc'!$C:$C,MATCH($B128,'de para abc'!$A:$A,0))=0,"C",INDEX('de para abc'!$C:$C,MATCH($B128,'de para abc'!$A:$A,0))),IFERROR(IF(INDEX('de para abc'!$C:$C,MATCH($C128,'de para abc'!$B:$B,0))=0,"C",INDEX('de para abc'!$C:$C,MATCH($C128,'de para abc'!$B:$B,0))),"C"))</f>
        <v>C</v>
      </c>
      <c r="F128" s="56">
        <v>6</v>
      </c>
    </row>
    <row r="129" spans="1:6" x14ac:dyDescent="0.25">
      <c r="A129" s="55" t="s">
        <v>69</v>
      </c>
      <c r="B129" s="40">
        <v>1006150</v>
      </c>
      <c r="C129" s="39" t="s">
        <v>115</v>
      </c>
      <c r="D129" s="40" t="s">
        <v>71</v>
      </c>
      <c r="E129" s="40" t="str">
        <f>IFERROR(IF(INDEX('de para abc'!$C:$C,MATCH($B129,'de para abc'!$A:$A,0))=0,"C",INDEX('de para abc'!$C:$C,MATCH($B129,'de para abc'!$A:$A,0))),IFERROR(IF(INDEX('de para abc'!$C:$C,MATCH($C129,'de para abc'!$B:$B,0))=0,"C",INDEX('de para abc'!$C:$C,MATCH($C129,'de para abc'!$B:$B,0))),"C"))</f>
        <v>C</v>
      </c>
      <c r="F129" s="56">
        <v>0</v>
      </c>
    </row>
    <row r="130" spans="1:6" x14ac:dyDescent="0.25">
      <c r="A130" s="55" t="s">
        <v>69</v>
      </c>
      <c r="B130" s="40">
        <v>1000332</v>
      </c>
      <c r="C130" s="39" t="s">
        <v>184</v>
      </c>
      <c r="D130" s="40" t="s">
        <v>71</v>
      </c>
      <c r="E130" s="40" t="str">
        <f>IFERROR(IF(INDEX('de para abc'!$C:$C,MATCH($B130,'de para abc'!$A:$A,0))=0,"C",INDEX('de para abc'!$C:$C,MATCH($B130,'de para abc'!$A:$A,0))),IFERROR(IF(INDEX('de para abc'!$C:$C,MATCH($C130,'de para abc'!$B:$B,0))=0,"C",INDEX('de para abc'!$C:$C,MATCH($C130,'de para abc'!$B:$B,0))),"C"))</f>
        <v>C</v>
      </c>
      <c r="F130" s="56">
        <v>0</v>
      </c>
    </row>
    <row r="131" spans="1:6" x14ac:dyDescent="0.25">
      <c r="A131" s="55" t="s">
        <v>69</v>
      </c>
      <c r="B131" s="40">
        <v>1006840</v>
      </c>
      <c r="C131" s="39" t="s">
        <v>1183</v>
      </c>
      <c r="D131" s="40" t="s">
        <v>10</v>
      </c>
      <c r="E131" s="40" t="str">
        <f>IFERROR(IF(INDEX('de para abc'!$C:$C,MATCH($B131,'de para abc'!$A:$A,0))=0,"C",INDEX('de para abc'!$C:$C,MATCH($B131,'de para abc'!$A:$A,0))),IFERROR(IF(INDEX('de para abc'!$C:$C,MATCH($C131,'de para abc'!$B:$B,0))=0,"C",INDEX('de para abc'!$C:$C,MATCH($C131,'de para abc'!$B:$B,0))),"C"))</f>
        <v>C</v>
      </c>
      <c r="F131" s="56">
        <v>6</v>
      </c>
    </row>
    <row r="132" spans="1:6" x14ac:dyDescent="0.25">
      <c r="A132" s="55" t="s">
        <v>69</v>
      </c>
      <c r="B132" s="40">
        <v>1000544</v>
      </c>
      <c r="C132" s="39" t="s">
        <v>116</v>
      </c>
      <c r="D132" s="40" t="s">
        <v>14</v>
      </c>
      <c r="E132" s="40" t="str">
        <f>IFERROR(IF(INDEX('de para abc'!$C:$C,MATCH($B132,'de para abc'!$A:$A,0))=0,"C",INDEX('de para abc'!$C:$C,MATCH($B132,'de para abc'!$A:$A,0))),IFERROR(IF(INDEX('de para abc'!$C:$C,MATCH($C132,'de para abc'!$B:$B,0))=0,"C",INDEX('de para abc'!$C:$C,MATCH($C132,'de para abc'!$B:$B,0))),"C"))</f>
        <v>C</v>
      </c>
      <c r="F132" s="56">
        <v>0</v>
      </c>
    </row>
    <row r="133" spans="1:6" x14ac:dyDescent="0.25">
      <c r="A133" s="55" t="s">
        <v>69</v>
      </c>
      <c r="B133" s="40">
        <v>1001852</v>
      </c>
      <c r="C133" s="39" t="s">
        <v>185</v>
      </c>
      <c r="D133" s="40" t="s">
        <v>10</v>
      </c>
      <c r="E133" s="40" t="str">
        <f>IFERROR(IF(INDEX('de para abc'!$C:$C,MATCH($B133,'de para abc'!$A:$A,0))=0,"C",INDEX('de para abc'!$C:$C,MATCH($B133,'de para abc'!$A:$A,0))),IFERROR(IF(INDEX('de para abc'!$C:$C,MATCH($C133,'de para abc'!$B:$B,0))=0,"C",INDEX('de para abc'!$C:$C,MATCH($C133,'de para abc'!$B:$B,0))),"C"))</f>
        <v>C</v>
      </c>
      <c r="F133" s="56">
        <v>13</v>
      </c>
    </row>
    <row r="134" spans="1:6" x14ac:dyDescent="0.25">
      <c r="A134" s="55" t="s">
        <v>69</v>
      </c>
      <c r="B134" s="40">
        <v>1001562</v>
      </c>
      <c r="C134" s="39" t="s">
        <v>1190</v>
      </c>
      <c r="D134" s="40" t="s">
        <v>18</v>
      </c>
      <c r="E134" s="40" t="str">
        <f>IFERROR(IF(INDEX('de para abc'!$C:$C,MATCH($B134,'de para abc'!$A:$A,0))=0,"C",INDEX('de para abc'!$C:$C,MATCH($B134,'de para abc'!$A:$A,0))),IFERROR(IF(INDEX('de para abc'!$C:$C,MATCH($C134,'de para abc'!$B:$B,0))=0,"C",INDEX('de para abc'!$C:$C,MATCH($C134,'de para abc'!$B:$B,0))),"C"))</f>
        <v>C</v>
      </c>
      <c r="F134" s="56">
        <v>1</v>
      </c>
    </row>
    <row r="135" spans="1:6" x14ac:dyDescent="0.25">
      <c r="A135" s="55" t="s">
        <v>69</v>
      </c>
      <c r="B135" s="40">
        <v>1000368</v>
      </c>
      <c r="C135" s="39" t="s">
        <v>186</v>
      </c>
      <c r="D135" s="40" t="s">
        <v>10</v>
      </c>
      <c r="E135" s="40" t="str">
        <f>IFERROR(IF(INDEX('de para abc'!$C:$C,MATCH($B135,'de para abc'!$A:$A,0))=0,"C",INDEX('de para abc'!$C:$C,MATCH($B135,'de para abc'!$A:$A,0))),IFERROR(IF(INDEX('de para abc'!$C:$C,MATCH($C135,'de para abc'!$B:$B,0))=0,"C",INDEX('de para abc'!$C:$C,MATCH($C135,'de para abc'!$B:$B,0))),"C"))</f>
        <v>C</v>
      </c>
      <c r="F135" s="56">
        <v>6</v>
      </c>
    </row>
    <row r="136" spans="1:6" x14ac:dyDescent="0.25">
      <c r="A136" s="55" t="s">
        <v>69</v>
      </c>
      <c r="B136" s="40">
        <v>1000879</v>
      </c>
      <c r="C136" s="39" t="s">
        <v>528</v>
      </c>
      <c r="D136" s="40" t="s">
        <v>71</v>
      </c>
      <c r="E136" s="40" t="str">
        <f>IFERROR(IF(INDEX('de para abc'!$C:$C,MATCH($B136,'de para abc'!$A:$A,0))=0,"C",INDEX('de para abc'!$C:$C,MATCH($B136,'de para abc'!$A:$A,0))),IFERROR(IF(INDEX('de para abc'!$C:$C,MATCH($C136,'de para abc'!$B:$B,0))=0,"C",INDEX('de para abc'!$C:$C,MATCH($C136,'de para abc'!$B:$B,0))),"C"))</f>
        <v>C</v>
      </c>
      <c r="F136" s="56">
        <v>0</v>
      </c>
    </row>
    <row r="137" spans="1:6" x14ac:dyDescent="0.25">
      <c r="A137" s="55" t="s">
        <v>69</v>
      </c>
      <c r="B137" s="40">
        <v>1000421</v>
      </c>
      <c r="C137" s="39" t="s">
        <v>292</v>
      </c>
      <c r="D137" s="40" t="s">
        <v>14</v>
      </c>
      <c r="E137" s="40" t="str">
        <f>IFERROR(IF(INDEX('de para abc'!$C:$C,MATCH($B137,'de para abc'!$A:$A,0))=0,"C",INDEX('de para abc'!$C:$C,MATCH($B137,'de para abc'!$A:$A,0))),IFERROR(IF(INDEX('de para abc'!$C:$C,MATCH($C137,'de para abc'!$B:$B,0))=0,"C",INDEX('de para abc'!$C:$C,MATCH($C137,'de para abc'!$B:$B,0))),"C"))</f>
        <v>C</v>
      </c>
      <c r="F137" s="56">
        <v>5</v>
      </c>
    </row>
    <row r="138" spans="1:6" x14ac:dyDescent="0.25">
      <c r="A138" s="55" t="s">
        <v>69</v>
      </c>
      <c r="B138" s="40">
        <v>1000583</v>
      </c>
      <c r="C138" s="39" t="s">
        <v>121</v>
      </c>
      <c r="D138" s="40" t="s">
        <v>14</v>
      </c>
      <c r="E138" s="40" t="str">
        <f>IFERROR(IF(INDEX('de para abc'!$C:$C,MATCH($B138,'de para abc'!$A:$A,0))=0,"C",INDEX('de para abc'!$C:$C,MATCH($B138,'de para abc'!$A:$A,0))),IFERROR(IF(INDEX('de para abc'!$C:$C,MATCH($C138,'de para abc'!$B:$B,0))=0,"C",INDEX('de para abc'!$C:$C,MATCH($C138,'de para abc'!$B:$B,0))),"C"))</f>
        <v>C</v>
      </c>
      <c r="F138" s="56">
        <v>0</v>
      </c>
    </row>
    <row r="139" spans="1:6" x14ac:dyDescent="0.25">
      <c r="A139" s="55" t="s">
        <v>69</v>
      </c>
      <c r="B139" s="40">
        <v>1000648</v>
      </c>
      <c r="C139" s="39" t="s">
        <v>1758</v>
      </c>
      <c r="D139" s="40" t="s">
        <v>14</v>
      </c>
      <c r="E139" s="40" t="str">
        <f>IFERROR(IF(INDEX('de para abc'!$C:$C,MATCH($B139,'de para abc'!$A:$A,0))=0,"C",INDEX('de para abc'!$C:$C,MATCH($B139,'de para abc'!$A:$A,0))),IFERROR(IF(INDEX('de para abc'!$C:$C,MATCH($C139,'de para abc'!$B:$B,0))=0,"C",INDEX('de para abc'!$C:$C,MATCH($C139,'de para abc'!$B:$B,0))),"C"))</f>
        <v>C</v>
      </c>
      <c r="F139" s="56">
        <v>0</v>
      </c>
    </row>
    <row r="140" spans="1:6" x14ac:dyDescent="0.25">
      <c r="A140" s="55" t="s">
        <v>69</v>
      </c>
      <c r="B140" s="40">
        <v>1000995</v>
      </c>
      <c r="C140" s="39" t="s">
        <v>530</v>
      </c>
      <c r="D140" s="40" t="s">
        <v>14</v>
      </c>
      <c r="E140" s="40" t="str">
        <f>IFERROR(IF(INDEX('de para abc'!$C:$C,MATCH($B140,'de para abc'!$A:$A,0))=0,"C",INDEX('de para abc'!$C:$C,MATCH($B140,'de para abc'!$A:$A,0))),IFERROR(IF(INDEX('de para abc'!$C:$C,MATCH($C140,'de para abc'!$B:$B,0))=0,"C",INDEX('de para abc'!$C:$C,MATCH($C140,'de para abc'!$B:$B,0))),"C"))</f>
        <v>C</v>
      </c>
      <c r="F140" s="56">
        <v>4</v>
      </c>
    </row>
    <row r="141" spans="1:6" x14ac:dyDescent="0.25">
      <c r="A141" s="55" t="s">
        <v>69</v>
      </c>
      <c r="B141" s="40">
        <v>1001853</v>
      </c>
      <c r="C141" s="39" t="s">
        <v>531</v>
      </c>
      <c r="D141" s="40" t="s">
        <v>10</v>
      </c>
      <c r="E141" s="40" t="str">
        <f>IFERROR(IF(INDEX('de para abc'!$C:$C,MATCH($B141,'de para abc'!$A:$A,0))=0,"C",INDEX('de para abc'!$C:$C,MATCH($B141,'de para abc'!$A:$A,0))),IFERROR(IF(INDEX('de para abc'!$C:$C,MATCH($C141,'de para abc'!$B:$B,0))=0,"C",INDEX('de para abc'!$C:$C,MATCH($C141,'de para abc'!$B:$B,0))),"C"))</f>
        <v>C</v>
      </c>
      <c r="F141" s="56">
        <v>3</v>
      </c>
    </row>
    <row r="142" spans="1:6" x14ac:dyDescent="0.25">
      <c r="A142" s="57" t="s">
        <v>69</v>
      </c>
      <c r="B142" s="60">
        <v>1000367</v>
      </c>
      <c r="C142" s="59" t="s">
        <v>124</v>
      </c>
      <c r="D142" s="60" t="s">
        <v>14</v>
      </c>
      <c r="E142" s="60" t="str">
        <f>IFERROR(IF(INDEX('de para abc'!$C:$C,MATCH($B142,'de para abc'!$A:$A,0))=0,"C",INDEX('de para abc'!$C:$C,MATCH($B142,'de para abc'!$A:$A,0))),IFERROR(IF(INDEX('de para abc'!$C:$C,MATCH($C142,'de para abc'!$B:$B,0))=0,"C",INDEX('de para abc'!$C:$C,MATCH($C142,'de para abc'!$B:$B,0))),"C"))</f>
        <v>C</v>
      </c>
      <c r="F142" s="61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28"/>
  <sheetViews>
    <sheetView workbookViewId="0"/>
  </sheetViews>
  <sheetFormatPr defaultColWidth="14.42578125" defaultRowHeight="15" customHeight="1" x14ac:dyDescent="0.25"/>
  <cols>
    <col min="1" max="1" width="19.140625" customWidth="1"/>
    <col min="2" max="2" width="78.7109375" customWidth="1"/>
    <col min="3" max="6" width="8.7109375" customWidth="1"/>
  </cols>
  <sheetData>
    <row r="1" spans="1:2" x14ac:dyDescent="0.25">
      <c r="A1" s="27" t="s">
        <v>532</v>
      </c>
      <c r="B1" s="27" t="s">
        <v>4</v>
      </c>
    </row>
    <row r="2" spans="1:2" x14ac:dyDescent="0.25">
      <c r="A2" s="27" t="s">
        <v>533</v>
      </c>
      <c r="B2" s="27" t="s">
        <v>534</v>
      </c>
    </row>
    <row r="3" spans="1:2" x14ac:dyDescent="0.25">
      <c r="A3" s="27" t="s">
        <v>535</v>
      </c>
      <c r="B3" s="27" t="s">
        <v>129</v>
      </c>
    </row>
    <row r="4" spans="1:2" x14ac:dyDescent="0.25">
      <c r="A4" s="27" t="s">
        <v>535</v>
      </c>
      <c r="B4" s="27" t="s">
        <v>129</v>
      </c>
    </row>
    <row r="5" spans="1:2" x14ac:dyDescent="0.25">
      <c r="A5" s="27" t="s">
        <v>535</v>
      </c>
      <c r="B5" s="27" t="s">
        <v>129</v>
      </c>
    </row>
    <row r="6" spans="1:2" x14ac:dyDescent="0.25">
      <c r="A6" s="27" t="s">
        <v>535</v>
      </c>
      <c r="B6" s="27" t="s">
        <v>129</v>
      </c>
    </row>
    <row r="7" spans="1:2" x14ac:dyDescent="0.25">
      <c r="A7" s="27" t="s">
        <v>535</v>
      </c>
      <c r="B7" s="27" t="s">
        <v>129</v>
      </c>
    </row>
    <row r="8" spans="1:2" x14ac:dyDescent="0.25">
      <c r="A8" s="27" t="s">
        <v>535</v>
      </c>
      <c r="B8" s="27" t="s">
        <v>129</v>
      </c>
    </row>
    <row r="9" spans="1:2" x14ac:dyDescent="0.25">
      <c r="A9" s="27" t="s">
        <v>535</v>
      </c>
      <c r="B9" s="27" t="s">
        <v>129</v>
      </c>
    </row>
    <row r="10" spans="1:2" x14ac:dyDescent="0.25">
      <c r="A10" s="27" t="s">
        <v>535</v>
      </c>
      <c r="B10" s="27" t="s">
        <v>129</v>
      </c>
    </row>
    <row r="11" spans="1:2" x14ac:dyDescent="0.25">
      <c r="A11" s="27" t="s">
        <v>535</v>
      </c>
      <c r="B11" s="27" t="s">
        <v>129</v>
      </c>
    </row>
    <row r="12" spans="1:2" x14ac:dyDescent="0.25">
      <c r="A12" s="27" t="s">
        <v>535</v>
      </c>
      <c r="B12" s="27" t="s">
        <v>129</v>
      </c>
    </row>
    <row r="13" spans="1:2" x14ac:dyDescent="0.25">
      <c r="A13" s="27" t="s">
        <v>535</v>
      </c>
      <c r="B13" s="27" t="s">
        <v>129</v>
      </c>
    </row>
    <row r="14" spans="1:2" x14ac:dyDescent="0.25">
      <c r="A14" s="27" t="s">
        <v>535</v>
      </c>
      <c r="B14" s="27" t="s">
        <v>129</v>
      </c>
    </row>
    <row r="15" spans="1:2" x14ac:dyDescent="0.25">
      <c r="A15" s="27" t="s">
        <v>535</v>
      </c>
      <c r="B15" s="27" t="s">
        <v>129</v>
      </c>
    </row>
    <row r="16" spans="1:2" x14ac:dyDescent="0.25">
      <c r="A16" s="27" t="s">
        <v>536</v>
      </c>
      <c r="B16" s="27" t="s">
        <v>537</v>
      </c>
    </row>
    <row r="17" spans="1:2" x14ac:dyDescent="0.25">
      <c r="A17" s="27" t="s">
        <v>538</v>
      </c>
      <c r="B17" s="27" t="s">
        <v>539</v>
      </c>
    </row>
    <row r="18" spans="1:2" x14ac:dyDescent="0.25">
      <c r="A18" s="27" t="s">
        <v>538</v>
      </c>
      <c r="B18" s="27" t="s">
        <v>539</v>
      </c>
    </row>
    <row r="19" spans="1:2" x14ac:dyDescent="0.25">
      <c r="A19" s="27" t="s">
        <v>538</v>
      </c>
      <c r="B19" s="27" t="s">
        <v>539</v>
      </c>
    </row>
    <row r="20" spans="1:2" x14ac:dyDescent="0.25">
      <c r="A20" s="27" t="s">
        <v>538</v>
      </c>
      <c r="B20" s="27" t="s">
        <v>539</v>
      </c>
    </row>
    <row r="21" spans="1:2" ht="15.75" customHeight="1" x14ac:dyDescent="0.25">
      <c r="A21" s="27" t="s">
        <v>538</v>
      </c>
      <c r="B21" s="27" t="s">
        <v>539</v>
      </c>
    </row>
    <row r="22" spans="1:2" ht="15.75" customHeight="1" x14ac:dyDescent="0.25">
      <c r="A22" s="27" t="s">
        <v>538</v>
      </c>
      <c r="B22" s="27" t="s">
        <v>539</v>
      </c>
    </row>
    <row r="23" spans="1:2" ht="15.75" customHeight="1" x14ac:dyDescent="0.25">
      <c r="A23" s="27" t="s">
        <v>538</v>
      </c>
      <c r="B23" s="27" t="s">
        <v>539</v>
      </c>
    </row>
    <row r="24" spans="1:2" ht="15.75" customHeight="1" x14ac:dyDescent="0.25">
      <c r="A24" s="27" t="s">
        <v>540</v>
      </c>
      <c r="B24" s="27" t="s">
        <v>541</v>
      </c>
    </row>
    <row r="25" spans="1:2" ht="15.75" customHeight="1" x14ac:dyDescent="0.25">
      <c r="A25" s="27" t="s">
        <v>540</v>
      </c>
      <c r="B25" s="27" t="s">
        <v>541</v>
      </c>
    </row>
    <row r="26" spans="1:2" ht="15.75" customHeight="1" x14ac:dyDescent="0.25">
      <c r="A26" s="27" t="s">
        <v>542</v>
      </c>
      <c r="B26" s="27" t="s">
        <v>9</v>
      </c>
    </row>
    <row r="27" spans="1:2" ht="15.75" customHeight="1" x14ac:dyDescent="0.25">
      <c r="A27" s="27" t="s">
        <v>542</v>
      </c>
      <c r="B27" s="27" t="s">
        <v>9</v>
      </c>
    </row>
    <row r="28" spans="1:2" ht="15.75" customHeight="1" x14ac:dyDescent="0.25">
      <c r="A28" s="27" t="s">
        <v>542</v>
      </c>
      <c r="B28" s="27" t="s">
        <v>9</v>
      </c>
    </row>
    <row r="29" spans="1:2" ht="15.75" customHeight="1" x14ac:dyDescent="0.25">
      <c r="A29" s="27" t="s">
        <v>542</v>
      </c>
      <c r="B29" s="27" t="s">
        <v>9</v>
      </c>
    </row>
    <row r="30" spans="1:2" ht="15.75" customHeight="1" x14ac:dyDescent="0.25">
      <c r="A30" s="27" t="s">
        <v>542</v>
      </c>
      <c r="B30" s="27" t="s">
        <v>9</v>
      </c>
    </row>
    <row r="31" spans="1:2" ht="15.75" customHeight="1" x14ac:dyDescent="0.25">
      <c r="A31" s="27" t="s">
        <v>542</v>
      </c>
      <c r="B31" s="27" t="s">
        <v>9</v>
      </c>
    </row>
    <row r="32" spans="1:2" ht="15.75" customHeight="1" x14ac:dyDescent="0.25">
      <c r="A32" s="27" t="s">
        <v>542</v>
      </c>
      <c r="B32" s="27" t="s">
        <v>9</v>
      </c>
    </row>
    <row r="33" spans="1:2" ht="15.75" customHeight="1" x14ac:dyDescent="0.25">
      <c r="A33" s="27" t="s">
        <v>542</v>
      </c>
      <c r="B33" s="27" t="s">
        <v>9</v>
      </c>
    </row>
    <row r="34" spans="1:2" ht="15.75" customHeight="1" x14ac:dyDescent="0.25">
      <c r="A34" s="27" t="s">
        <v>542</v>
      </c>
      <c r="B34" s="27" t="s">
        <v>9</v>
      </c>
    </row>
    <row r="35" spans="1:2" ht="15.75" customHeight="1" x14ac:dyDescent="0.25">
      <c r="A35" s="27" t="s">
        <v>542</v>
      </c>
      <c r="B35" s="27" t="s">
        <v>9</v>
      </c>
    </row>
    <row r="36" spans="1:2" ht="15.75" customHeight="1" x14ac:dyDescent="0.25">
      <c r="A36" s="27" t="s">
        <v>542</v>
      </c>
      <c r="B36" s="27" t="s">
        <v>9</v>
      </c>
    </row>
    <row r="37" spans="1:2" ht="15.75" customHeight="1" x14ac:dyDescent="0.25">
      <c r="A37" s="27" t="s">
        <v>542</v>
      </c>
      <c r="B37" s="27" t="s">
        <v>9</v>
      </c>
    </row>
    <row r="38" spans="1:2" ht="15.75" customHeight="1" x14ac:dyDescent="0.25">
      <c r="A38" s="27" t="s">
        <v>542</v>
      </c>
      <c r="B38" s="27" t="s">
        <v>9</v>
      </c>
    </row>
    <row r="39" spans="1:2" ht="15.75" customHeight="1" x14ac:dyDescent="0.25">
      <c r="A39" s="27" t="s">
        <v>542</v>
      </c>
      <c r="B39" s="27" t="s">
        <v>9</v>
      </c>
    </row>
    <row r="40" spans="1:2" ht="15.75" customHeight="1" x14ac:dyDescent="0.25">
      <c r="A40" s="27" t="s">
        <v>542</v>
      </c>
      <c r="B40" s="27" t="s">
        <v>9</v>
      </c>
    </row>
    <row r="41" spans="1:2" ht="15.75" customHeight="1" x14ac:dyDescent="0.25">
      <c r="A41" s="27" t="s">
        <v>542</v>
      </c>
      <c r="B41" s="27" t="s">
        <v>9</v>
      </c>
    </row>
    <row r="42" spans="1:2" ht="15.75" customHeight="1" x14ac:dyDescent="0.25">
      <c r="A42" s="27" t="s">
        <v>542</v>
      </c>
      <c r="B42" s="27" t="s">
        <v>9</v>
      </c>
    </row>
    <row r="43" spans="1:2" ht="15.75" customHeight="1" x14ac:dyDescent="0.25">
      <c r="A43" s="27" t="s">
        <v>543</v>
      </c>
      <c r="B43" s="27" t="s">
        <v>12</v>
      </c>
    </row>
    <row r="44" spans="1:2" ht="15.75" customHeight="1" x14ac:dyDescent="0.25">
      <c r="A44" s="27" t="s">
        <v>543</v>
      </c>
      <c r="B44" s="27" t="s">
        <v>12</v>
      </c>
    </row>
    <row r="45" spans="1:2" ht="15.75" customHeight="1" x14ac:dyDescent="0.25">
      <c r="A45" s="27" t="s">
        <v>543</v>
      </c>
      <c r="B45" s="27" t="s">
        <v>12</v>
      </c>
    </row>
    <row r="46" spans="1:2" ht="15.75" customHeight="1" x14ac:dyDescent="0.25">
      <c r="A46" s="27" t="s">
        <v>543</v>
      </c>
      <c r="B46" s="27" t="s">
        <v>12</v>
      </c>
    </row>
    <row r="47" spans="1:2" ht="15.75" customHeight="1" x14ac:dyDescent="0.25">
      <c r="A47" s="27" t="s">
        <v>543</v>
      </c>
      <c r="B47" s="27" t="s">
        <v>12</v>
      </c>
    </row>
    <row r="48" spans="1:2" ht="15.75" customHeight="1" x14ac:dyDescent="0.25">
      <c r="A48" s="27" t="s">
        <v>543</v>
      </c>
      <c r="B48" s="27" t="s">
        <v>12</v>
      </c>
    </row>
    <row r="49" spans="1:2" ht="15.75" customHeight="1" x14ac:dyDescent="0.25">
      <c r="A49" s="27" t="s">
        <v>543</v>
      </c>
      <c r="B49" s="27" t="s">
        <v>12</v>
      </c>
    </row>
    <row r="50" spans="1:2" ht="15.75" customHeight="1" x14ac:dyDescent="0.25">
      <c r="A50" s="27" t="s">
        <v>543</v>
      </c>
      <c r="B50" s="27" t="s">
        <v>12</v>
      </c>
    </row>
    <row r="51" spans="1:2" ht="15.75" customHeight="1" x14ac:dyDescent="0.25">
      <c r="A51" s="27" t="s">
        <v>543</v>
      </c>
      <c r="B51" s="27" t="s">
        <v>12</v>
      </c>
    </row>
    <row r="52" spans="1:2" ht="15.75" customHeight="1" x14ac:dyDescent="0.25">
      <c r="A52" s="27" t="s">
        <v>543</v>
      </c>
      <c r="B52" s="27" t="s">
        <v>12</v>
      </c>
    </row>
    <row r="53" spans="1:2" ht="15.75" customHeight="1" x14ac:dyDescent="0.25">
      <c r="A53" s="27" t="s">
        <v>543</v>
      </c>
      <c r="B53" s="27" t="s">
        <v>12</v>
      </c>
    </row>
    <row r="54" spans="1:2" ht="15.75" customHeight="1" x14ac:dyDescent="0.25">
      <c r="A54" s="27" t="s">
        <v>543</v>
      </c>
      <c r="B54" s="27" t="s">
        <v>12</v>
      </c>
    </row>
    <row r="55" spans="1:2" ht="15.75" customHeight="1" x14ac:dyDescent="0.25">
      <c r="A55" s="27" t="s">
        <v>543</v>
      </c>
      <c r="B55" s="27" t="s">
        <v>12</v>
      </c>
    </row>
    <row r="56" spans="1:2" ht="15.75" customHeight="1" x14ac:dyDescent="0.25">
      <c r="A56" s="27" t="s">
        <v>543</v>
      </c>
      <c r="B56" s="27" t="s">
        <v>12</v>
      </c>
    </row>
    <row r="57" spans="1:2" ht="15.75" customHeight="1" x14ac:dyDescent="0.25">
      <c r="A57" s="27" t="s">
        <v>543</v>
      </c>
      <c r="B57" s="27" t="s">
        <v>12</v>
      </c>
    </row>
    <row r="58" spans="1:2" ht="15.75" customHeight="1" x14ac:dyDescent="0.25">
      <c r="A58" s="27" t="s">
        <v>544</v>
      </c>
      <c r="B58" s="27" t="s">
        <v>13</v>
      </c>
    </row>
    <row r="59" spans="1:2" ht="15.75" customHeight="1" x14ac:dyDescent="0.25">
      <c r="A59" s="27" t="s">
        <v>544</v>
      </c>
      <c r="B59" s="27" t="s">
        <v>13</v>
      </c>
    </row>
    <row r="60" spans="1:2" ht="15.75" customHeight="1" x14ac:dyDescent="0.25">
      <c r="A60" s="27" t="s">
        <v>544</v>
      </c>
      <c r="B60" s="27" t="s">
        <v>13</v>
      </c>
    </row>
    <row r="61" spans="1:2" ht="15.75" customHeight="1" x14ac:dyDescent="0.25">
      <c r="A61" s="27" t="s">
        <v>544</v>
      </c>
      <c r="B61" s="27" t="s">
        <v>13</v>
      </c>
    </row>
    <row r="62" spans="1:2" ht="15.75" customHeight="1" x14ac:dyDescent="0.25">
      <c r="A62" s="27" t="s">
        <v>544</v>
      </c>
      <c r="B62" s="27" t="s">
        <v>13</v>
      </c>
    </row>
    <row r="63" spans="1:2" ht="15.75" customHeight="1" x14ac:dyDescent="0.25">
      <c r="A63" s="27" t="s">
        <v>544</v>
      </c>
      <c r="B63" s="27" t="s">
        <v>13</v>
      </c>
    </row>
    <row r="64" spans="1:2" ht="15.75" customHeight="1" x14ac:dyDescent="0.25">
      <c r="A64" s="27" t="s">
        <v>544</v>
      </c>
      <c r="B64" s="27" t="s">
        <v>13</v>
      </c>
    </row>
    <row r="65" spans="1:2" ht="15.75" customHeight="1" x14ac:dyDescent="0.25">
      <c r="A65" s="27" t="s">
        <v>544</v>
      </c>
      <c r="B65" s="27" t="s">
        <v>13</v>
      </c>
    </row>
    <row r="66" spans="1:2" ht="15.75" customHeight="1" x14ac:dyDescent="0.25">
      <c r="A66" s="27" t="s">
        <v>544</v>
      </c>
      <c r="B66" s="27" t="s">
        <v>13</v>
      </c>
    </row>
    <row r="67" spans="1:2" ht="15.75" customHeight="1" x14ac:dyDescent="0.25">
      <c r="A67" s="27" t="s">
        <v>544</v>
      </c>
      <c r="B67" s="27" t="s">
        <v>13</v>
      </c>
    </row>
    <row r="68" spans="1:2" ht="15.75" customHeight="1" x14ac:dyDescent="0.25">
      <c r="A68" s="27" t="s">
        <v>544</v>
      </c>
      <c r="B68" s="27" t="s">
        <v>13</v>
      </c>
    </row>
    <row r="69" spans="1:2" ht="15.75" customHeight="1" x14ac:dyDescent="0.25">
      <c r="A69" s="27" t="s">
        <v>544</v>
      </c>
      <c r="B69" s="27" t="s">
        <v>13</v>
      </c>
    </row>
    <row r="70" spans="1:2" ht="15.75" customHeight="1" x14ac:dyDescent="0.25">
      <c r="A70" s="27" t="s">
        <v>545</v>
      </c>
      <c r="B70" s="27" t="s">
        <v>381</v>
      </c>
    </row>
    <row r="71" spans="1:2" ht="15.75" customHeight="1" x14ac:dyDescent="0.25">
      <c r="A71" s="27" t="s">
        <v>545</v>
      </c>
      <c r="B71" s="27" t="s">
        <v>381</v>
      </c>
    </row>
    <row r="72" spans="1:2" ht="15.75" customHeight="1" x14ac:dyDescent="0.25">
      <c r="A72" s="27" t="s">
        <v>545</v>
      </c>
      <c r="B72" s="27" t="s">
        <v>381</v>
      </c>
    </row>
    <row r="73" spans="1:2" ht="15.75" customHeight="1" x14ac:dyDescent="0.25">
      <c r="A73" s="27" t="s">
        <v>545</v>
      </c>
      <c r="B73" s="27" t="s">
        <v>381</v>
      </c>
    </row>
    <row r="74" spans="1:2" ht="15.75" customHeight="1" x14ac:dyDescent="0.25">
      <c r="A74" s="27" t="s">
        <v>546</v>
      </c>
      <c r="B74" s="27" t="s">
        <v>15</v>
      </c>
    </row>
    <row r="75" spans="1:2" ht="15.75" customHeight="1" x14ac:dyDescent="0.25">
      <c r="A75" s="27" t="s">
        <v>546</v>
      </c>
      <c r="B75" s="27" t="s">
        <v>15</v>
      </c>
    </row>
    <row r="76" spans="1:2" ht="15.75" customHeight="1" x14ac:dyDescent="0.25">
      <c r="A76" s="27" t="s">
        <v>546</v>
      </c>
      <c r="B76" s="27" t="s">
        <v>15</v>
      </c>
    </row>
    <row r="77" spans="1:2" ht="15.75" customHeight="1" x14ac:dyDescent="0.25">
      <c r="A77" s="27" t="s">
        <v>546</v>
      </c>
      <c r="B77" s="27" t="s">
        <v>15</v>
      </c>
    </row>
    <row r="78" spans="1:2" ht="15.75" customHeight="1" x14ac:dyDescent="0.25">
      <c r="A78" s="27" t="s">
        <v>546</v>
      </c>
      <c r="B78" s="27" t="s">
        <v>15</v>
      </c>
    </row>
    <row r="79" spans="1:2" ht="15.75" customHeight="1" x14ac:dyDescent="0.25">
      <c r="A79" s="27" t="s">
        <v>546</v>
      </c>
      <c r="B79" s="27" t="s">
        <v>15</v>
      </c>
    </row>
    <row r="80" spans="1:2" ht="15.75" customHeight="1" x14ac:dyDescent="0.25">
      <c r="A80" s="27" t="s">
        <v>546</v>
      </c>
      <c r="B80" s="27" t="s">
        <v>15</v>
      </c>
    </row>
    <row r="81" spans="1:2" ht="15.75" customHeight="1" x14ac:dyDescent="0.25">
      <c r="A81" s="27" t="s">
        <v>547</v>
      </c>
      <c r="B81" s="27" t="s">
        <v>548</v>
      </c>
    </row>
    <row r="82" spans="1:2" ht="15.75" customHeight="1" x14ac:dyDescent="0.25">
      <c r="A82" s="27" t="s">
        <v>547</v>
      </c>
      <c r="B82" s="27" t="s">
        <v>548</v>
      </c>
    </row>
    <row r="83" spans="1:2" ht="15.75" customHeight="1" x14ac:dyDescent="0.25">
      <c r="A83" s="27" t="s">
        <v>547</v>
      </c>
      <c r="B83" s="27" t="s">
        <v>548</v>
      </c>
    </row>
    <row r="84" spans="1:2" ht="15.75" customHeight="1" x14ac:dyDescent="0.25">
      <c r="A84" s="27" t="s">
        <v>549</v>
      </c>
      <c r="B84" s="27" t="s">
        <v>46</v>
      </c>
    </row>
    <row r="85" spans="1:2" ht="15.75" customHeight="1" x14ac:dyDescent="0.25">
      <c r="A85" s="27" t="s">
        <v>549</v>
      </c>
      <c r="B85" s="27" t="s">
        <v>46</v>
      </c>
    </row>
    <row r="86" spans="1:2" ht="15.75" customHeight="1" x14ac:dyDescent="0.25">
      <c r="A86" s="27" t="s">
        <v>549</v>
      </c>
      <c r="B86" s="27" t="s">
        <v>46</v>
      </c>
    </row>
    <row r="87" spans="1:2" ht="15.75" customHeight="1" x14ac:dyDescent="0.25">
      <c r="A87" s="27" t="s">
        <v>549</v>
      </c>
      <c r="B87" s="27" t="s">
        <v>46</v>
      </c>
    </row>
    <row r="88" spans="1:2" ht="15.75" customHeight="1" x14ac:dyDescent="0.25">
      <c r="A88" s="27" t="s">
        <v>549</v>
      </c>
      <c r="B88" s="27" t="s">
        <v>46</v>
      </c>
    </row>
    <row r="89" spans="1:2" ht="15.75" customHeight="1" x14ac:dyDescent="0.25">
      <c r="A89" s="27" t="s">
        <v>549</v>
      </c>
      <c r="B89" s="27" t="s">
        <v>46</v>
      </c>
    </row>
    <row r="90" spans="1:2" ht="15.75" customHeight="1" x14ac:dyDescent="0.25">
      <c r="A90" s="27" t="s">
        <v>549</v>
      </c>
      <c r="B90" s="27" t="s">
        <v>46</v>
      </c>
    </row>
    <row r="91" spans="1:2" ht="15.75" customHeight="1" x14ac:dyDescent="0.25">
      <c r="A91" s="27" t="s">
        <v>549</v>
      </c>
      <c r="B91" s="27" t="s">
        <v>46</v>
      </c>
    </row>
    <row r="92" spans="1:2" ht="15.75" customHeight="1" x14ac:dyDescent="0.25">
      <c r="A92" s="27" t="s">
        <v>549</v>
      </c>
      <c r="B92" s="27" t="s">
        <v>46</v>
      </c>
    </row>
    <row r="93" spans="1:2" ht="15.75" customHeight="1" x14ac:dyDescent="0.25">
      <c r="A93" s="27" t="s">
        <v>549</v>
      </c>
      <c r="B93" s="27" t="s">
        <v>46</v>
      </c>
    </row>
    <row r="94" spans="1:2" ht="15.75" customHeight="1" x14ac:dyDescent="0.25">
      <c r="A94" s="27" t="s">
        <v>549</v>
      </c>
      <c r="B94" s="27" t="s">
        <v>46</v>
      </c>
    </row>
    <row r="95" spans="1:2" ht="15.75" customHeight="1" x14ac:dyDescent="0.25">
      <c r="A95" s="27" t="s">
        <v>549</v>
      </c>
      <c r="B95" s="27" t="s">
        <v>46</v>
      </c>
    </row>
    <row r="96" spans="1:2" ht="15.75" customHeight="1" x14ac:dyDescent="0.25">
      <c r="A96" s="27" t="s">
        <v>549</v>
      </c>
      <c r="B96" s="27" t="s">
        <v>46</v>
      </c>
    </row>
    <row r="97" spans="1:2" ht="15.75" customHeight="1" x14ac:dyDescent="0.25">
      <c r="A97" s="27" t="s">
        <v>550</v>
      </c>
      <c r="B97" s="27" t="s">
        <v>46</v>
      </c>
    </row>
    <row r="98" spans="1:2" ht="15.75" customHeight="1" x14ac:dyDescent="0.25">
      <c r="A98" s="27" t="s">
        <v>549</v>
      </c>
      <c r="B98" s="27" t="s">
        <v>46</v>
      </c>
    </row>
    <row r="99" spans="1:2" ht="15.75" customHeight="1" x14ac:dyDescent="0.25">
      <c r="A99" s="27" t="s">
        <v>550</v>
      </c>
      <c r="B99" s="27" t="s">
        <v>46</v>
      </c>
    </row>
    <row r="100" spans="1:2" ht="15.75" customHeight="1" x14ac:dyDescent="0.25">
      <c r="A100" s="27" t="s">
        <v>549</v>
      </c>
      <c r="B100" s="27" t="s">
        <v>46</v>
      </c>
    </row>
    <row r="101" spans="1:2" ht="15.75" customHeight="1" x14ac:dyDescent="0.25">
      <c r="A101" s="27" t="s">
        <v>549</v>
      </c>
      <c r="B101" s="27" t="s">
        <v>46</v>
      </c>
    </row>
    <row r="102" spans="1:2" ht="15.75" customHeight="1" x14ac:dyDescent="0.25">
      <c r="A102" s="27" t="s">
        <v>549</v>
      </c>
      <c r="B102" s="27" t="s">
        <v>46</v>
      </c>
    </row>
    <row r="103" spans="1:2" ht="15.75" customHeight="1" x14ac:dyDescent="0.25">
      <c r="A103" s="27" t="s">
        <v>549</v>
      </c>
      <c r="B103" s="27" t="s">
        <v>46</v>
      </c>
    </row>
    <row r="104" spans="1:2" ht="15.75" customHeight="1" x14ac:dyDescent="0.25">
      <c r="A104" s="27" t="s">
        <v>551</v>
      </c>
      <c r="B104" s="27" t="s">
        <v>552</v>
      </c>
    </row>
    <row r="105" spans="1:2" ht="15.75" customHeight="1" x14ac:dyDescent="0.25">
      <c r="A105" s="27" t="s">
        <v>551</v>
      </c>
      <c r="B105" s="27" t="s">
        <v>552</v>
      </c>
    </row>
    <row r="106" spans="1:2" ht="15.75" customHeight="1" x14ac:dyDescent="0.25">
      <c r="A106" s="27" t="s">
        <v>553</v>
      </c>
      <c r="B106" s="27" t="s">
        <v>554</v>
      </c>
    </row>
    <row r="107" spans="1:2" ht="15.75" customHeight="1" x14ac:dyDescent="0.25">
      <c r="A107" s="27" t="s">
        <v>555</v>
      </c>
      <c r="B107" s="27" t="s">
        <v>382</v>
      </c>
    </row>
    <row r="108" spans="1:2" ht="15.75" customHeight="1" x14ac:dyDescent="0.25">
      <c r="A108" s="27" t="s">
        <v>555</v>
      </c>
      <c r="B108" s="27" t="s">
        <v>382</v>
      </c>
    </row>
    <row r="109" spans="1:2" ht="15.75" customHeight="1" x14ac:dyDescent="0.25">
      <c r="A109" s="27" t="s">
        <v>555</v>
      </c>
      <c r="B109" s="27" t="s">
        <v>382</v>
      </c>
    </row>
    <row r="110" spans="1:2" ht="15.75" customHeight="1" x14ac:dyDescent="0.25">
      <c r="A110" s="27" t="s">
        <v>555</v>
      </c>
      <c r="B110" s="27" t="s">
        <v>382</v>
      </c>
    </row>
    <row r="111" spans="1:2" ht="15.75" customHeight="1" x14ac:dyDescent="0.25">
      <c r="A111" s="27" t="s">
        <v>555</v>
      </c>
      <c r="B111" s="27" t="s">
        <v>382</v>
      </c>
    </row>
    <row r="112" spans="1:2" ht="15.75" customHeight="1" x14ac:dyDescent="0.25">
      <c r="A112" s="27" t="s">
        <v>555</v>
      </c>
      <c r="B112" s="27" t="s">
        <v>382</v>
      </c>
    </row>
    <row r="113" spans="1:2" ht="15.75" customHeight="1" x14ac:dyDescent="0.25">
      <c r="A113" s="27" t="s">
        <v>556</v>
      </c>
      <c r="B113" s="27" t="s">
        <v>557</v>
      </c>
    </row>
    <row r="114" spans="1:2" ht="15.75" customHeight="1" x14ac:dyDescent="0.25">
      <c r="A114" s="27" t="s">
        <v>556</v>
      </c>
      <c r="B114" s="27" t="s">
        <v>557</v>
      </c>
    </row>
    <row r="115" spans="1:2" ht="15.75" customHeight="1" x14ac:dyDescent="0.25">
      <c r="A115" s="27" t="s">
        <v>558</v>
      </c>
      <c r="B115" s="27" t="s">
        <v>16</v>
      </c>
    </row>
    <row r="116" spans="1:2" ht="15.75" customHeight="1" x14ac:dyDescent="0.25">
      <c r="A116" s="27" t="s">
        <v>558</v>
      </c>
      <c r="B116" s="27" t="s">
        <v>16</v>
      </c>
    </row>
    <row r="117" spans="1:2" ht="15.75" customHeight="1" x14ac:dyDescent="0.25">
      <c r="A117" s="27" t="s">
        <v>558</v>
      </c>
      <c r="B117" s="27" t="s">
        <v>16</v>
      </c>
    </row>
    <row r="118" spans="1:2" ht="15.75" customHeight="1" x14ac:dyDescent="0.25">
      <c r="A118" s="27" t="s">
        <v>558</v>
      </c>
      <c r="B118" s="27" t="s">
        <v>16</v>
      </c>
    </row>
    <row r="119" spans="1:2" ht="15.75" customHeight="1" x14ac:dyDescent="0.25">
      <c r="A119" s="27" t="s">
        <v>558</v>
      </c>
      <c r="B119" s="27" t="s">
        <v>16</v>
      </c>
    </row>
    <row r="120" spans="1:2" ht="15.75" customHeight="1" x14ac:dyDescent="0.25">
      <c r="A120" s="27" t="s">
        <v>558</v>
      </c>
      <c r="B120" s="27" t="s">
        <v>16</v>
      </c>
    </row>
    <row r="121" spans="1:2" ht="15.75" customHeight="1" x14ac:dyDescent="0.25">
      <c r="A121" s="27" t="s">
        <v>558</v>
      </c>
      <c r="B121" s="27" t="s">
        <v>16</v>
      </c>
    </row>
    <row r="122" spans="1:2" ht="15.75" customHeight="1" x14ac:dyDescent="0.25">
      <c r="A122" s="27" t="s">
        <v>558</v>
      </c>
      <c r="B122" s="27" t="s">
        <v>16</v>
      </c>
    </row>
    <row r="123" spans="1:2" ht="15.75" customHeight="1" x14ac:dyDescent="0.25">
      <c r="A123" s="27" t="s">
        <v>558</v>
      </c>
      <c r="B123" s="27" t="s">
        <v>16</v>
      </c>
    </row>
    <row r="124" spans="1:2" ht="15.75" customHeight="1" x14ac:dyDescent="0.25">
      <c r="A124" s="27" t="s">
        <v>558</v>
      </c>
      <c r="B124" s="27" t="s">
        <v>16</v>
      </c>
    </row>
    <row r="125" spans="1:2" ht="15.75" customHeight="1" x14ac:dyDescent="0.25">
      <c r="A125" s="27" t="s">
        <v>558</v>
      </c>
      <c r="B125" s="27" t="s">
        <v>16</v>
      </c>
    </row>
    <row r="126" spans="1:2" ht="15.75" customHeight="1" x14ac:dyDescent="0.25">
      <c r="A126" s="27" t="s">
        <v>558</v>
      </c>
      <c r="B126" s="27" t="s">
        <v>16</v>
      </c>
    </row>
    <row r="127" spans="1:2" ht="15.75" customHeight="1" x14ac:dyDescent="0.25">
      <c r="A127" s="27" t="s">
        <v>558</v>
      </c>
      <c r="B127" s="27" t="s">
        <v>16</v>
      </c>
    </row>
    <row r="128" spans="1:2" ht="15.75" customHeight="1" x14ac:dyDescent="0.25">
      <c r="A128" s="27" t="s">
        <v>558</v>
      </c>
      <c r="B128" s="27" t="s">
        <v>16</v>
      </c>
    </row>
    <row r="129" spans="1:2" ht="15.75" customHeight="1" x14ac:dyDescent="0.25">
      <c r="A129" s="27" t="s">
        <v>558</v>
      </c>
      <c r="B129" s="27" t="s">
        <v>16</v>
      </c>
    </row>
    <row r="130" spans="1:2" ht="15.75" customHeight="1" x14ac:dyDescent="0.25">
      <c r="A130" s="27" t="s">
        <v>558</v>
      </c>
      <c r="B130" s="27" t="s">
        <v>16</v>
      </c>
    </row>
    <row r="131" spans="1:2" ht="15.75" customHeight="1" x14ac:dyDescent="0.25">
      <c r="A131" s="27" t="s">
        <v>558</v>
      </c>
      <c r="B131" s="27" t="s">
        <v>16</v>
      </c>
    </row>
    <row r="132" spans="1:2" ht="15.75" customHeight="1" x14ac:dyDescent="0.25">
      <c r="A132" s="27" t="s">
        <v>558</v>
      </c>
      <c r="B132" s="27" t="s">
        <v>16</v>
      </c>
    </row>
    <row r="133" spans="1:2" ht="15.75" customHeight="1" x14ac:dyDescent="0.25">
      <c r="A133" s="27" t="s">
        <v>559</v>
      </c>
      <c r="B133" s="27" t="s">
        <v>560</v>
      </c>
    </row>
    <row r="134" spans="1:2" ht="15.75" customHeight="1" x14ac:dyDescent="0.25">
      <c r="A134" s="27" t="s">
        <v>561</v>
      </c>
      <c r="B134" s="27" t="s">
        <v>384</v>
      </c>
    </row>
    <row r="135" spans="1:2" ht="15.75" customHeight="1" x14ac:dyDescent="0.25">
      <c r="A135" s="27" t="s">
        <v>561</v>
      </c>
      <c r="B135" s="27" t="s">
        <v>384</v>
      </c>
    </row>
    <row r="136" spans="1:2" ht="15.75" customHeight="1" x14ac:dyDescent="0.25">
      <c r="A136" s="27" t="s">
        <v>561</v>
      </c>
      <c r="B136" s="27" t="s">
        <v>384</v>
      </c>
    </row>
    <row r="137" spans="1:2" ht="15.75" customHeight="1" x14ac:dyDescent="0.25">
      <c r="A137" s="27" t="s">
        <v>561</v>
      </c>
      <c r="B137" s="27" t="s">
        <v>384</v>
      </c>
    </row>
    <row r="138" spans="1:2" ht="15.75" customHeight="1" x14ac:dyDescent="0.25">
      <c r="A138" s="27" t="s">
        <v>561</v>
      </c>
      <c r="B138" s="27" t="s">
        <v>384</v>
      </c>
    </row>
    <row r="139" spans="1:2" ht="15.75" customHeight="1" x14ac:dyDescent="0.25">
      <c r="A139" s="27" t="s">
        <v>561</v>
      </c>
      <c r="B139" s="27" t="s">
        <v>384</v>
      </c>
    </row>
    <row r="140" spans="1:2" ht="15.75" customHeight="1" x14ac:dyDescent="0.25">
      <c r="A140" s="27" t="s">
        <v>561</v>
      </c>
      <c r="B140" s="27" t="s">
        <v>384</v>
      </c>
    </row>
    <row r="141" spans="1:2" ht="15.75" customHeight="1" x14ac:dyDescent="0.25">
      <c r="A141" s="27" t="s">
        <v>562</v>
      </c>
      <c r="B141" s="27" t="s">
        <v>385</v>
      </c>
    </row>
    <row r="142" spans="1:2" ht="15.75" customHeight="1" x14ac:dyDescent="0.25">
      <c r="A142" s="27" t="s">
        <v>562</v>
      </c>
      <c r="B142" s="27" t="s">
        <v>385</v>
      </c>
    </row>
    <row r="143" spans="1:2" ht="15.75" customHeight="1" x14ac:dyDescent="0.25">
      <c r="A143" s="27" t="s">
        <v>562</v>
      </c>
      <c r="B143" s="27" t="s">
        <v>385</v>
      </c>
    </row>
    <row r="144" spans="1:2" ht="15.75" customHeight="1" x14ac:dyDescent="0.25">
      <c r="A144" s="27" t="s">
        <v>562</v>
      </c>
      <c r="B144" s="27" t="s">
        <v>385</v>
      </c>
    </row>
    <row r="145" spans="1:2" ht="15.75" customHeight="1" x14ac:dyDescent="0.25">
      <c r="A145" s="27" t="s">
        <v>562</v>
      </c>
      <c r="B145" s="27" t="s">
        <v>385</v>
      </c>
    </row>
    <row r="146" spans="1:2" ht="15.75" customHeight="1" x14ac:dyDescent="0.25">
      <c r="A146" s="27" t="s">
        <v>563</v>
      </c>
      <c r="B146" s="27" t="s">
        <v>388</v>
      </c>
    </row>
    <row r="147" spans="1:2" ht="15.75" customHeight="1" x14ac:dyDescent="0.25">
      <c r="A147" s="27" t="s">
        <v>563</v>
      </c>
      <c r="B147" s="27" t="s">
        <v>388</v>
      </c>
    </row>
    <row r="148" spans="1:2" ht="15.75" customHeight="1" x14ac:dyDescent="0.25">
      <c r="A148" s="27" t="s">
        <v>563</v>
      </c>
      <c r="B148" s="27" t="s">
        <v>388</v>
      </c>
    </row>
    <row r="149" spans="1:2" ht="15.75" customHeight="1" x14ac:dyDescent="0.25">
      <c r="A149" s="27" t="s">
        <v>563</v>
      </c>
      <c r="B149" s="27" t="s">
        <v>388</v>
      </c>
    </row>
    <row r="150" spans="1:2" ht="15.75" customHeight="1" x14ac:dyDescent="0.25">
      <c r="A150" s="27" t="s">
        <v>563</v>
      </c>
      <c r="B150" s="27" t="s">
        <v>388</v>
      </c>
    </row>
    <row r="151" spans="1:2" ht="15.75" customHeight="1" x14ac:dyDescent="0.25">
      <c r="A151" s="27" t="s">
        <v>563</v>
      </c>
      <c r="B151" s="27" t="s">
        <v>388</v>
      </c>
    </row>
    <row r="152" spans="1:2" ht="15.75" customHeight="1" x14ac:dyDescent="0.25">
      <c r="A152" s="27" t="s">
        <v>563</v>
      </c>
      <c r="B152" s="27" t="s">
        <v>388</v>
      </c>
    </row>
    <row r="153" spans="1:2" ht="15.75" customHeight="1" x14ac:dyDescent="0.25">
      <c r="A153" s="27" t="s">
        <v>563</v>
      </c>
      <c r="B153" s="27" t="s">
        <v>388</v>
      </c>
    </row>
    <row r="154" spans="1:2" ht="15.75" customHeight="1" x14ac:dyDescent="0.25">
      <c r="A154" s="27" t="s">
        <v>563</v>
      </c>
      <c r="B154" s="27" t="s">
        <v>388</v>
      </c>
    </row>
    <row r="155" spans="1:2" ht="15.75" customHeight="1" x14ac:dyDescent="0.25">
      <c r="A155" s="27" t="s">
        <v>564</v>
      </c>
      <c r="B155" s="27" t="s">
        <v>565</v>
      </c>
    </row>
    <row r="156" spans="1:2" ht="15.75" customHeight="1" x14ac:dyDescent="0.25">
      <c r="A156" s="27" t="s">
        <v>566</v>
      </c>
      <c r="B156" s="27" t="s">
        <v>567</v>
      </c>
    </row>
    <row r="157" spans="1:2" ht="15.75" customHeight="1" x14ac:dyDescent="0.25">
      <c r="A157" s="27" t="s">
        <v>566</v>
      </c>
      <c r="B157" s="27" t="s">
        <v>567</v>
      </c>
    </row>
    <row r="158" spans="1:2" ht="15.75" customHeight="1" x14ac:dyDescent="0.25">
      <c r="A158" s="27" t="s">
        <v>566</v>
      </c>
      <c r="B158" s="27" t="s">
        <v>567</v>
      </c>
    </row>
    <row r="159" spans="1:2" ht="15.75" customHeight="1" x14ac:dyDescent="0.25">
      <c r="A159" s="27" t="s">
        <v>566</v>
      </c>
      <c r="B159" s="27" t="s">
        <v>567</v>
      </c>
    </row>
    <row r="160" spans="1:2" ht="15.75" customHeight="1" x14ac:dyDescent="0.25">
      <c r="A160" s="27" t="s">
        <v>566</v>
      </c>
      <c r="B160" s="27" t="s">
        <v>567</v>
      </c>
    </row>
    <row r="161" spans="1:2" ht="15.75" customHeight="1" x14ac:dyDescent="0.25">
      <c r="A161" s="27" t="s">
        <v>566</v>
      </c>
      <c r="B161" s="27" t="s">
        <v>567</v>
      </c>
    </row>
    <row r="162" spans="1:2" ht="15.75" customHeight="1" x14ac:dyDescent="0.25">
      <c r="A162" s="27" t="s">
        <v>566</v>
      </c>
      <c r="B162" s="27" t="s">
        <v>567</v>
      </c>
    </row>
    <row r="163" spans="1:2" ht="15.75" customHeight="1" x14ac:dyDescent="0.25">
      <c r="A163" s="27" t="s">
        <v>566</v>
      </c>
      <c r="B163" s="27" t="s">
        <v>567</v>
      </c>
    </row>
    <row r="164" spans="1:2" ht="15.75" customHeight="1" x14ac:dyDescent="0.25">
      <c r="A164" s="27" t="s">
        <v>566</v>
      </c>
      <c r="B164" s="27" t="s">
        <v>567</v>
      </c>
    </row>
    <row r="165" spans="1:2" ht="15.75" customHeight="1" x14ac:dyDescent="0.25">
      <c r="A165" s="27" t="s">
        <v>566</v>
      </c>
      <c r="B165" s="27" t="s">
        <v>567</v>
      </c>
    </row>
    <row r="166" spans="1:2" ht="15.75" customHeight="1" x14ac:dyDescent="0.25">
      <c r="A166" s="27" t="s">
        <v>566</v>
      </c>
      <c r="B166" s="27" t="s">
        <v>567</v>
      </c>
    </row>
    <row r="167" spans="1:2" ht="15.75" customHeight="1" x14ac:dyDescent="0.25">
      <c r="A167" s="27" t="s">
        <v>566</v>
      </c>
      <c r="B167" s="27" t="s">
        <v>567</v>
      </c>
    </row>
    <row r="168" spans="1:2" ht="15.75" customHeight="1" x14ac:dyDescent="0.25">
      <c r="A168" s="27" t="s">
        <v>566</v>
      </c>
      <c r="B168" s="27" t="s">
        <v>567</v>
      </c>
    </row>
    <row r="169" spans="1:2" ht="15.75" customHeight="1" x14ac:dyDescent="0.25">
      <c r="A169" s="27" t="s">
        <v>566</v>
      </c>
      <c r="B169" s="27" t="s">
        <v>567</v>
      </c>
    </row>
    <row r="170" spans="1:2" ht="15.75" customHeight="1" x14ac:dyDescent="0.25">
      <c r="A170" s="27" t="s">
        <v>566</v>
      </c>
      <c r="B170" s="27" t="s">
        <v>567</v>
      </c>
    </row>
    <row r="171" spans="1:2" ht="15.75" customHeight="1" x14ac:dyDescent="0.25">
      <c r="A171" s="27" t="s">
        <v>566</v>
      </c>
      <c r="B171" s="27" t="s">
        <v>567</v>
      </c>
    </row>
    <row r="172" spans="1:2" ht="15.75" customHeight="1" x14ac:dyDescent="0.25">
      <c r="A172" s="27" t="s">
        <v>566</v>
      </c>
      <c r="B172" s="27" t="s">
        <v>567</v>
      </c>
    </row>
    <row r="173" spans="1:2" ht="15.75" customHeight="1" x14ac:dyDescent="0.25">
      <c r="A173" s="27" t="s">
        <v>568</v>
      </c>
      <c r="B173" s="27" t="s">
        <v>569</v>
      </c>
    </row>
    <row r="174" spans="1:2" ht="15.75" customHeight="1" x14ac:dyDescent="0.25">
      <c r="A174" s="27" t="s">
        <v>570</v>
      </c>
      <c r="B174" s="27" t="s">
        <v>571</v>
      </c>
    </row>
    <row r="175" spans="1:2" ht="15.75" customHeight="1" x14ac:dyDescent="0.25">
      <c r="A175" s="27" t="s">
        <v>572</v>
      </c>
      <c r="B175" s="27" t="s">
        <v>573</v>
      </c>
    </row>
    <row r="176" spans="1:2" ht="15.75" customHeight="1" x14ac:dyDescent="0.25">
      <c r="A176" s="27" t="s">
        <v>574</v>
      </c>
      <c r="B176" s="27" t="s">
        <v>575</v>
      </c>
    </row>
    <row r="177" spans="1:2" ht="15.75" customHeight="1" x14ac:dyDescent="0.25">
      <c r="A177" s="27" t="s">
        <v>576</v>
      </c>
      <c r="B177" s="27" t="s">
        <v>577</v>
      </c>
    </row>
    <row r="178" spans="1:2" ht="15.75" customHeight="1" x14ac:dyDescent="0.25">
      <c r="A178" s="27" t="s">
        <v>576</v>
      </c>
      <c r="B178" s="27" t="s">
        <v>577</v>
      </c>
    </row>
    <row r="179" spans="1:2" ht="15.75" customHeight="1" x14ac:dyDescent="0.25">
      <c r="A179" s="27" t="s">
        <v>578</v>
      </c>
      <c r="B179" s="27" t="s">
        <v>579</v>
      </c>
    </row>
    <row r="180" spans="1:2" ht="15.75" customHeight="1" x14ac:dyDescent="0.25">
      <c r="A180" s="27" t="s">
        <v>578</v>
      </c>
      <c r="B180" s="27" t="s">
        <v>579</v>
      </c>
    </row>
    <row r="181" spans="1:2" ht="15.75" customHeight="1" x14ac:dyDescent="0.25">
      <c r="A181" s="27" t="s">
        <v>580</v>
      </c>
      <c r="B181" s="27" t="s">
        <v>581</v>
      </c>
    </row>
    <row r="182" spans="1:2" ht="15.75" customHeight="1" x14ac:dyDescent="0.25">
      <c r="A182" s="27" t="s">
        <v>580</v>
      </c>
      <c r="B182" s="27" t="s">
        <v>581</v>
      </c>
    </row>
    <row r="183" spans="1:2" ht="15.75" customHeight="1" x14ac:dyDescent="0.25">
      <c r="A183" s="27" t="s">
        <v>580</v>
      </c>
      <c r="B183" s="27" t="s">
        <v>581</v>
      </c>
    </row>
    <row r="184" spans="1:2" ht="15.75" customHeight="1" x14ac:dyDescent="0.25">
      <c r="A184" s="27" t="s">
        <v>582</v>
      </c>
      <c r="B184" s="27" t="s">
        <v>583</v>
      </c>
    </row>
    <row r="185" spans="1:2" ht="15.75" customHeight="1" x14ac:dyDescent="0.25">
      <c r="A185" s="27" t="s">
        <v>584</v>
      </c>
      <c r="B185" s="27" t="s">
        <v>585</v>
      </c>
    </row>
    <row r="186" spans="1:2" ht="15.75" customHeight="1" x14ac:dyDescent="0.25">
      <c r="A186" s="27" t="s">
        <v>586</v>
      </c>
      <c r="B186" s="27" t="s">
        <v>587</v>
      </c>
    </row>
    <row r="187" spans="1:2" ht="15.75" customHeight="1" x14ac:dyDescent="0.25">
      <c r="A187" s="27" t="s">
        <v>588</v>
      </c>
      <c r="B187" s="27" t="s">
        <v>70</v>
      </c>
    </row>
    <row r="188" spans="1:2" ht="15.75" customHeight="1" x14ac:dyDescent="0.25">
      <c r="A188" s="27" t="s">
        <v>588</v>
      </c>
      <c r="B188" s="27" t="s">
        <v>70</v>
      </c>
    </row>
    <row r="189" spans="1:2" ht="15.75" customHeight="1" x14ac:dyDescent="0.25">
      <c r="A189" s="27" t="s">
        <v>589</v>
      </c>
      <c r="B189" s="27" t="s">
        <v>72</v>
      </c>
    </row>
    <row r="190" spans="1:2" ht="15.75" customHeight="1" x14ac:dyDescent="0.25">
      <c r="A190" s="27" t="s">
        <v>589</v>
      </c>
      <c r="B190" s="27" t="s">
        <v>72</v>
      </c>
    </row>
    <row r="191" spans="1:2" ht="15.75" customHeight="1" x14ac:dyDescent="0.25">
      <c r="A191" s="27" t="s">
        <v>589</v>
      </c>
      <c r="B191" s="27" t="s">
        <v>72</v>
      </c>
    </row>
    <row r="192" spans="1:2" ht="15.75" customHeight="1" x14ac:dyDescent="0.25">
      <c r="A192" s="27" t="s">
        <v>589</v>
      </c>
      <c r="B192" s="27" t="s">
        <v>72</v>
      </c>
    </row>
    <row r="193" spans="1:2" ht="15.75" customHeight="1" x14ac:dyDescent="0.25">
      <c r="A193" s="27" t="s">
        <v>589</v>
      </c>
      <c r="B193" s="27" t="s">
        <v>72</v>
      </c>
    </row>
    <row r="194" spans="1:2" ht="15.75" customHeight="1" x14ac:dyDescent="0.25">
      <c r="A194" s="27" t="s">
        <v>589</v>
      </c>
      <c r="B194" s="27" t="s">
        <v>72</v>
      </c>
    </row>
    <row r="195" spans="1:2" ht="15.75" customHeight="1" x14ac:dyDescent="0.25">
      <c r="A195" s="27" t="s">
        <v>590</v>
      </c>
      <c r="B195" s="27" t="s">
        <v>73</v>
      </c>
    </row>
    <row r="196" spans="1:2" ht="15.75" customHeight="1" x14ac:dyDescent="0.25">
      <c r="A196" s="27" t="s">
        <v>590</v>
      </c>
      <c r="B196" s="27" t="s">
        <v>73</v>
      </c>
    </row>
    <row r="197" spans="1:2" ht="15.75" customHeight="1" x14ac:dyDescent="0.25">
      <c r="A197" s="27" t="s">
        <v>590</v>
      </c>
      <c r="B197" s="27" t="s">
        <v>73</v>
      </c>
    </row>
    <row r="198" spans="1:2" ht="15.75" customHeight="1" x14ac:dyDescent="0.25">
      <c r="A198" s="27" t="s">
        <v>590</v>
      </c>
      <c r="B198" s="27" t="s">
        <v>73</v>
      </c>
    </row>
    <row r="199" spans="1:2" ht="15.75" customHeight="1" x14ac:dyDescent="0.25">
      <c r="A199" s="27" t="s">
        <v>590</v>
      </c>
      <c r="B199" s="27" t="s">
        <v>73</v>
      </c>
    </row>
    <row r="200" spans="1:2" ht="15.75" customHeight="1" x14ac:dyDescent="0.25">
      <c r="A200" s="27" t="s">
        <v>590</v>
      </c>
      <c r="B200" s="27" t="s">
        <v>73</v>
      </c>
    </row>
    <row r="201" spans="1:2" ht="15.75" customHeight="1" x14ac:dyDescent="0.25">
      <c r="A201" s="27" t="s">
        <v>590</v>
      </c>
      <c r="B201" s="27" t="s">
        <v>73</v>
      </c>
    </row>
    <row r="202" spans="1:2" ht="15.75" customHeight="1" x14ac:dyDescent="0.25">
      <c r="A202" s="27" t="s">
        <v>590</v>
      </c>
      <c r="B202" s="27" t="s">
        <v>73</v>
      </c>
    </row>
    <row r="203" spans="1:2" ht="15.75" customHeight="1" x14ac:dyDescent="0.25">
      <c r="A203" s="27" t="s">
        <v>590</v>
      </c>
      <c r="B203" s="27" t="s">
        <v>73</v>
      </c>
    </row>
    <row r="204" spans="1:2" ht="15.75" customHeight="1" x14ac:dyDescent="0.25">
      <c r="A204" s="27" t="s">
        <v>591</v>
      </c>
      <c r="B204" s="27" t="s">
        <v>74</v>
      </c>
    </row>
    <row r="205" spans="1:2" ht="15.75" customHeight="1" x14ac:dyDescent="0.25">
      <c r="A205" s="27" t="s">
        <v>591</v>
      </c>
      <c r="B205" s="27" t="s">
        <v>74</v>
      </c>
    </row>
    <row r="206" spans="1:2" ht="15.75" customHeight="1" x14ac:dyDescent="0.25">
      <c r="A206" s="27" t="s">
        <v>591</v>
      </c>
      <c r="B206" s="27" t="s">
        <v>74</v>
      </c>
    </row>
    <row r="207" spans="1:2" ht="15.75" customHeight="1" x14ac:dyDescent="0.25">
      <c r="A207" s="27" t="s">
        <v>591</v>
      </c>
      <c r="B207" s="27" t="s">
        <v>74</v>
      </c>
    </row>
    <row r="208" spans="1:2" ht="15.75" customHeight="1" x14ac:dyDescent="0.25">
      <c r="A208" s="27" t="s">
        <v>591</v>
      </c>
      <c r="B208" s="27" t="s">
        <v>74</v>
      </c>
    </row>
    <row r="209" spans="1:2" ht="15.75" customHeight="1" x14ac:dyDescent="0.25">
      <c r="A209" s="27" t="s">
        <v>591</v>
      </c>
      <c r="B209" s="27" t="s">
        <v>74</v>
      </c>
    </row>
    <row r="210" spans="1:2" ht="15.75" customHeight="1" x14ac:dyDescent="0.25">
      <c r="A210" s="27" t="s">
        <v>591</v>
      </c>
      <c r="B210" s="27" t="s">
        <v>74</v>
      </c>
    </row>
    <row r="211" spans="1:2" ht="15.75" customHeight="1" x14ac:dyDescent="0.25">
      <c r="A211" s="27" t="s">
        <v>592</v>
      </c>
      <c r="B211" s="27" t="s">
        <v>75</v>
      </c>
    </row>
    <row r="212" spans="1:2" ht="15.75" customHeight="1" x14ac:dyDescent="0.25">
      <c r="A212" s="27" t="s">
        <v>592</v>
      </c>
      <c r="B212" s="27" t="s">
        <v>75</v>
      </c>
    </row>
    <row r="213" spans="1:2" ht="15.75" customHeight="1" x14ac:dyDescent="0.25">
      <c r="A213" s="27" t="s">
        <v>592</v>
      </c>
      <c r="B213" s="27" t="s">
        <v>75</v>
      </c>
    </row>
    <row r="214" spans="1:2" ht="15.75" customHeight="1" x14ac:dyDescent="0.25">
      <c r="A214" s="27" t="s">
        <v>592</v>
      </c>
      <c r="B214" s="27" t="s">
        <v>75</v>
      </c>
    </row>
    <row r="215" spans="1:2" ht="15.75" customHeight="1" x14ac:dyDescent="0.25">
      <c r="A215" s="27" t="s">
        <v>592</v>
      </c>
      <c r="B215" s="27" t="s">
        <v>75</v>
      </c>
    </row>
    <row r="216" spans="1:2" ht="15.75" customHeight="1" x14ac:dyDescent="0.25">
      <c r="A216" s="27" t="s">
        <v>592</v>
      </c>
      <c r="B216" s="27" t="s">
        <v>75</v>
      </c>
    </row>
    <row r="217" spans="1:2" ht="15.75" customHeight="1" x14ac:dyDescent="0.25">
      <c r="A217" s="27" t="s">
        <v>592</v>
      </c>
      <c r="B217" s="27" t="s">
        <v>75</v>
      </c>
    </row>
    <row r="218" spans="1:2" ht="15.75" customHeight="1" x14ac:dyDescent="0.25">
      <c r="A218" s="27" t="s">
        <v>592</v>
      </c>
      <c r="B218" s="27" t="s">
        <v>75</v>
      </c>
    </row>
    <row r="219" spans="1:2" ht="15.75" customHeight="1" x14ac:dyDescent="0.25">
      <c r="A219" s="27" t="s">
        <v>592</v>
      </c>
      <c r="B219" s="27" t="s">
        <v>75</v>
      </c>
    </row>
    <row r="220" spans="1:2" ht="15.75" customHeight="1" x14ac:dyDescent="0.25">
      <c r="A220" s="27" t="s">
        <v>592</v>
      </c>
      <c r="B220" s="27" t="s">
        <v>75</v>
      </c>
    </row>
    <row r="221" spans="1:2" ht="15.75" customHeight="1" x14ac:dyDescent="0.25">
      <c r="A221" s="27" t="s">
        <v>592</v>
      </c>
      <c r="B221" s="27" t="s">
        <v>75</v>
      </c>
    </row>
    <row r="222" spans="1:2" ht="15.75" customHeight="1" x14ac:dyDescent="0.25">
      <c r="A222" s="27" t="s">
        <v>593</v>
      </c>
      <c r="B222" s="27" t="s">
        <v>76</v>
      </c>
    </row>
    <row r="223" spans="1:2" ht="15.75" customHeight="1" x14ac:dyDescent="0.25">
      <c r="A223" s="27" t="s">
        <v>593</v>
      </c>
      <c r="B223" s="27" t="s">
        <v>76</v>
      </c>
    </row>
    <row r="224" spans="1:2" ht="15.75" customHeight="1" x14ac:dyDescent="0.25">
      <c r="A224" s="27" t="s">
        <v>593</v>
      </c>
      <c r="B224" s="27" t="s">
        <v>76</v>
      </c>
    </row>
    <row r="225" spans="1:2" ht="15.75" customHeight="1" x14ac:dyDescent="0.25">
      <c r="A225" s="27" t="s">
        <v>593</v>
      </c>
      <c r="B225" s="27" t="s">
        <v>76</v>
      </c>
    </row>
    <row r="226" spans="1:2" ht="15.75" customHeight="1" x14ac:dyDescent="0.25">
      <c r="A226" s="27" t="s">
        <v>593</v>
      </c>
      <c r="B226" s="27" t="s">
        <v>76</v>
      </c>
    </row>
    <row r="227" spans="1:2" ht="15.75" customHeight="1" x14ac:dyDescent="0.25">
      <c r="A227" s="27" t="s">
        <v>593</v>
      </c>
      <c r="B227" s="27" t="s">
        <v>76</v>
      </c>
    </row>
    <row r="228" spans="1:2" ht="15.75" customHeight="1" x14ac:dyDescent="0.25">
      <c r="A228" s="27" t="s">
        <v>593</v>
      </c>
      <c r="B228" s="27" t="s">
        <v>76</v>
      </c>
    </row>
    <row r="229" spans="1:2" ht="15.75" customHeight="1" x14ac:dyDescent="0.25">
      <c r="A229" s="27" t="s">
        <v>593</v>
      </c>
      <c r="B229" s="27" t="s">
        <v>76</v>
      </c>
    </row>
    <row r="230" spans="1:2" ht="15.75" customHeight="1" x14ac:dyDescent="0.25">
      <c r="A230" s="27" t="s">
        <v>593</v>
      </c>
      <c r="B230" s="27" t="s">
        <v>76</v>
      </c>
    </row>
    <row r="231" spans="1:2" ht="15.75" customHeight="1" x14ac:dyDescent="0.25">
      <c r="A231" s="27" t="s">
        <v>593</v>
      </c>
      <c r="B231" s="27" t="s">
        <v>76</v>
      </c>
    </row>
    <row r="232" spans="1:2" ht="15.75" customHeight="1" x14ac:dyDescent="0.25">
      <c r="A232" s="27" t="s">
        <v>594</v>
      </c>
      <c r="B232" s="27" t="s">
        <v>171</v>
      </c>
    </row>
    <row r="233" spans="1:2" ht="15.75" customHeight="1" x14ac:dyDescent="0.25">
      <c r="A233" s="27" t="s">
        <v>594</v>
      </c>
      <c r="B233" s="27" t="s">
        <v>171</v>
      </c>
    </row>
    <row r="234" spans="1:2" ht="15.75" customHeight="1" x14ac:dyDescent="0.25">
      <c r="A234" s="27" t="s">
        <v>594</v>
      </c>
      <c r="B234" s="27" t="s">
        <v>171</v>
      </c>
    </row>
    <row r="235" spans="1:2" ht="15.75" customHeight="1" x14ac:dyDescent="0.25">
      <c r="A235" s="27" t="s">
        <v>594</v>
      </c>
      <c r="B235" s="27" t="s">
        <v>171</v>
      </c>
    </row>
    <row r="236" spans="1:2" ht="15.75" customHeight="1" x14ac:dyDescent="0.25">
      <c r="A236" s="27" t="s">
        <v>594</v>
      </c>
      <c r="B236" s="27" t="s">
        <v>171</v>
      </c>
    </row>
    <row r="237" spans="1:2" ht="15.75" customHeight="1" x14ac:dyDescent="0.25">
      <c r="A237" s="27" t="s">
        <v>594</v>
      </c>
      <c r="B237" s="27" t="s">
        <v>171</v>
      </c>
    </row>
    <row r="238" spans="1:2" ht="15.75" customHeight="1" x14ac:dyDescent="0.25">
      <c r="A238" s="27" t="s">
        <v>594</v>
      </c>
      <c r="B238" s="27" t="s">
        <v>171</v>
      </c>
    </row>
    <row r="239" spans="1:2" ht="15.75" customHeight="1" x14ac:dyDescent="0.25">
      <c r="A239" s="27" t="s">
        <v>594</v>
      </c>
      <c r="B239" s="27" t="s">
        <v>171</v>
      </c>
    </row>
    <row r="240" spans="1:2" ht="15.75" customHeight="1" x14ac:dyDescent="0.25">
      <c r="A240" s="27" t="s">
        <v>594</v>
      </c>
      <c r="B240" s="27" t="s">
        <v>171</v>
      </c>
    </row>
    <row r="241" spans="1:2" ht="15.75" customHeight="1" x14ac:dyDescent="0.25">
      <c r="A241" s="27" t="s">
        <v>594</v>
      </c>
      <c r="B241" s="27" t="s">
        <v>171</v>
      </c>
    </row>
    <row r="242" spans="1:2" ht="15.75" customHeight="1" x14ac:dyDescent="0.25">
      <c r="A242" s="27" t="s">
        <v>594</v>
      </c>
      <c r="B242" s="27" t="s">
        <v>171</v>
      </c>
    </row>
    <row r="243" spans="1:2" ht="15.75" customHeight="1" x14ac:dyDescent="0.25">
      <c r="A243" s="27" t="s">
        <v>594</v>
      </c>
      <c r="B243" s="27" t="s">
        <v>171</v>
      </c>
    </row>
    <row r="244" spans="1:2" ht="15.75" customHeight="1" x14ac:dyDescent="0.25">
      <c r="A244" s="27" t="s">
        <v>594</v>
      </c>
      <c r="B244" s="27" t="s">
        <v>171</v>
      </c>
    </row>
    <row r="245" spans="1:2" ht="15.75" customHeight="1" x14ac:dyDescent="0.25">
      <c r="A245" s="27" t="s">
        <v>595</v>
      </c>
      <c r="B245" s="27" t="s">
        <v>172</v>
      </c>
    </row>
    <row r="246" spans="1:2" ht="15.75" customHeight="1" x14ac:dyDescent="0.25">
      <c r="A246" s="27" t="s">
        <v>595</v>
      </c>
      <c r="B246" s="27" t="s">
        <v>172</v>
      </c>
    </row>
    <row r="247" spans="1:2" ht="15.75" customHeight="1" x14ac:dyDescent="0.25">
      <c r="A247" s="27" t="s">
        <v>595</v>
      </c>
      <c r="B247" s="27" t="s">
        <v>172</v>
      </c>
    </row>
    <row r="248" spans="1:2" ht="15.75" customHeight="1" x14ac:dyDescent="0.25">
      <c r="A248" s="27" t="s">
        <v>595</v>
      </c>
      <c r="B248" s="27" t="s">
        <v>172</v>
      </c>
    </row>
    <row r="249" spans="1:2" ht="15.75" customHeight="1" x14ac:dyDescent="0.25">
      <c r="A249" s="27" t="s">
        <v>595</v>
      </c>
      <c r="B249" s="27" t="s">
        <v>172</v>
      </c>
    </row>
    <row r="250" spans="1:2" ht="15.75" customHeight="1" x14ac:dyDescent="0.25">
      <c r="A250" s="27" t="s">
        <v>595</v>
      </c>
      <c r="B250" s="27" t="s">
        <v>172</v>
      </c>
    </row>
    <row r="251" spans="1:2" ht="15.75" customHeight="1" x14ac:dyDescent="0.25">
      <c r="A251" s="27" t="s">
        <v>595</v>
      </c>
      <c r="B251" s="27" t="s">
        <v>172</v>
      </c>
    </row>
    <row r="252" spans="1:2" ht="15.75" customHeight="1" x14ac:dyDescent="0.25">
      <c r="A252" s="27" t="s">
        <v>595</v>
      </c>
      <c r="B252" s="27" t="s">
        <v>172</v>
      </c>
    </row>
    <row r="253" spans="1:2" ht="15.75" customHeight="1" x14ac:dyDescent="0.25">
      <c r="A253" s="27" t="s">
        <v>595</v>
      </c>
      <c r="B253" s="27" t="s">
        <v>172</v>
      </c>
    </row>
    <row r="254" spans="1:2" ht="15.75" customHeight="1" x14ac:dyDescent="0.25">
      <c r="A254" s="27" t="s">
        <v>595</v>
      </c>
      <c r="B254" s="27" t="s">
        <v>172</v>
      </c>
    </row>
    <row r="255" spans="1:2" ht="15.75" customHeight="1" x14ac:dyDescent="0.25">
      <c r="A255" s="27" t="s">
        <v>595</v>
      </c>
      <c r="B255" s="27" t="s">
        <v>172</v>
      </c>
    </row>
    <row r="256" spans="1:2" ht="15.75" customHeight="1" x14ac:dyDescent="0.25">
      <c r="A256" s="27" t="s">
        <v>596</v>
      </c>
      <c r="B256" s="27" t="s">
        <v>173</v>
      </c>
    </row>
    <row r="257" spans="1:2" ht="15.75" customHeight="1" x14ac:dyDescent="0.25">
      <c r="A257" s="27" t="s">
        <v>596</v>
      </c>
      <c r="B257" s="27" t="s">
        <v>173</v>
      </c>
    </row>
    <row r="258" spans="1:2" ht="15.75" customHeight="1" x14ac:dyDescent="0.25">
      <c r="A258" s="27" t="s">
        <v>596</v>
      </c>
      <c r="B258" s="27" t="s">
        <v>173</v>
      </c>
    </row>
    <row r="259" spans="1:2" ht="15.75" customHeight="1" x14ac:dyDescent="0.25">
      <c r="A259" s="27" t="s">
        <v>596</v>
      </c>
      <c r="B259" s="27" t="s">
        <v>173</v>
      </c>
    </row>
    <row r="260" spans="1:2" ht="15.75" customHeight="1" x14ac:dyDescent="0.25">
      <c r="A260" s="27" t="s">
        <v>596</v>
      </c>
      <c r="B260" s="27" t="s">
        <v>173</v>
      </c>
    </row>
    <row r="261" spans="1:2" ht="15.75" customHeight="1" x14ac:dyDescent="0.25">
      <c r="A261" s="27" t="s">
        <v>596</v>
      </c>
      <c r="B261" s="27" t="s">
        <v>173</v>
      </c>
    </row>
    <row r="262" spans="1:2" ht="15.75" customHeight="1" x14ac:dyDescent="0.25">
      <c r="A262" s="27" t="s">
        <v>596</v>
      </c>
      <c r="B262" s="27" t="s">
        <v>173</v>
      </c>
    </row>
    <row r="263" spans="1:2" ht="15.75" customHeight="1" x14ac:dyDescent="0.25">
      <c r="A263" s="27" t="s">
        <v>596</v>
      </c>
      <c r="B263" s="27" t="s">
        <v>173</v>
      </c>
    </row>
    <row r="264" spans="1:2" ht="15.75" customHeight="1" x14ac:dyDescent="0.25">
      <c r="A264" s="27" t="s">
        <v>596</v>
      </c>
      <c r="B264" s="27" t="s">
        <v>173</v>
      </c>
    </row>
    <row r="265" spans="1:2" ht="15.75" customHeight="1" x14ac:dyDescent="0.25">
      <c r="A265" s="27" t="s">
        <v>596</v>
      </c>
      <c r="B265" s="27" t="s">
        <v>173</v>
      </c>
    </row>
    <row r="266" spans="1:2" ht="15.75" customHeight="1" x14ac:dyDescent="0.25">
      <c r="A266" s="27" t="s">
        <v>596</v>
      </c>
      <c r="B266" s="27" t="s">
        <v>173</v>
      </c>
    </row>
    <row r="267" spans="1:2" ht="15.75" customHeight="1" x14ac:dyDescent="0.25">
      <c r="A267" s="27" t="s">
        <v>596</v>
      </c>
      <c r="B267" s="27" t="s">
        <v>173</v>
      </c>
    </row>
    <row r="268" spans="1:2" ht="15.75" customHeight="1" x14ac:dyDescent="0.25">
      <c r="A268" s="27" t="s">
        <v>596</v>
      </c>
      <c r="B268" s="27" t="s">
        <v>173</v>
      </c>
    </row>
    <row r="269" spans="1:2" ht="15.75" customHeight="1" x14ac:dyDescent="0.25">
      <c r="A269" s="27" t="s">
        <v>597</v>
      </c>
      <c r="B269" s="27" t="s">
        <v>174</v>
      </c>
    </row>
    <row r="270" spans="1:2" ht="15.75" customHeight="1" x14ac:dyDescent="0.25">
      <c r="A270" s="27" t="s">
        <v>597</v>
      </c>
      <c r="B270" s="27" t="s">
        <v>174</v>
      </c>
    </row>
    <row r="271" spans="1:2" ht="15.75" customHeight="1" x14ac:dyDescent="0.25">
      <c r="A271" s="27" t="s">
        <v>597</v>
      </c>
      <c r="B271" s="27" t="s">
        <v>174</v>
      </c>
    </row>
    <row r="272" spans="1:2" ht="15.75" customHeight="1" x14ac:dyDescent="0.25">
      <c r="A272" s="27" t="s">
        <v>597</v>
      </c>
      <c r="B272" s="27" t="s">
        <v>174</v>
      </c>
    </row>
    <row r="273" spans="1:2" ht="15.75" customHeight="1" x14ac:dyDescent="0.25">
      <c r="A273" s="27" t="s">
        <v>597</v>
      </c>
      <c r="B273" s="27" t="s">
        <v>174</v>
      </c>
    </row>
    <row r="274" spans="1:2" ht="15.75" customHeight="1" x14ac:dyDescent="0.25">
      <c r="A274" s="27" t="s">
        <v>597</v>
      </c>
      <c r="B274" s="27" t="s">
        <v>174</v>
      </c>
    </row>
    <row r="275" spans="1:2" ht="15.75" customHeight="1" x14ac:dyDescent="0.25">
      <c r="A275" s="27" t="s">
        <v>597</v>
      </c>
      <c r="B275" s="27" t="s">
        <v>174</v>
      </c>
    </row>
    <row r="276" spans="1:2" ht="15.75" customHeight="1" x14ac:dyDescent="0.25">
      <c r="A276" s="27" t="s">
        <v>597</v>
      </c>
      <c r="B276" s="27" t="s">
        <v>174</v>
      </c>
    </row>
    <row r="277" spans="1:2" ht="15.75" customHeight="1" x14ac:dyDescent="0.25">
      <c r="A277" s="27" t="s">
        <v>597</v>
      </c>
      <c r="B277" s="27" t="s">
        <v>174</v>
      </c>
    </row>
    <row r="278" spans="1:2" ht="15.75" customHeight="1" x14ac:dyDescent="0.25">
      <c r="A278" s="27" t="s">
        <v>597</v>
      </c>
      <c r="B278" s="27" t="s">
        <v>174</v>
      </c>
    </row>
    <row r="279" spans="1:2" ht="15.75" customHeight="1" x14ac:dyDescent="0.25">
      <c r="A279" s="27" t="s">
        <v>597</v>
      </c>
      <c r="B279" s="27" t="s">
        <v>174</v>
      </c>
    </row>
    <row r="280" spans="1:2" ht="15.75" customHeight="1" x14ac:dyDescent="0.25">
      <c r="A280" s="27" t="s">
        <v>598</v>
      </c>
      <c r="B280" s="27" t="s">
        <v>77</v>
      </c>
    </row>
    <row r="281" spans="1:2" ht="15.75" customHeight="1" x14ac:dyDescent="0.25">
      <c r="A281" s="27" t="s">
        <v>598</v>
      </c>
      <c r="B281" s="27" t="s">
        <v>77</v>
      </c>
    </row>
    <row r="282" spans="1:2" ht="15.75" customHeight="1" x14ac:dyDescent="0.25">
      <c r="A282" s="27" t="s">
        <v>598</v>
      </c>
      <c r="B282" s="27" t="s">
        <v>77</v>
      </c>
    </row>
    <row r="283" spans="1:2" ht="15.75" customHeight="1" x14ac:dyDescent="0.25">
      <c r="A283" s="27" t="s">
        <v>598</v>
      </c>
      <c r="B283" s="27" t="s">
        <v>77</v>
      </c>
    </row>
    <row r="284" spans="1:2" ht="15.75" customHeight="1" x14ac:dyDescent="0.25">
      <c r="A284" s="27" t="s">
        <v>598</v>
      </c>
      <c r="B284" s="27" t="s">
        <v>77</v>
      </c>
    </row>
    <row r="285" spans="1:2" ht="15.75" customHeight="1" x14ac:dyDescent="0.25">
      <c r="A285" s="27" t="s">
        <v>598</v>
      </c>
      <c r="B285" s="27" t="s">
        <v>77</v>
      </c>
    </row>
    <row r="286" spans="1:2" ht="15.75" customHeight="1" x14ac:dyDescent="0.25">
      <c r="A286" s="27" t="s">
        <v>598</v>
      </c>
      <c r="B286" s="27" t="s">
        <v>77</v>
      </c>
    </row>
    <row r="287" spans="1:2" ht="15.75" customHeight="1" x14ac:dyDescent="0.25">
      <c r="A287" s="27" t="s">
        <v>599</v>
      </c>
      <c r="B287" s="27" t="s">
        <v>505</v>
      </c>
    </row>
    <row r="288" spans="1:2" ht="15.75" customHeight="1" x14ac:dyDescent="0.25">
      <c r="A288" s="27" t="s">
        <v>600</v>
      </c>
      <c r="B288" s="27" t="s">
        <v>227</v>
      </c>
    </row>
    <row r="289" spans="1:2" ht="15.75" customHeight="1" x14ac:dyDescent="0.25">
      <c r="A289" s="27" t="s">
        <v>600</v>
      </c>
      <c r="B289" s="27" t="s">
        <v>227</v>
      </c>
    </row>
    <row r="290" spans="1:2" ht="15.75" customHeight="1" x14ac:dyDescent="0.25">
      <c r="A290" s="27" t="s">
        <v>601</v>
      </c>
      <c r="B290" s="27" t="s">
        <v>229</v>
      </c>
    </row>
    <row r="291" spans="1:2" ht="15.75" customHeight="1" x14ac:dyDescent="0.25">
      <c r="A291" s="27" t="s">
        <v>602</v>
      </c>
      <c r="B291" s="27" t="s">
        <v>603</v>
      </c>
    </row>
    <row r="292" spans="1:2" ht="15.75" customHeight="1" x14ac:dyDescent="0.25">
      <c r="A292" s="27" t="s">
        <v>604</v>
      </c>
      <c r="B292" s="27" t="s">
        <v>605</v>
      </c>
    </row>
    <row r="293" spans="1:2" ht="15.75" customHeight="1" x14ac:dyDescent="0.25">
      <c r="A293" s="27" t="s">
        <v>604</v>
      </c>
      <c r="B293" s="27" t="s">
        <v>605</v>
      </c>
    </row>
    <row r="294" spans="1:2" ht="15.75" customHeight="1" x14ac:dyDescent="0.25">
      <c r="A294" s="27" t="s">
        <v>606</v>
      </c>
      <c r="B294" s="27" t="s">
        <v>607</v>
      </c>
    </row>
    <row r="295" spans="1:2" ht="15.75" customHeight="1" x14ac:dyDescent="0.25">
      <c r="A295" s="27" t="s">
        <v>606</v>
      </c>
      <c r="B295" s="27" t="s">
        <v>607</v>
      </c>
    </row>
    <row r="296" spans="1:2" ht="15.75" customHeight="1" x14ac:dyDescent="0.25">
      <c r="A296" s="27" t="s">
        <v>606</v>
      </c>
      <c r="B296" s="27" t="s">
        <v>607</v>
      </c>
    </row>
    <row r="297" spans="1:2" ht="15.75" customHeight="1" x14ac:dyDescent="0.25">
      <c r="A297" s="27" t="s">
        <v>606</v>
      </c>
      <c r="B297" s="27" t="s">
        <v>607</v>
      </c>
    </row>
    <row r="298" spans="1:2" ht="15.75" customHeight="1" x14ac:dyDescent="0.25">
      <c r="A298" s="27" t="s">
        <v>606</v>
      </c>
      <c r="B298" s="27" t="s">
        <v>607</v>
      </c>
    </row>
    <row r="299" spans="1:2" ht="15.75" customHeight="1" x14ac:dyDescent="0.25">
      <c r="A299" s="27" t="s">
        <v>608</v>
      </c>
      <c r="B299" s="27" t="s">
        <v>609</v>
      </c>
    </row>
    <row r="300" spans="1:2" ht="15.75" customHeight="1" x14ac:dyDescent="0.25">
      <c r="A300" s="27" t="s">
        <v>610</v>
      </c>
      <c r="B300" s="27" t="s">
        <v>611</v>
      </c>
    </row>
    <row r="301" spans="1:2" ht="15.75" customHeight="1" x14ac:dyDescent="0.25">
      <c r="A301" s="27" t="s">
        <v>610</v>
      </c>
      <c r="B301" s="27" t="s">
        <v>611</v>
      </c>
    </row>
    <row r="302" spans="1:2" ht="15.75" customHeight="1" x14ac:dyDescent="0.25">
      <c r="A302" s="27" t="s">
        <v>610</v>
      </c>
      <c r="B302" s="27" t="s">
        <v>611</v>
      </c>
    </row>
    <row r="303" spans="1:2" ht="15.75" customHeight="1" x14ac:dyDescent="0.25">
      <c r="A303" s="27" t="s">
        <v>610</v>
      </c>
      <c r="B303" s="27" t="s">
        <v>611</v>
      </c>
    </row>
    <row r="304" spans="1:2" ht="15.75" customHeight="1" x14ac:dyDescent="0.25">
      <c r="A304" s="27" t="s">
        <v>612</v>
      </c>
      <c r="B304" s="27" t="s">
        <v>132</v>
      </c>
    </row>
    <row r="305" spans="1:2" ht="15.75" customHeight="1" x14ac:dyDescent="0.25">
      <c r="A305" s="27" t="s">
        <v>613</v>
      </c>
      <c r="B305" s="27" t="s">
        <v>614</v>
      </c>
    </row>
    <row r="306" spans="1:2" ht="15.75" customHeight="1" x14ac:dyDescent="0.25">
      <c r="A306" s="27" t="s">
        <v>615</v>
      </c>
      <c r="B306" s="27" t="s">
        <v>616</v>
      </c>
    </row>
    <row r="307" spans="1:2" ht="15.75" customHeight="1" x14ac:dyDescent="0.25">
      <c r="A307" s="27" t="s">
        <v>615</v>
      </c>
      <c r="B307" s="27" t="s">
        <v>616</v>
      </c>
    </row>
    <row r="308" spans="1:2" ht="15.75" customHeight="1" x14ac:dyDescent="0.25">
      <c r="A308" s="27" t="s">
        <v>617</v>
      </c>
      <c r="B308" s="27" t="s">
        <v>618</v>
      </c>
    </row>
    <row r="309" spans="1:2" ht="15.75" customHeight="1" x14ac:dyDescent="0.25">
      <c r="A309" s="27" t="s">
        <v>617</v>
      </c>
      <c r="B309" s="27" t="s">
        <v>618</v>
      </c>
    </row>
    <row r="310" spans="1:2" ht="15.75" customHeight="1" x14ac:dyDescent="0.25">
      <c r="A310" s="27" t="s">
        <v>617</v>
      </c>
      <c r="B310" s="27" t="s">
        <v>618</v>
      </c>
    </row>
    <row r="311" spans="1:2" ht="15.75" customHeight="1" x14ac:dyDescent="0.25">
      <c r="A311" s="27" t="s">
        <v>619</v>
      </c>
      <c r="B311" s="27" t="s">
        <v>620</v>
      </c>
    </row>
    <row r="312" spans="1:2" ht="15.75" customHeight="1" x14ac:dyDescent="0.25">
      <c r="A312" s="27" t="s">
        <v>619</v>
      </c>
      <c r="B312" s="27" t="s">
        <v>620</v>
      </c>
    </row>
    <row r="313" spans="1:2" ht="15.75" customHeight="1" x14ac:dyDescent="0.25">
      <c r="A313" s="27" t="s">
        <v>621</v>
      </c>
      <c r="B313" s="27" t="s">
        <v>133</v>
      </c>
    </row>
    <row r="314" spans="1:2" ht="15.75" customHeight="1" x14ac:dyDescent="0.25">
      <c r="A314" s="27" t="s">
        <v>621</v>
      </c>
      <c r="B314" s="27" t="s">
        <v>133</v>
      </c>
    </row>
    <row r="315" spans="1:2" ht="15.75" customHeight="1" x14ac:dyDescent="0.25">
      <c r="A315" s="27" t="s">
        <v>621</v>
      </c>
      <c r="B315" s="27" t="s">
        <v>133</v>
      </c>
    </row>
    <row r="316" spans="1:2" ht="15.75" customHeight="1" x14ac:dyDescent="0.25">
      <c r="A316" s="27" t="s">
        <v>621</v>
      </c>
      <c r="B316" s="27" t="s">
        <v>133</v>
      </c>
    </row>
    <row r="317" spans="1:2" ht="15.75" customHeight="1" x14ac:dyDescent="0.25">
      <c r="A317" s="27" t="s">
        <v>621</v>
      </c>
      <c r="B317" s="27" t="s">
        <v>133</v>
      </c>
    </row>
    <row r="318" spans="1:2" ht="15.75" customHeight="1" x14ac:dyDescent="0.25">
      <c r="A318" s="27" t="s">
        <v>621</v>
      </c>
      <c r="B318" s="27" t="s">
        <v>133</v>
      </c>
    </row>
    <row r="319" spans="1:2" ht="15.75" customHeight="1" x14ac:dyDescent="0.25">
      <c r="A319" s="27" t="s">
        <v>621</v>
      </c>
      <c r="B319" s="27" t="s">
        <v>133</v>
      </c>
    </row>
    <row r="320" spans="1:2" ht="15.75" customHeight="1" x14ac:dyDescent="0.25">
      <c r="A320" s="27" t="s">
        <v>621</v>
      </c>
      <c r="B320" s="27" t="s">
        <v>133</v>
      </c>
    </row>
    <row r="321" spans="1:2" ht="15.75" customHeight="1" x14ac:dyDescent="0.25">
      <c r="A321" s="27" t="s">
        <v>622</v>
      </c>
      <c r="B321" s="27" t="s">
        <v>20</v>
      </c>
    </row>
    <row r="322" spans="1:2" ht="15.75" customHeight="1" x14ac:dyDescent="0.25">
      <c r="A322" s="27" t="s">
        <v>622</v>
      </c>
      <c r="B322" s="27" t="s">
        <v>20</v>
      </c>
    </row>
    <row r="323" spans="1:2" ht="15.75" customHeight="1" x14ac:dyDescent="0.25">
      <c r="A323" s="27" t="s">
        <v>622</v>
      </c>
      <c r="B323" s="27" t="s">
        <v>20</v>
      </c>
    </row>
    <row r="324" spans="1:2" ht="15.75" customHeight="1" x14ac:dyDescent="0.25">
      <c r="A324" s="27" t="s">
        <v>622</v>
      </c>
      <c r="B324" s="27" t="s">
        <v>20</v>
      </c>
    </row>
    <row r="325" spans="1:2" ht="15.75" customHeight="1" x14ac:dyDescent="0.25">
      <c r="A325" s="27" t="s">
        <v>622</v>
      </c>
      <c r="B325" s="27" t="s">
        <v>20</v>
      </c>
    </row>
    <row r="326" spans="1:2" ht="15.75" customHeight="1" x14ac:dyDescent="0.25">
      <c r="A326" s="27" t="s">
        <v>622</v>
      </c>
      <c r="B326" s="27" t="s">
        <v>20</v>
      </c>
    </row>
    <row r="327" spans="1:2" ht="15.75" customHeight="1" x14ac:dyDescent="0.25">
      <c r="A327" s="27" t="s">
        <v>622</v>
      </c>
      <c r="B327" s="27" t="s">
        <v>20</v>
      </c>
    </row>
    <row r="328" spans="1:2" ht="15.75" customHeight="1" x14ac:dyDescent="0.25">
      <c r="A328" s="27" t="s">
        <v>622</v>
      </c>
      <c r="B328" s="27" t="s">
        <v>20</v>
      </c>
    </row>
    <row r="329" spans="1:2" ht="15.75" customHeight="1" x14ac:dyDescent="0.25">
      <c r="A329" s="27" t="s">
        <v>622</v>
      </c>
      <c r="B329" s="27" t="s">
        <v>20</v>
      </c>
    </row>
    <row r="330" spans="1:2" ht="15.75" customHeight="1" x14ac:dyDescent="0.25">
      <c r="A330" s="27" t="s">
        <v>622</v>
      </c>
      <c r="B330" s="27" t="s">
        <v>20</v>
      </c>
    </row>
    <row r="331" spans="1:2" ht="15.75" customHeight="1" x14ac:dyDescent="0.25">
      <c r="A331" s="27" t="s">
        <v>623</v>
      </c>
      <c r="B331" s="27" t="s">
        <v>21</v>
      </c>
    </row>
    <row r="332" spans="1:2" ht="15.75" customHeight="1" x14ac:dyDescent="0.25">
      <c r="A332" s="27" t="s">
        <v>623</v>
      </c>
      <c r="B332" s="27" t="s">
        <v>21</v>
      </c>
    </row>
    <row r="333" spans="1:2" ht="15.75" customHeight="1" x14ac:dyDescent="0.25">
      <c r="A333" s="27" t="s">
        <v>623</v>
      </c>
      <c r="B333" s="27" t="s">
        <v>21</v>
      </c>
    </row>
    <row r="334" spans="1:2" ht="15.75" customHeight="1" x14ac:dyDescent="0.25">
      <c r="A334" s="27" t="s">
        <v>623</v>
      </c>
      <c r="B334" s="27" t="s">
        <v>21</v>
      </c>
    </row>
    <row r="335" spans="1:2" ht="15.75" customHeight="1" x14ac:dyDescent="0.25">
      <c r="A335" s="27" t="s">
        <v>623</v>
      </c>
      <c r="B335" s="27" t="s">
        <v>21</v>
      </c>
    </row>
    <row r="336" spans="1:2" ht="15.75" customHeight="1" x14ac:dyDescent="0.25">
      <c r="A336" s="27" t="s">
        <v>623</v>
      </c>
      <c r="B336" s="27" t="s">
        <v>21</v>
      </c>
    </row>
    <row r="337" spans="1:2" ht="15.75" customHeight="1" x14ac:dyDescent="0.25">
      <c r="A337" s="27" t="s">
        <v>623</v>
      </c>
      <c r="B337" s="27" t="s">
        <v>21</v>
      </c>
    </row>
    <row r="338" spans="1:2" ht="15.75" customHeight="1" x14ac:dyDescent="0.25">
      <c r="A338" s="27" t="s">
        <v>623</v>
      </c>
      <c r="B338" s="27" t="s">
        <v>21</v>
      </c>
    </row>
    <row r="339" spans="1:2" ht="15.75" customHeight="1" x14ac:dyDescent="0.25">
      <c r="A339" s="27" t="s">
        <v>623</v>
      </c>
      <c r="B339" s="27" t="s">
        <v>21</v>
      </c>
    </row>
    <row r="340" spans="1:2" ht="15.75" customHeight="1" x14ac:dyDescent="0.25">
      <c r="A340" s="27" t="s">
        <v>623</v>
      </c>
      <c r="B340" s="27" t="s">
        <v>21</v>
      </c>
    </row>
    <row r="341" spans="1:2" ht="15.75" customHeight="1" x14ac:dyDescent="0.25">
      <c r="A341" s="27" t="s">
        <v>624</v>
      </c>
      <c r="B341" s="27" t="s">
        <v>392</v>
      </c>
    </row>
    <row r="342" spans="1:2" ht="15.75" customHeight="1" x14ac:dyDescent="0.25">
      <c r="A342" s="27" t="s">
        <v>624</v>
      </c>
      <c r="B342" s="27" t="s">
        <v>392</v>
      </c>
    </row>
    <row r="343" spans="1:2" ht="15.75" customHeight="1" x14ac:dyDescent="0.25">
      <c r="A343" s="27" t="s">
        <v>624</v>
      </c>
      <c r="B343" s="27" t="s">
        <v>392</v>
      </c>
    </row>
    <row r="344" spans="1:2" ht="15.75" customHeight="1" x14ac:dyDescent="0.25">
      <c r="A344" s="27" t="s">
        <v>625</v>
      </c>
      <c r="B344" s="27" t="s">
        <v>134</v>
      </c>
    </row>
    <row r="345" spans="1:2" ht="15.75" customHeight="1" x14ac:dyDescent="0.25">
      <c r="A345" s="27" t="s">
        <v>626</v>
      </c>
      <c r="B345" s="27" t="s">
        <v>135</v>
      </c>
    </row>
    <row r="346" spans="1:2" ht="15.75" customHeight="1" x14ac:dyDescent="0.25">
      <c r="A346" s="27" t="s">
        <v>626</v>
      </c>
      <c r="B346" s="27" t="s">
        <v>135</v>
      </c>
    </row>
    <row r="347" spans="1:2" ht="15.75" customHeight="1" x14ac:dyDescent="0.25">
      <c r="A347" s="27" t="s">
        <v>626</v>
      </c>
      <c r="B347" s="27" t="s">
        <v>135</v>
      </c>
    </row>
    <row r="348" spans="1:2" ht="15.75" customHeight="1" x14ac:dyDescent="0.25">
      <c r="A348" s="27" t="s">
        <v>626</v>
      </c>
      <c r="B348" s="27" t="s">
        <v>135</v>
      </c>
    </row>
    <row r="349" spans="1:2" ht="15.75" customHeight="1" x14ac:dyDescent="0.25">
      <c r="A349" s="27" t="s">
        <v>626</v>
      </c>
      <c r="B349" s="27" t="s">
        <v>135</v>
      </c>
    </row>
    <row r="350" spans="1:2" ht="15.75" customHeight="1" x14ac:dyDescent="0.25">
      <c r="A350" s="27" t="s">
        <v>626</v>
      </c>
      <c r="B350" s="27" t="s">
        <v>135</v>
      </c>
    </row>
    <row r="351" spans="1:2" ht="15.75" customHeight="1" x14ac:dyDescent="0.25">
      <c r="A351" s="27" t="s">
        <v>626</v>
      </c>
      <c r="B351" s="27" t="s">
        <v>135</v>
      </c>
    </row>
    <row r="352" spans="1:2" ht="15.75" customHeight="1" x14ac:dyDescent="0.25">
      <c r="A352" s="27" t="s">
        <v>626</v>
      </c>
      <c r="B352" s="27" t="s">
        <v>135</v>
      </c>
    </row>
    <row r="353" spans="1:2" ht="15.75" customHeight="1" x14ac:dyDescent="0.25">
      <c r="A353" s="27" t="s">
        <v>626</v>
      </c>
      <c r="B353" s="27" t="s">
        <v>135</v>
      </c>
    </row>
    <row r="354" spans="1:2" ht="15.75" customHeight="1" x14ac:dyDescent="0.25">
      <c r="A354" s="27" t="s">
        <v>626</v>
      </c>
      <c r="B354" s="27" t="s">
        <v>135</v>
      </c>
    </row>
    <row r="355" spans="1:2" ht="15.75" customHeight="1" x14ac:dyDescent="0.25">
      <c r="A355" s="27" t="s">
        <v>626</v>
      </c>
      <c r="B355" s="27" t="s">
        <v>135</v>
      </c>
    </row>
    <row r="356" spans="1:2" ht="15.75" customHeight="1" x14ac:dyDescent="0.25">
      <c r="A356" s="27" t="s">
        <v>627</v>
      </c>
      <c r="B356" s="27" t="s">
        <v>58</v>
      </c>
    </row>
    <row r="357" spans="1:2" ht="15.75" customHeight="1" x14ac:dyDescent="0.25">
      <c r="A357" s="27" t="s">
        <v>627</v>
      </c>
      <c r="B357" s="27" t="s">
        <v>58</v>
      </c>
    </row>
    <row r="358" spans="1:2" ht="15.75" customHeight="1" x14ac:dyDescent="0.25">
      <c r="A358" s="27" t="s">
        <v>627</v>
      </c>
      <c r="B358" s="27" t="s">
        <v>58</v>
      </c>
    </row>
    <row r="359" spans="1:2" ht="15.75" customHeight="1" x14ac:dyDescent="0.25">
      <c r="A359" s="27" t="s">
        <v>627</v>
      </c>
      <c r="B359" s="27" t="s">
        <v>58</v>
      </c>
    </row>
    <row r="360" spans="1:2" ht="15.75" customHeight="1" x14ac:dyDescent="0.25">
      <c r="A360" s="27" t="s">
        <v>627</v>
      </c>
      <c r="B360" s="27" t="s">
        <v>58</v>
      </c>
    </row>
    <row r="361" spans="1:2" ht="15.75" customHeight="1" x14ac:dyDescent="0.25">
      <c r="A361" s="27" t="s">
        <v>627</v>
      </c>
      <c r="B361" s="27" t="s">
        <v>58</v>
      </c>
    </row>
    <row r="362" spans="1:2" ht="15.75" customHeight="1" x14ac:dyDescent="0.25">
      <c r="A362" s="27" t="s">
        <v>627</v>
      </c>
      <c r="B362" s="27" t="s">
        <v>58</v>
      </c>
    </row>
    <row r="363" spans="1:2" ht="15.75" customHeight="1" x14ac:dyDescent="0.25">
      <c r="A363" s="27" t="s">
        <v>627</v>
      </c>
      <c r="B363" s="27" t="s">
        <v>58</v>
      </c>
    </row>
    <row r="364" spans="1:2" ht="15.75" customHeight="1" x14ac:dyDescent="0.25">
      <c r="A364" s="27" t="s">
        <v>628</v>
      </c>
      <c r="B364" s="27" t="s">
        <v>629</v>
      </c>
    </row>
    <row r="365" spans="1:2" ht="15.75" customHeight="1" x14ac:dyDescent="0.25">
      <c r="A365" s="27" t="s">
        <v>628</v>
      </c>
      <c r="B365" s="27" t="s">
        <v>629</v>
      </c>
    </row>
    <row r="366" spans="1:2" ht="15.75" customHeight="1" x14ac:dyDescent="0.25">
      <c r="A366" s="27" t="s">
        <v>630</v>
      </c>
      <c r="B366" s="27" t="s">
        <v>631</v>
      </c>
    </row>
    <row r="367" spans="1:2" ht="15.75" customHeight="1" x14ac:dyDescent="0.25">
      <c r="A367" s="27" t="s">
        <v>630</v>
      </c>
      <c r="B367" s="27" t="s">
        <v>631</v>
      </c>
    </row>
    <row r="368" spans="1:2" ht="15.75" customHeight="1" x14ac:dyDescent="0.25">
      <c r="A368" s="27" t="s">
        <v>632</v>
      </c>
      <c r="B368" s="27" t="s">
        <v>633</v>
      </c>
    </row>
    <row r="369" spans="1:2" ht="15.75" customHeight="1" x14ac:dyDescent="0.25">
      <c r="A369" s="27" t="s">
        <v>634</v>
      </c>
      <c r="B369" s="27" t="s">
        <v>136</v>
      </c>
    </row>
    <row r="370" spans="1:2" ht="15.75" customHeight="1" x14ac:dyDescent="0.25">
      <c r="A370" s="27" t="s">
        <v>634</v>
      </c>
      <c r="B370" s="27" t="s">
        <v>136</v>
      </c>
    </row>
    <row r="371" spans="1:2" ht="15.75" customHeight="1" x14ac:dyDescent="0.25">
      <c r="A371" s="27" t="s">
        <v>634</v>
      </c>
      <c r="B371" s="27" t="s">
        <v>136</v>
      </c>
    </row>
    <row r="372" spans="1:2" ht="15.75" customHeight="1" x14ac:dyDescent="0.25">
      <c r="A372" s="27" t="s">
        <v>634</v>
      </c>
      <c r="B372" s="27" t="s">
        <v>136</v>
      </c>
    </row>
    <row r="373" spans="1:2" ht="15.75" customHeight="1" x14ac:dyDescent="0.25">
      <c r="A373" s="27" t="s">
        <v>634</v>
      </c>
      <c r="B373" s="27" t="s">
        <v>136</v>
      </c>
    </row>
    <row r="374" spans="1:2" ht="15.75" customHeight="1" x14ac:dyDescent="0.25">
      <c r="A374" s="27" t="s">
        <v>634</v>
      </c>
      <c r="B374" s="27" t="s">
        <v>136</v>
      </c>
    </row>
    <row r="375" spans="1:2" ht="15.75" customHeight="1" x14ac:dyDescent="0.25">
      <c r="A375" s="27" t="s">
        <v>634</v>
      </c>
      <c r="B375" s="27" t="s">
        <v>136</v>
      </c>
    </row>
    <row r="376" spans="1:2" ht="15.75" customHeight="1" x14ac:dyDescent="0.25">
      <c r="A376" s="27" t="s">
        <v>634</v>
      </c>
      <c r="B376" s="27" t="s">
        <v>136</v>
      </c>
    </row>
    <row r="377" spans="1:2" ht="15.75" customHeight="1" x14ac:dyDescent="0.25">
      <c r="A377" s="27" t="s">
        <v>635</v>
      </c>
      <c r="B377" s="27" t="s">
        <v>636</v>
      </c>
    </row>
    <row r="378" spans="1:2" ht="15.75" customHeight="1" x14ac:dyDescent="0.25">
      <c r="A378" s="27" t="s">
        <v>637</v>
      </c>
      <c r="B378" s="27" t="s">
        <v>393</v>
      </c>
    </row>
    <row r="379" spans="1:2" ht="15.75" customHeight="1" x14ac:dyDescent="0.25">
      <c r="A379" s="27" t="s">
        <v>638</v>
      </c>
      <c r="B379" s="27" t="s">
        <v>60</v>
      </c>
    </row>
    <row r="380" spans="1:2" ht="15.75" customHeight="1" x14ac:dyDescent="0.25">
      <c r="A380" s="27" t="s">
        <v>638</v>
      </c>
      <c r="B380" s="27" t="s">
        <v>60</v>
      </c>
    </row>
    <row r="381" spans="1:2" ht="15.75" customHeight="1" x14ac:dyDescent="0.25">
      <c r="A381" s="27" t="s">
        <v>638</v>
      </c>
      <c r="B381" s="27" t="s">
        <v>60</v>
      </c>
    </row>
    <row r="382" spans="1:2" ht="15.75" customHeight="1" x14ac:dyDescent="0.25">
      <c r="A382" s="27" t="s">
        <v>638</v>
      </c>
      <c r="B382" s="27" t="s">
        <v>60</v>
      </c>
    </row>
    <row r="383" spans="1:2" ht="15.75" customHeight="1" x14ac:dyDescent="0.25">
      <c r="A383" s="27" t="s">
        <v>638</v>
      </c>
      <c r="B383" s="27" t="s">
        <v>60</v>
      </c>
    </row>
    <row r="384" spans="1:2" ht="15.75" customHeight="1" x14ac:dyDescent="0.25">
      <c r="A384" s="27" t="s">
        <v>638</v>
      </c>
      <c r="B384" s="27" t="s">
        <v>60</v>
      </c>
    </row>
    <row r="385" spans="1:2" ht="15.75" customHeight="1" x14ac:dyDescent="0.25">
      <c r="A385" s="27" t="s">
        <v>638</v>
      </c>
      <c r="B385" s="27" t="s">
        <v>60</v>
      </c>
    </row>
    <row r="386" spans="1:2" ht="15.75" customHeight="1" x14ac:dyDescent="0.25">
      <c r="A386" s="27" t="s">
        <v>638</v>
      </c>
      <c r="B386" s="27" t="s">
        <v>60</v>
      </c>
    </row>
    <row r="387" spans="1:2" ht="15.75" customHeight="1" x14ac:dyDescent="0.25">
      <c r="A387" s="27" t="s">
        <v>638</v>
      </c>
      <c r="B387" s="27" t="s">
        <v>60</v>
      </c>
    </row>
    <row r="388" spans="1:2" ht="15.75" customHeight="1" x14ac:dyDescent="0.25">
      <c r="A388" s="27" t="s">
        <v>639</v>
      </c>
      <c r="B388" s="27" t="s">
        <v>137</v>
      </c>
    </row>
    <row r="389" spans="1:2" ht="15.75" customHeight="1" x14ac:dyDescent="0.25">
      <c r="A389" s="27" t="s">
        <v>639</v>
      </c>
      <c r="B389" s="27" t="s">
        <v>137</v>
      </c>
    </row>
    <row r="390" spans="1:2" ht="15.75" customHeight="1" x14ac:dyDescent="0.25">
      <c r="A390" s="27" t="s">
        <v>639</v>
      </c>
      <c r="B390" s="27" t="s">
        <v>137</v>
      </c>
    </row>
    <row r="391" spans="1:2" ht="15.75" customHeight="1" x14ac:dyDescent="0.25">
      <c r="A391" s="27" t="s">
        <v>639</v>
      </c>
      <c r="B391" s="27" t="s">
        <v>137</v>
      </c>
    </row>
    <row r="392" spans="1:2" ht="15.75" customHeight="1" x14ac:dyDescent="0.25">
      <c r="A392" s="27" t="s">
        <v>639</v>
      </c>
      <c r="B392" s="27" t="s">
        <v>137</v>
      </c>
    </row>
    <row r="393" spans="1:2" ht="15.75" customHeight="1" x14ac:dyDescent="0.25">
      <c r="A393" s="27" t="s">
        <v>639</v>
      </c>
      <c r="B393" s="27" t="s">
        <v>137</v>
      </c>
    </row>
    <row r="394" spans="1:2" ht="15.75" customHeight="1" x14ac:dyDescent="0.25">
      <c r="A394" s="27" t="s">
        <v>639</v>
      </c>
      <c r="B394" s="27" t="s">
        <v>137</v>
      </c>
    </row>
    <row r="395" spans="1:2" ht="15.75" customHeight="1" x14ac:dyDescent="0.25">
      <c r="A395" s="27" t="s">
        <v>639</v>
      </c>
      <c r="B395" s="27" t="s">
        <v>137</v>
      </c>
    </row>
    <row r="396" spans="1:2" ht="15.75" customHeight="1" x14ac:dyDescent="0.25">
      <c r="A396" s="27" t="s">
        <v>640</v>
      </c>
      <c r="B396" s="27" t="s">
        <v>641</v>
      </c>
    </row>
    <row r="397" spans="1:2" ht="15.75" customHeight="1" x14ac:dyDescent="0.25">
      <c r="A397" s="27" t="s">
        <v>640</v>
      </c>
      <c r="B397" s="27" t="s">
        <v>641</v>
      </c>
    </row>
    <row r="398" spans="1:2" ht="15.75" customHeight="1" x14ac:dyDescent="0.25">
      <c r="A398" s="27" t="s">
        <v>640</v>
      </c>
      <c r="B398" s="27" t="s">
        <v>641</v>
      </c>
    </row>
    <row r="399" spans="1:2" ht="15.75" customHeight="1" x14ac:dyDescent="0.25">
      <c r="A399" s="27" t="s">
        <v>640</v>
      </c>
      <c r="B399" s="27" t="s">
        <v>641</v>
      </c>
    </row>
    <row r="400" spans="1:2" ht="15.75" customHeight="1" x14ac:dyDescent="0.25">
      <c r="A400" s="27" t="s">
        <v>640</v>
      </c>
      <c r="B400" s="27" t="s">
        <v>641</v>
      </c>
    </row>
    <row r="401" spans="1:2" ht="15.75" customHeight="1" x14ac:dyDescent="0.25">
      <c r="A401" s="27" t="s">
        <v>642</v>
      </c>
      <c r="B401" s="27" t="s">
        <v>643</v>
      </c>
    </row>
    <row r="402" spans="1:2" ht="15.75" customHeight="1" x14ac:dyDescent="0.25">
      <c r="A402" s="27" t="s">
        <v>642</v>
      </c>
      <c r="B402" s="27" t="s">
        <v>643</v>
      </c>
    </row>
    <row r="403" spans="1:2" ht="15.75" customHeight="1" x14ac:dyDescent="0.25">
      <c r="A403" s="27" t="s">
        <v>642</v>
      </c>
      <c r="B403" s="27" t="s">
        <v>643</v>
      </c>
    </row>
    <row r="404" spans="1:2" ht="15.75" customHeight="1" x14ac:dyDescent="0.25">
      <c r="A404" s="27" t="s">
        <v>642</v>
      </c>
      <c r="B404" s="27" t="s">
        <v>643</v>
      </c>
    </row>
    <row r="405" spans="1:2" ht="15.75" customHeight="1" x14ac:dyDescent="0.25">
      <c r="A405" s="27" t="s">
        <v>642</v>
      </c>
      <c r="B405" s="27" t="s">
        <v>643</v>
      </c>
    </row>
    <row r="406" spans="1:2" ht="15.75" customHeight="1" x14ac:dyDescent="0.25">
      <c r="A406" s="27" t="s">
        <v>642</v>
      </c>
      <c r="B406" s="27" t="s">
        <v>643</v>
      </c>
    </row>
    <row r="407" spans="1:2" ht="15.75" customHeight="1" x14ac:dyDescent="0.25">
      <c r="A407" s="27" t="s">
        <v>642</v>
      </c>
      <c r="B407" s="27" t="s">
        <v>643</v>
      </c>
    </row>
    <row r="408" spans="1:2" ht="15.75" customHeight="1" x14ac:dyDescent="0.25">
      <c r="A408" s="27" t="s">
        <v>644</v>
      </c>
      <c r="B408" s="27" t="s">
        <v>645</v>
      </c>
    </row>
    <row r="409" spans="1:2" ht="15.75" customHeight="1" x14ac:dyDescent="0.25">
      <c r="A409" s="27" t="s">
        <v>644</v>
      </c>
      <c r="B409" s="27" t="s">
        <v>645</v>
      </c>
    </row>
    <row r="410" spans="1:2" ht="15.75" customHeight="1" x14ac:dyDescent="0.25">
      <c r="A410" s="27" t="s">
        <v>646</v>
      </c>
      <c r="B410" s="27" t="s">
        <v>647</v>
      </c>
    </row>
    <row r="411" spans="1:2" ht="15.75" customHeight="1" x14ac:dyDescent="0.25">
      <c r="A411" s="27" t="s">
        <v>646</v>
      </c>
      <c r="B411" s="27" t="s">
        <v>647</v>
      </c>
    </row>
    <row r="412" spans="1:2" ht="15.75" customHeight="1" x14ac:dyDescent="0.25">
      <c r="A412" s="27" t="s">
        <v>648</v>
      </c>
      <c r="B412" s="27" t="s">
        <v>649</v>
      </c>
    </row>
    <row r="413" spans="1:2" ht="15.75" customHeight="1" x14ac:dyDescent="0.25">
      <c r="A413" s="27" t="s">
        <v>648</v>
      </c>
      <c r="B413" s="27" t="s">
        <v>649</v>
      </c>
    </row>
    <row r="414" spans="1:2" ht="15.75" customHeight="1" x14ac:dyDescent="0.25">
      <c r="A414" s="27" t="s">
        <v>648</v>
      </c>
      <c r="B414" s="27" t="s">
        <v>649</v>
      </c>
    </row>
    <row r="415" spans="1:2" ht="15.75" customHeight="1" x14ac:dyDescent="0.25">
      <c r="A415" s="27" t="s">
        <v>650</v>
      </c>
      <c r="B415" s="27" t="s">
        <v>651</v>
      </c>
    </row>
    <row r="416" spans="1:2" ht="15.75" customHeight="1" x14ac:dyDescent="0.25">
      <c r="A416" s="27" t="s">
        <v>650</v>
      </c>
      <c r="B416" s="27" t="s">
        <v>651</v>
      </c>
    </row>
    <row r="417" spans="1:2" ht="15.75" customHeight="1" x14ac:dyDescent="0.25">
      <c r="A417" s="27" t="s">
        <v>652</v>
      </c>
      <c r="B417" s="27" t="s">
        <v>653</v>
      </c>
    </row>
    <row r="418" spans="1:2" ht="15.75" customHeight="1" x14ac:dyDescent="0.25">
      <c r="A418" s="27" t="s">
        <v>654</v>
      </c>
      <c r="B418" s="27" t="s">
        <v>655</v>
      </c>
    </row>
    <row r="419" spans="1:2" ht="15.75" customHeight="1" x14ac:dyDescent="0.25">
      <c r="A419" s="27" t="s">
        <v>656</v>
      </c>
      <c r="B419" s="27" t="s">
        <v>657</v>
      </c>
    </row>
    <row r="420" spans="1:2" ht="15.75" customHeight="1" x14ac:dyDescent="0.25">
      <c r="A420" s="27" t="s">
        <v>656</v>
      </c>
      <c r="B420" s="27" t="s">
        <v>657</v>
      </c>
    </row>
    <row r="421" spans="1:2" ht="15.75" customHeight="1" x14ac:dyDescent="0.25">
      <c r="A421" s="27" t="s">
        <v>658</v>
      </c>
      <c r="B421" s="27" t="s">
        <v>659</v>
      </c>
    </row>
    <row r="422" spans="1:2" ht="15.75" customHeight="1" x14ac:dyDescent="0.25">
      <c r="A422" s="27" t="s">
        <v>658</v>
      </c>
      <c r="B422" s="27" t="s">
        <v>659</v>
      </c>
    </row>
    <row r="423" spans="1:2" ht="15.75" customHeight="1" x14ac:dyDescent="0.25">
      <c r="A423" s="27" t="s">
        <v>658</v>
      </c>
      <c r="B423" s="27" t="s">
        <v>659</v>
      </c>
    </row>
    <row r="424" spans="1:2" ht="15.75" customHeight="1" x14ac:dyDescent="0.25">
      <c r="A424" s="27" t="s">
        <v>660</v>
      </c>
      <c r="B424" s="27" t="s">
        <v>661</v>
      </c>
    </row>
    <row r="425" spans="1:2" ht="15.75" customHeight="1" x14ac:dyDescent="0.25">
      <c r="A425" s="27" t="s">
        <v>660</v>
      </c>
      <c r="B425" s="27" t="s">
        <v>661</v>
      </c>
    </row>
    <row r="426" spans="1:2" ht="15.75" customHeight="1" x14ac:dyDescent="0.25">
      <c r="A426" s="27" t="s">
        <v>662</v>
      </c>
      <c r="B426" s="27" t="s">
        <v>663</v>
      </c>
    </row>
    <row r="427" spans="1:2" ht="15.75" customHeight="1" x14ac:dyDescent="0.25">
      <c r="A427" s="27" t="s">
        <v>662</v>
      </c>
      <c r="B427" s="27" t="s">
        <v>663</v>
      </c>
    </row>
    <row r="428" spans="1:2" ht="15.75" customHeight="1" x14ac:dyDescent="0.25">
      <c r="A428" s="27" t="s">
        <v>662</v>
      </c>
      <c r="B428" s="27" t="s">
        <v>663</v>
      </c>
    </row>
    <row r="429" spans="1:2" ht="15.75" customHeight="1" x14ac:dyDescent="0.25">
      <c r="A429" s="27" t="s">
        <v>664</v>
      </c>
      <c r="B429" s="27" t="s">
        <v>665</v>
      </c>
    </row>
    <row r="430" spans="1:2" ht="15.75" customHeight="1" x14ac:dyDescent="0.25">
      <c r="A430" s="27" t="s">
        <v>666</v>
      </c>
      <c r="B430" s="27" t="s">
        <v>667</v>
      </c>
    </row>
    <row r="431" spans="1:2" ht="15.75" customHeight="1" x14ac:dyDescent="0.25">
      <c r="A431" s="27" t="s">
        <v>666</v>
      </c>
      <c r="B431" s="27" t="s">
        <v>667</v>
      </c>
    </row>
    <row r="432" spans="1:2" ht="15.75" customHeight="1" x14ac:dyDescent="0.25">
      <c r="A432" s="27" t="s">
        <v>666</v>
      </c>
      <c r="B432" s="27" t="s">
        <v>667</v>
      </c>
    </row>
    <row r="433" spans="1:2" ht="15.75" customHeight="1" x14ac:dyDescent="0.25">
      <c r="A433" s="27" t="s">
        <v>666</v>
      </c>
      <c r="B433" s="27" t="s">
        <v>667</v>
      </c>
    </row>
    <row r="434" spans="1:2" ht="15.75" customHeight="1" x14ac:dyDescent="0.25">
      <c r="A434" s="27" t="s">
        <v>668</v>
      </c>
      <c r="B434" s="27" t="s">
        <v>669</v>
      </c>
    </row>
    <row r="435" spans="1:2" ht="15.75" customHeight="1" x14ac:dyDescent="0.25">
      <c r="A435" s="27" t="s">
        <v>668</v>
      </c>
      <c r="B435" s="27" t="s">
        <v>669</v>
      </c>
    </row>
    <row r="436" spans="1:2" ht="15.75" customHeight="1" x14ac:dyDescent="0.25">
      <c r="A436" s="27" t="s">
        <v>668</v>
      </c>
      <c r="B436" s="27" t="s">
        <v>669</v>
      </c>
    </row>
    <row r="437" spans="1:2" ht="15.75" customHeight="1" x14ac:dyDescent="0.25">
      <c r="A437" s="27" t="s">
        <v>670</v>
      </c>
      <c r="B437" s="27" t="s">
        <v>671</v>
      </c>
    </row>
    <row r="438" spans="1:2" ht="15.75" customHeight="1" x14ac:dyDescent="0.25">
      <c r="A438" s="27" t="s">
        <v>672</v>
      </c>
      <c r="B438" s="27" t="s">
        <v>673</v>
      </c>
    </row>
    <row r="439" spans="1:2" ht="15.75" customHeight="1" x14ac:dyDescent="0.25">
      <c r="A439" s="27" t="s">
        <v>672</v>
      </c>
      <c r="B439" s="27" t="s">
        <v>673</v>
      </c>
    </row>
    <row r="440" spans="1:2" ht="15.75" customHeight="1" x14ac:dyDescent="0.25">
      <c r="A440" s="27" t="s">
        <v>674</v>
      </c>
      <c r="B440" s="27" t="s">
        <v>675</v>
      </c>
    </row>
    <row r="441" spans="1:2" ht="15.75" customHeight="1" x14ac:dyDescent="0.25">
      <c r="A441" s="27" t="s">
        <v>676</v>
      </c>
      <c r="B441" s="27" t="s">
        <v>677</v>
      </c>
    </row>
    <row r="442" spans="1:2" ht="15.75" customHeight="1" x14ac:dyDescent="0.25">
      <c r="A442" s="27" t="s">
        <v>678</v>
      </c>
      <c r="B442" s="27" t="s">
        <v>97</v>
      </c>
    </row>
    <row r="443" spans="1:2" ht="15.75" customHeight="1" x14ac:dyDescent="0.25">
      <c r="A443" s="27" t="s">
        <v>678</v>
      </c>
      <c r="B443" s="27" t="s">
        <v>97</v>
      </c>
    </row>
    <row r="444" spans="1:2" ht="15.75" customHeight="1" x14ac:dyDescent="0.25">
      <c r="A444" s="27" t="s">
        <v>678</v>
      </c>
      <c r="B444" s="27" t="s">
        <v>97</v>
      </c>
    </row>
    <row r="445" spans="1:2" ht="15.75" customHeight="1" x14ac:dyDescent="0.25">
      <c r="A445" s="27" t="s">
        <v>678</v>
      </c>
      <c r="B445" s="27" t="s">
        <v>97</v>
      </c>
    </row>
    <row r="446" spans="1:2" ht="15.75" customHeight="1" x14ac:dyDescent="0.25">
      <c r="A446" s="27" t="s">
        <v>678</v>
      </c>
      <c r="B446" s="27" t="s">
        <v>97</v>
      </c>
    </row>
    <row r="447" spans="1:2" ht="15.75" customHeight="1" x14ac:dyDescent="0.25">
      <c r="A447" s="27" t="s">
        <v>678</v>
      </c>
      <c r="B447" s="27" t="s">
        <v>97</v>
      </c>
    </row>
    <row r="448" spans="1:2" ht="15.75" customHeight="1" x14ac:dyDescent="0.25">
      <c r="A448" s="27" t="s">
        <v>678</v>
      </c>
      <c r="B448" s="27" t="s">
        <v>97</v>
      </c>
    </row>
    <row r="449" spans="1:2" ht="15.75" customHeight="1" x14ac:dyDescent="0.25">
      <c r="A449" s="27" t="s">
        <v>678</v>
      </c>
      <c r="B449" s="27" t="s">
        <v>97</v>
      </c>
    </row>
    <row r="450" spans="1:2" ht="15.75" customHeight="1" x14ac:dyDescent="0.25">
      <c r="A450" s="27" t="s">
        <v>678</v>
      </c>
      <c r="B450" s="27" t="s">
        <v>97</v>
      </c>
    </row>
    <row r="451" spans="1:2" ht="15.75" customHeight="1" x14ac:dyDescent="0.25">
      <c r="A451" s="27" t="s">
        <v>678</v>
      </c>
      <c r="B451" s="27" t="s">
        <v>97</v>
      </c>
    </row>
    <row r="452" spans="1:2" ht="15.75" customHeight="1" x14ac:dyDescent="0.25">
      <c r="A452" s="27" t="s">
        <v>678</v>
      </c>
      <c r="B452" s="27" t="s">
        <v>97</v>
      </c>
    </row>
    <row r="453" spans="1:2" ht="15.75" customHeight="1" x14ac:dyDescent="0.25">
      <c r="A453" s="27" t="s">
        <v>678</v>
      </c>
      <c r="B453" s="27" t="s">
        <v>97</v>
      </c>
    </row>
    <row r="454" spans="1:2" ht="15.75" customHeight="1" x14ac:dyDescent="0.25">
      <c r="A454" s="27" t="s">
        <v>678</v>
      </c>
      <c r="B454" s="27" t="s">
        <v>97</v>
      </c>
    </row>
    <row r="455" spans="1:2" ht="15.75" customHeight="1" x14ac:dyDescent="0.25">
      <c r="A455" s="27" t="s">
        <v>678</v>
      </c>
      <c r="B455" s="27" t="s">
        <v>97</v>
      </c>
    </row>
    <row r="456" spans="1:2" ht="15.75" customHeight="1" x14ac:dyDescent="0.25">
      <c r="A456" s="27" t="s">
        <v>678</v>
      </c>
      <c r="B456" s="27" t="s">
        <v>97</v>
      </c>
    </row>
    <row r="457" spans="1:2" ht="15.75" customHeight="1" x14ac:dyDescent="0.25">
      <c r="A457" s="27" t="s">
        <v>678</v>
      </c>
      <c r="B457" s="27" t="s">
        <v>97</v>
      </c>
    </row>
    <row r="458" spans="1:2" ht="15.75" customHeight="1" x14ac:dyDescent="0.25">
      <c r="A458" s="27" t="s">
        <v>678</v>
      </c>
      <c r="B458" s="27" t="s">
        <v>97</v>
      </c>
    </row>
    <row r="459" spans="1:2" ht="15.75" customHeight="1" x14ac:dyDescent="0.25">
      <c r="A459" s="27" t="s">
        <v>678</v>
      </c>
      <c r="B459" s="27" t="s">
        <v>97</v>
      </c>
    </row>
    <row r="460" spans="1:2" ht="15.75" customHeight="1" x14ac:dyDescent="0.25">
      <c r="A460" s="27" t="s">
        <v>678</v>
      </c>
      <c r="B460" s="27" t="s">
        <v>97</v>
      </c>
    </row>
    <row r="461" spans="1:2" ht="15.75" customHeight="1" x14ac:dyDescent="0.25">
      <c r="A461" s="27" t="s">
        <v>679</v>
      </c>
      <c r="B461" s="27" t="s">
        <v>268</v>
      </c>
    </row>
    <row r="462" spans="1:2" ht="15.75" customHeight="1" x14ac:dyDescent="0.25">
      <c r="A462" s="27" t="s">
        <v>679</v>
      </c>
      <c r="B462" s="27" t="s">
        <v>268</v>
      </c>
    </row>
    <row r="463" spans="1:2" ht="15.75" customHeight="1" x14ac:dyDescent="0.25">
      <c r="A463" s="27" t="s">
        <v>679</v>
      </c>
      <c r="B463" s="27" t="s">
        <v>268</v>
      </c>
    </row>
    <row r="464" spans="1:2" ht="15.75" customHeight="1" x14ac:dyDescent="0.25">
      <c r="A464" s="27" t="s">
        <v>679</v>
      </c>
      <c r="B464" s="27" t="s">
        <v>268</v>
      </c>
    </row>
    <row r="465" spans="1:2" ht="15.75" customHeight="1" x14ac:dyDescent="0.25">
      <c r="A465" s="27" t="s">
        <v>679</v>
      </c>
      <c r="B465" s="27" t="s">
        <v>268</v>
      </c>
    </row>
    <row r="466" spans="1:2" ht="15.75" customHeight="1" x14ac:dyDescent="0.25">
      <c r="A466" s="27" t="s">
        <v>679</v>
      </c>
      <c r="B466" s="27" t="s">
        <v>268</v>
      </c>
    </row>
    <row r="467" spans="1:2" ht="15.75" customHeight="1" x14ac:dyDescent="0.25">
      <c r="A467" s="27" t="s">
        <v>680</v>
      </c>
      <c r="B467" s="27" t="s">
        <v>269</v>
      </c>
    </row>
    <row r="468" spans="1:2" ht="15.75" customHeight="1" x14ac:dyDescent="0.25">
      <c r="A468" s="27" t="s">
        <v>681</v>
      </c>
      <c r="B468" s="27" t="s">
        <v>682</v>
      </c>
    </row>
    <row r="469" spans="1:2" ht="15.75" customHeight="1" x14ac:dyDescent="0.25">
      <c r="A469" s="27" t="s">
        <v>683</v>
      </c>
      <c r="B469" s="27" t="s">
        <v>684</v>
      </c>
    </row>
    <row r="470" spans="1:2" ht="15.75" customHeight="1" x14ac:dyDescent="0.25">
      <c r="A470" s="27" t="s">
        <v>685</v>
      </c>
      <c r="B470" s="27" t="s">
        <v>98</v>
      </c>
    </row>
    <row r="471" spans="1:2" ht="15.75" customHeight="1" x14ac:dyDescent="0.25">
      <c r="A471" s="27" t="s">
        <v>686</v>
      </c>
      <c r="B471" s="27" t="s">
        <v>270</v>
      </c>
    </row>
    <row r="472" spans="1:2" ht="15.75" customHeight="1" x14ac:dyDescent="0.25">
      <c r="A472" s="27" t="s">
        <v>686</v>
      </c>
      <c r="B472" s="27" t="s">
        <v>270</v>
      </c>
    </row>
    <row r="473" spans="1:2" ht="15.75" customHeight="1" x14ac:dyDescent="0.25">
      <c r="A473" s="27" t="s">
        <v>686</v>
      </c>
      <c r="B473" s="27" t="s">
        <v>270</v>
      </c>
    </row>
    <row r="474" spans="1:2" ht="15.75" customHeight="1" x14ac:dyDescent="0.25">
      <c r="A474" s="27" t="s">
        <v>686</v>
      </c>
      <c r="B474" s="27" t="s">
        <v>270</v>
      </c>
    </row>
    <row r="475" spans="1:2" ht="15.75" customHeight="1" x14ac:dyDescent="0.25">
      <c r="A475" s="27" t="s">
        <v>687</v>
      </c>
      <c r="B475" s="27" t="s">
        <v>99</v>
      </c>
    </row>
    <row r="476" spans="1:2" ht="15.75" customHeight="1" x14ac:dyDescent="0.25">
      <c r="A476" s="27" t="s">
        <v>687</v>
      </c>
      <c r="B476" s="27" t="s">
        <v>99</v>
      </c>
    </row>
    <row r="477" spans="1:2" ht="15.75" customHeight="1" x14ac:dyDescent="0.25">
      <c r="A477" s="27" t="s">
        <v>687</v>
      </c>
      <c r="B477" s="27" t="s">
        <v>99</v>
      </c>
    </row>
    <row r="478" spans="1:2" ht="15.75" customHeight="1" x14ac:dyDescent="0.25">
      <c r="A478" s="27" t="s">
        <v>687</v>
      </c>
      <c r="B478" s="27" t="s">
        <v>99</v>
      </c>
    </row>
    <row r="479" spans="1:2" ht="15.75" customHeight="1" x14ac:dyDescent="0.25">
      <c r="A479" s="27" t="s">
        <v>687</v>
      </c>
      <c r="B479" s="27" t="s">
        <v>99</v>
      </c>
    </row>
    <row r="480" spans="1:2" ht="15.75" customHeight="1" x14ac:dyDescent="0.25">
      <c r="A480" s="27" t="s">
        <v>687</v>
      </c>
      <c r="B480" s="27" t="s">
        <v>99</v>
      </c>
    </row>
    <row r="481" spans="1:2" ht="15.75" customHeight="1" x14ac:dyDescent="0.25">
      <c r="A481" s="27" t="s">
        <v>687</v>
      </c>
      <c r="B481" s="27" t="s">
        <v>99</v>
      </c>
    </row>
    <row r="482" spans="1:2" ht="15.75" customHeight="1" x14ac:dyDescent="0.25">
      <c r="A482" s="27" t="s">
        <v>687</v>
      </c>
      <c r="B482" s="27" t="s">
        <v>99</v>
      </c>
    </row>
    <row r="483" spans="1:2" ht="15.75" customHeight="1" x14ac:dyDescent="0.25">
      <c r="A483" s="27" t="s">
        <v>687</v>
      </c>
      <c r="B483" s="27" t="s">
        <v>99</v>
      </c>
    </row>
    <row r="484" spans="1:2" ht="15.75" customHeight="1" x14ac:dyDescent="0.25">
      <c r="A484" s="27" t="s">
        <v>687</v>
      </c>
      <c r="B484" s="27" t="s">
        <v>99</v>
      </c>
    </row>
    <row r="485" spans="1:2" ht="15.75" customHeight="1" x14ac:dyDescent="0.25">
      <c r="A485" s="27" t="s">
        <v>687</v>
      </c>
      <c r="B485" s="27" t="s">
        <v>99</v>
      </c>
    </row>
    <row r="486" spans="1:2" ht="15.75" customHeight="1" x14ac:dyDescent="0.25">
      <c r="A486" s="27" t="s">
        <v>687</v>
      </c>
      <c r="B486" s="27" t="s">
        <v>99</v>
      </c>
    </row>
    <row r="487" spans="1:2" ht="15.75" customHeight="1" x14ac:dyDescent="0.25">
      <c r="A487" s="27" t="s">
        <v>687</v>
      </c>
      <c r="B487" s="27" t="s">
        <v>99</v>
      </c>
    </row>
    <row r="488" spans="1:2" ht="15.75" customHeight="1" x14ac:dyDescent="0.25">
      <c r="A488" s="27" t="s">
        <v>687</v>
      </c>
      <c r="B488" s="27" t="s">
        <v>99</v>
      </c>
    </row>
    <row r="489" spans="1:2" ht="15.75" customHeight="1" x14ac:dyDescent="0.25">
      <c r="A489" s="27" t="s">
        <v>687</v>
      </c>
      <c r="B489" s="27" t="s">
        <v>99</v>
      </c>
    </row>
    <row r="490" spans="1:2" ht="15.75" customHeight="1" x14ac:dyDescent="0.25">
      <c r="A490" s="27" t="s">
        <v>687</v>
      </c>
      <c r="B490" s="27" t="s">
        <v>99</v>
      </c>
    </row>
    <row r="491" spans="1:2" ht="15.75" customHeight="1" x14ac:dyDescent="0.25">
      <c r="A491" s="27" t="s">
        <v>687</v>
      </c>
      <c r="B491" s="27" t="s">
        <v>99</v>
      </c>
    </row>
    <row r="492" spans="1:2" ht="15.75" customHeight="1" x14ac:dyDescent="0.25">
      <c r="A492" s="27" t="s">
        <v>687</v>
      </c>
      <c r="B492" s="27" t="s">
        <v>99</v>
      </c>
    </row>
    <row r="493" spans="1:2" ht="15.75" customHeight="1" x14ac:dyDescent="0.25">
      <c r="A493" s="27" t="s">
        <v>688</v>
      </c>
      <c r="B493" s="27" t="s">
        <v>411</v>
      </c>
    </row>
    <row r="494" spans="1:2" ht="15.75" customHeight="1" x14ac:dyDescent="0.25">
      <c r="A494" s="27" t="s">
        <v>688</v>
      </c>
      <c r="B494" s="27" t="s">
        <v>411</v>
      </c>
    </row>
    <row r="495" spans="1:2" ht="15.75" customHeight="1" x14ac:dyDescent="0.25">
      <c r="A495" s="27" t="s">
        <v>688</v>
      </c>
      <c r="B495" s="27" t="s">
        <v>411</v>
      </c>
    </row>
    <row r="496" spans="1:2" ht="15.75" customHeight="1" x14ac:dyDescent="0.25">
      <c r="A496" s="27" t="s">
        <v>688</v>
      </c>
      <c r="B496" s="27" t="s">
        <v>411</v>
      </c>
    </row>
    <row r="497" spans="1:2" ht="15.75" customHeight="1" x14ac:dyDescent="0.25">
      <c r="A497" s="27" t="s">
        <v>688</v>
      </c>
      <c r="B497" s="27" t="s">
        <v>411</v>
      </c>
    </row>
    <row r="498" spans="1:2" ht="15.75" customHeight="1" x14ac:dyDescent="0.25">
      <c r="A498" s="27" t="s">
        <v>688</v>
      </c>
      <c r="B498" s="27" t="s">
        <v>411</v>
      </c>
    </row>
    <row r="499" spans="1:2" ht="15.75" customHeight="1" x14ac:dyDescent="0.25">
      <c r="A499" s="27" t="s">
        <v>688</v>
      </c>
      <c r="B499" s="27" t="s">
        <v>411</v>
      </c>
    </row>
    <row r="500" spans="1:2" ht="15.75" customHeight="1" x14ac:dyDescent="0.25">
      <c r="A500" s="27" t="s">
        <v>688</v>
      </c>
      <c r="B500" s="27" t="s">
        <v>411</v>
      </c>
    </row>
    <row r="501" spans="1:2" ht="15.75" customHeight="1" x14ac:dyDescent="0.25">
      <c r="A501" s="27" t="s">
        <v>688</v>
      </c>
      <c r="B501" s="27" t="s">
        <v>411</v>
      </c>
    </row>
    <row r="502" spans="1:2" ht="15.75" customHeight="1" x14ac:dyDescent="0.25">
      <c r="A502" s="27" t="s">
        <v>689</v>
      </c>
      <c r="B502" s="27" t="s">
        <v>412</v>
      </c>
    </row>
    <row r="503" spans="1:2" ht="15.75" customHeight="1" x14ac:dyDescent="0.25">
      <c r="A503" s="27" t="s">
        <v>689</v>
      </c>
      <c r="B503" s="27" t="s">
        <v>412</v>
      </c>
    </row>
    <row r="504" spans="1:2" ht="15.75" customHeight="1" x14ac:dyDescent="0.25">
      <c r="A504" s="27" t="s">
        <v>689</v>
      </c>
      <c r="B504" s="27" t="s">
        <v>412</v>
      </c>
    </row>
    <row r="505" spans="1:2" ht="15.75" customHeight="1" x14ac:dyDescent="0.25">
      <c r="A505" s="27" t="s">
        <v>689</v>
      </c>
      <c r="B505" s="27" t="s">
        <v>412</v>
      </c>
    </row>
    <row r="506" spans="1:2" ht="15.75" customHeight="1" x14ac:dyDescent="0.25">
      <c r="A506" s="27" t="s">
        <v>689</v>
      </c>
      <c r="B506" s="27" t="s">
        <v>412</v>
      </c>
    </row>
    <row r="507" spans="1:2" ht="15.75" customHeight="1" x14ac:dyDescent="0.25">
      <c r="A507" s="27" t="s">
        <v>689</v>
      </c>
      <c r="B507" s="27" t="s">
        <v>412</v>
      </c>
    </row>
    <row r="508" spans="1:2" ht="15.75" customHeight="1" x14ac:dyDescent="0.25">
      <c r="A508" s="27" t="s">
        <v>689</v>
      </c>
      <c r="B508" s="27" t="s">
        <v>412</v>
      </c>
    </row>
    <row r="509" spans="1:2" ht="15.75" customHeight="1" x14ac:dyDescent="0.25">
      <c r="A509" s="27" t="s">
        <v>689</v>
      </c>
      <c r="B509" s="27" t="s">
        <v>412</v>
      </c>
    </row>
    <row r="510" spans="1:2" ht="15.75" customHeight="1" x14ac:dyDescent="0.25">
      <c r="A510" s="27" t="s">
        <v>690</v>
      </c>
      <c r="B510" s="27" t="s">
        <v>413</v>
      </c>
    </row>
    <row r="511" spans="1:2" ht="15.75" customHeight="1" x14ac:dyDescent="0.25">
      <c r="A511" s="27" t="s">
        <v>690</v>
      </c>
      <c r="B511" s="27" t="s">
        <v>413</v>
      </c>
    </row>
    <row r="512" spans="1:2" ht="15.75" customHeight="1" x14ac:dyDescent="0.25">
      <c r="A512" s="27" t="s">
        <v>690</v>
      </c>
      <c r="B512" s="27" t="s">
        <v>413</v>
      </c>
    </row>
    <row r="513" spans="1:2" ht="15.75" customHeight="1" x14ac:dyDescent="0.25">
      <c r="A513" s="27" t="s">
        <v>690</v>
      </c>
      <c r="B513" s="27" t="s">
        <v>413</v>
      </c>
    </row>
    <row r="514" spans="1:2" ht="15.75" customHeight="1" x14ac:dyDescent="0.25">
      <c r="A514" s="27" t="s">
        <v>690</v>
      </c>
      <c r="B514" s="27" t="s">
        <v>413</v>
      </c>
    </row>
    <row r="515" spans="1:2" ht="15.75" customHeight="1" x14ac:dyDescent="0.25">
      <c r="A515" s="27" t="s">
        <v>690</v>
      </c>
      <c r="B515" s="27" t="s">
        <v>413</v>
      </c>
    </row>
    <row r="516" spans="1:2" ht="15.75" customHeight="1" x14ac:dyDescent="0.25">
      <c r="A516" s="27" t="s">
        <v>690</v>
      </c>
      <c r="B516" s="27" t="s">
        <v>413</v>
      </c>
    </row>
    <row r="517" spans="1:2" ht="15.75" customHeight="1" x14ac:dyDescent="0.25">
      <c r="A517" s="27" t="s">
        <v>690</v>
      </c>
      <c r="B517" s="27" t="s">
        <v>413</v>
      </c>
    </row>
    <row r="518" spans="1:2" ht="15.75" customHeight="1" x14ac:dyDescent="0.25">
      <c r="A518" s="27" t="s">
        <v>691</v>
      </c>
      <c r="B518" s="27" t="s">
        <v>414</v>
      </c>
    </row>
    <row r="519" spans="1:2" ht="15.75" customHeight="1" x14ac:dyDescent="0.25">
      <c r="A519" s="27" t="s">
        <v>691</v>
      </c>
      <c r="B519" s="27" t="s">
        <v>414</v>
      </c>
    </row>
    <row r="520" spans="1:2" ht="15.75" customHeight="1" x14ac:dyDescent="0.25">
      <c r="A520" s="27" t="s">
        <v>691</v>
      </c>
      <c r="B520" s="27" t="s">
        <v>414</v>
      </c>
    </row>
    <row r="521" spans="1:2" ht="15.75" customHeight="1" x14ac:dyDescent="0.25">
      <c r="A521" s="27" t="s">
        <v>692</v>
      </c>
      <c r="B521" s="27" t="s">
        <v>61</v>
      </c>
    </row>
    <row r="522" spans="1:2" ht="15.75" customHeight="1" x14ac:dyDescent="0.25">
      <c r="A522" s="27" t="s">
        <v>692</v>
      </c>
      <c r="B522" s="27" t="s">
        <v>61</v>
      </c>
    </row>
    <row r="523" spans="1:2" ht="15.75" customHeight="1" x14ac:dyDescent="0.25">
      <c r="A523" s="27" t="s">
        <v>692</v>
      </c>
      <c r="B523" s="27" t="s">
        <v>61</v>
      </c>
    </row>
    <row r="524" spans="1:2" ht="15.75" customHeight="1" x14ac:dyDescent="0.25">
      <c r="A524" s="27" t="s">
        <v>693</v>
      </c>
      <c r="B524" s="27" t="s">
        <v>694</v>
      </c>
    </row>
    <row r="525" spans="1:2" ht="15.75" customHeight="1" x14ac:dyDescent="0.25">
      <c r="A525" s="27" t="s">
        <v>693</v>
      </c>
      <c r="B525" s="27" t="s">
        <v>694</v>
      </c>
    </row>
    <row r="526" spans="1:2" ht="15.75" customHeight="1" x14ac:dyDescent="0.25">
      <c r="A526" s="27" t="s">
        <v>695</v>
      </c>
      <c r="B526" s="27" t="s">
        <v>62</v>
      </c>
    </row>
    <row r="527" spans="1:2" ht="15.75" customHeight="1" x14ac:dyDescent="0.25">
      <c r="A527" s="27" t="s">
        <v>695</v>
      </c>
      <c r="B527" s="27" t="s">
        <v>62</v>
      </c>
    </row>
    <row r="528" spans="1:2" ht="15.75" customHeight="1" x14ac:dyDescent="0.25">
      <c r="A528" s="27" t="s">
        <v>695</v>
      </c>
      <c r="B528" s="27" t="s">
        <v>62</v>
      </c>
    </row>
    <row r="529" spans="1:2" ht="15.75" customHeight="1" x14ac:dyDescent="0.25">
      <c r="A529" s="27" t="s">
        <v>695</v>
      </c>
      <c r="B529" s="27" t="s">
        <v>62</v>
      </c>
    </row>
    <row r="530" spans="1:2" ht="15.75" customHeight="1" x14ac:dyDescent="0.25">
      <c r="A530" s="27" t="s">
        <v>695</v>
      </c>
      <c r="B530" s="27" t="s">
        <v>62</v>
      </c>
    </row>
    <row r="531" spans="1:2" ht="15.75" customHeight="1" x14ac:dyDescent="0.25">
      <c r="A531" s="27" t="s">
        <v>695</v>
      </c>
      <c r="B531" s="27" t="s">
        <v>62</v>
      </c>
    </row>
    <row r="532" spans="1:2" ht="15.75" customHeight="1" x14ac:dyDescent="0.25">
      <c r="A532" s="27" t="s">
        <v>695</v>
      </c>
      <c r="B532" s="27" t="s">
        <v>62</v>
      </c>
    </row>
    <row r="533" spans="1:2" ht="15.75" customHeight="1" x14ac:dyDescent="0.25">
      <c r="A533" s="27" t="s">
        <v>695</v>
      </c>
      <c r="B533" s="27" t="s">
        <v>62</v>
      </c>
    </row>
    <row r="534" spans="1:2" ht="15.75" customHeight="1" x14ac:dyDescent="0.25">
      <c r="A534" s="27" t="s">
        <v>696</v>
      </c>
      <c r="B534" s="27" t="s">
        <v>423</v>
      </c>
    </row>
    <row r="535" spans="1:2" ht="15.75" customHeight="1" x14ac:dyDescent="0.25">
      <c r="A535" s="27" t="s">
        <v>696</v>
      </c>
      <c r="B535" s="27" t="s">
        <v>423</v>
      </c>
    </row>
    <row r="536" spans="1:2" ht="15.75" customHeight="1" x14ac:dyDescent="0.25">
      <c r="A536" s="27" t="s">
        <v>696</v>
      </c>
      <c r="B536" s="27" t="s">
        <v>423</v>
      </c>
    </row>
    <row r="537" spans="1:2" ht="15.75" customHeight="1" x14ac:dyDescent="0.25">
      <c r="A537" s="27" t="s">
        <v>697</v>
      </c>
      <c r="B537" s="27" t="s">
        <v>27</v>
      </c>
    </row>
    <row r="538" spans="1:2" ht="15.75" customHeight="1" x14ac:dyDescent="0.25">
      <c r="A538" s="27" t="s">
        <v>697</v>
      </c>
      <c r="B538" s="27" t="s">
        <v>27</v>
      </c>
    </row>
    <row r="539" spans="1:2" ht="15.75" customHeight="1" x14ac:dyDescent="0.25">
      <c r="A539" s="27" t="s">
        <v>697</v>
      </c>
      <c r="B539" s="27" t="s">
        <v>27</v>
      </c>
    </row>
    <row r="540" spans="1:2" ht="15.75" customHeight="1" x14ac:dyDescent="0.25">
      <c r="A540" s="27" t="s">
        <v>697</v>
      </c>
      <c r="B540" s="27" t="s">
        <v>27</v>
      </c>
    </row>
    <row r="541" spans="1:2" ht="15.75" customHeight="1" x14ac:dyDescent="0.25">
      <c r="A541" s="27" t="s">
        <v>697</v>
      </c>
      <c r="B541" s="27" t="s">
        <v>27</v>
      </c>
    </row>
    <row r="542" spans="1:2" ht="15.75" customHeight="1" x14ac:dyDescent="0.25">
      <c r="A542" s="27" t="s">
        <v>697</v>
      </c>
      <c r="B542" s="27" t="s">
        <v>27</v>
      </c>
    </row>
    <row r="543" spans="1:2" ht="15.75" customHeight="1" x14ac:dyDescent="0.25">
      <c r="A543" s="27" t="s">
        <v>697</v>
      </c>
      <c r="B543" s="27" t="s">
        <v>27</v>
      </c>
    </row>
    <row r="544" spans="1:2" ht="15.75" customHeight="1" x14ac:dyDescent="0.25">
      <c r="A544" s="27" t="s">
        <v>697</v>
      </c>
      <c r="B544" s="27" t="s">
        <v>27</v>
      </c>
    </row>
    <row r="545" spans="1:2" ht="15.75" customHeight="1" x14ac:dyDescent="0.25">
      <c r="A545" s="27" t="s">
        <v>697</v>
      </c>
      <c r="B545" s="27" t="s">
        <v>27</v>
      </c>
    </row>
    <row r="546" spans="1:2" ht="15.75" customHeight="1" x14ac:dyDescent="0.25">
      <c r="A546" s="27" t="s">
        <v>697</v>
      </c>
      <c r="B546" s="27" t="s">
        <v>27</v>
      </c>
    </row>
    <row r="547" spans="1:2" ht="15.75" customHeight="1" x14ac:dyDescent="0.25">
      <c r="A547" s="27" t="s">
        <v>697</v>
      </c>
      <c r="B547" s="27" t="s">
        <v>27</v>
      </c>
    </row>
    <row r="548" spans="1:2" ht="15.75" customHeight="1" x14ac:dyDescent="0.25">
      <c r="A548" s="27" t="s">
        <v>697</v>
      </c>
      <c r="B548" s="27" t="s">
        <v>27</v>
      </c>
    </row>
    <row r="549" spans="1:2" ht="15.75" customHeight="1" x14ac:dyDescent="0.25">
      <c r="A549" s="27" t="s">
        <v>698</v>
      </c>
      <c r="B549" s="27" t="s">
        <v>426</v>
      </c>
    </row>
    <row r="550" spans="1:2" ht="15.75" customHeight="1" x14ac:dyDescent="0.25">
      <c r="A550" s="27" t="s">
        <v>698</v>
      </c>
      <c r="B550" s="27" t="s">
        <v>426</v>
      </c>
    </row>
    <row r="551" spans="1:2" ht="15.75" customHeight="1" x14ac:dyDescent="0.25">
      <c r="A551" s="27" t="s">
        <v>698</v>
      </c>
      <c r="B551" s="27" t="s">
        <v>426</v>
      </c>
    </row>
    <row r="552" spans="1:2" ht="15.75" customHeight="1" x14ac:dyDescent="0.25">
      <c r="A552" s="27" t="s">
        <v>698</v>
      </c>
      <c r="B552" s="27" t="s">
        <v>426</v>
      </c>
    </row>
    <row r="553" spans="1:2" ht="15.75" customHeight="1" x14ac:dyDescent="0.25">
      <c r="A553" s="27" t="s">
        <v>699</v>
      </c>
      <c r="B553" s="27" t="s">
        <v>700</v>
      </c>
    </row>
    <row r="554" spans="1:2" ht="15.75" customHeight="1" x14ac:dyDescent="0.25">
      <c r="A554" s="27" t="s">
        <v>699</v>
      </c>
      <c r="B554" s="27" t="s">
        <v>700</v>
      </c>
    </row>
    <row r="555" spans="1:2" ht="15.75" customHeight="1" x14ac:dyDescent="0.25">
      <c r="A555" s="27" t="s">
        <v>701</v>
      </c>
      <c r="B555" s="27" t="s">
        <v>702</v>
      </c>
    </row>
    <row r="556" spans="1:2" ht="15.75" customHeight="1" x14ac:dyDescent="0.25">
      <c r="A556" s="27" t="s">
        <v>703</v>
      </c>
      <c r="B556" s="27" t="s">
        <v>704</v>
      </c>
    </row>
    <row r="557" spans="1:2" ht="15.75" customHeight="1" x14ac:dyDescent="0.25">
      <c r="A557" s="27" t="s">
        <v>703</v>
      </c>
      <c r="B557" s="27" t="s">
        <v>704</v>
      </c>
    </row>
    <row r="558" spans="1:2" ht="15.75" customHeight="1" x14ac:dyDescent="0.25">
      <c r="A558" s="27" t="s">
        <v>705</v>
      </c>
      <c r="B558" s="27" t="s">
        <v>427</v>
      </c>
    </row>
    <row r="559" spans="1:2" ht="15.75" customHeight="1" x14ac:dyDescent="0.25">
      <c r="A559" s="27" t="s">
        <v>705</v>
      </c>
      <c r="B559" s="27" t="s">
        <v>427</v>
      </c>
    </row>
    <row r="560" spans="1:2" ht="15.75" customHeight="1" x14ac:dyDescent="0.25">
      <c r="A560" s="27" t="s">
        <v>705</v>
      </c>
      <c r="B560" s="27" t="s">
        <v>427</v>
      </c>
    </row>
    <row r="561" spans="1:2" ht="15.75" customHeight="1" x14ac:dyDescent="0.25">
      <c r="A561" s="27" t="s">
        <v>705</v>
      </c>
      <c r="B561" s="27" t="s">
        <v>427</v>
      </c>
    </row>
    <row r="562" spans="1:2" ht="15.75" customHeight="1" x14ac:dyDescent="0.25">
      <c r="A562" s="27" t="s">
        <v>705</v>
      </c>
      <c r="B562" s="27" t="s">
        <v>427</v>
      </c>
    </row>
    <row r="563" spans="1:2" ht="15.75" customHeight="1" x14ac:dyDescent="0.25">
      <c r="A563" s="27" t="s">
        <v>706</v>
      </c>
      <c r="B563" s="27" t="s">
        <v>428</v>
      </c>
    </row>
    <row r="564" spans="1:2" ht="15.75" customHeight="1" x14ac:dyDescent="0.25">
      <c r="A564" s="27" t="s">
        <v>706</v>
      </c>
      <c r="B564" s="27" t="s">
        <v>428</v>
      </c>
    </row>
    <row r="565" spans="1:2" ht="15.75" customHeight="1" x14ac:dyDescent="0.25">
      <c r="A565" s="27" t="s">
        <v>706</v>
      </c>
      <c r="B565" s="27" t="s">
        <v>428</v>
      </c>
    </row>
    <row r="566" spans="1:2" ht="15.75" customHeight="1" x14ac:dyDescent="0.25">
      <c r="A566" s="27" t="s">
        <v>706</v>
      </c>
      <c r="B566" s="27" t="s">
        <v>428</v>
      </c>
    </row>
    <row r="567" spans="1:2" ht="15.75" customHeight="1" x14ac:dyDescent="0.25">
      <c r="A567" s="27" t="s">
        <v>706</v>
      </c>
      <c r="B567" s="27" t="s">
        <v>428</v>
      </c>
    </row>
    <row r="568" spans="1:2" ht="15.75" customHeight="1" x14ac:dyDescent="0.25">
      <c r="A568" s="27" t="s">
        <v>706</v>
      </c>
      <c r="B568" s="27" t="s">
        <v>428</v>
      </c>
    </row>
    <row r="569" spans="1:2" ht="15.75" customHeight="1" x14ac:dyDescent="0.25">
      <c r="A569" s="27" t="s">
        <v>707</v>
      </c>
      <c r="B569" s="27" t="s">
        <v>429</v>
      </c>
    </row>
    <row r="570" spans="1:2" ht="15.75" customHeight="1" x14ac:dyDescent="0.25">
      <c r="A570" s="27" t="s">
        <v>707</v>
      </c>
      <c r="B570" s="27" t="s">
        <v>429</v>
      </c>
    </row>
    <row r="571" spans="1:2" ht="15.75" customHeight="1" x14ac:dyDescent="0.25">
      <c r="A571" s="27" t="s">
        <v>707</v>
      </c>
      <c r="B571" s="27" t="s">
        <v>429</v>
      </c>
    </row>
    <row r="572" spans="1:2" ht="15.75" customHeight="1" x14ac:dyDescent="0.25">
      <c r="A572" s="27" t="s">
        <v>707</v>
      </c>
      <c r="B572" s="27" t="s">
        <v>429</v>
      </c>
    </row>
    <row r="573" spans="1:2" ht="15.75" customHeight="1" x14ac:dyDescent="0.25">
      <c r="A573" s="27" t="s">
        <v>707</v>
      </c>
      <c r="B573" s="27" t="s">
        <v>429</v>
      </c>
    </row>
    <row r="574" spans="1:2" ht="15.75" customHeight="1" x14ac:dyDescent="0.25">
      <c r="A574" s="27" t="s">
        <v>708</v>
      </c>
      <c r="B574" s="27" t="s">
        <v>709</v>
      </c>
    </row>
    <row r="575" spans="1:2" ht="15.75" customHeight="1" x14ac:dyDescent="0.25">
      <c r="A575" s="27" t="s">
        <v>710</v>
      </c>
      <c r="B575" s="27" t="s">
        <v>430</v>
      </c>
    </row>
    <row r="576" spans="1:2" ht="15.75" customHeight="1" x14ac:dyDescent="0.25">
      <c r="A576" s="27" t="s">
        <v>710</v>
      </c>
      <c r="B576" s="27" t="s">
        <v>430</v>
      </c>
    </row>
    <row r="577" spans="1:2" ht="15.75" customHeight="1" x14ac:dyDescent="0.25">
      <c r="A577" s="27" t="s">
        <v>710</v>
      </c>
      <c r="B577" s="27" t="s">
        <v>430</v>
      </c>
    </row>
    <row r="578" spans="1:2" ht="15.75" customHeight="1" x14ac:dyDescent="0.25">
      <c r="A578" s="27" t="s">
        <v>710</v>
      </c>
      <c r="B578" s="27" t="s">
        <v>430</v>
      </c>
    </row>
    <row r="579" spans="1:2" ht="15.75" customHeight="1" x14ac:dyDescent="0.25">
      <c r="A579" s="27" t="s">
        <v>710</v>
      </c>
      <c r="B579" s="27" t="s">
        <v>430</v>
      </c>
    </row>
    <row r="580" spans="1:2" ht="15.75" customHeight="1" x14ac:dyDescent="0.25">
      <c r="A580" s="27" t="s">
        <v>710</v>
      </c>
      <c r="B580" s="27" t="s">
        <v>430</v>
      </c>
    </row>
    <row r="581" spans="1:2" ht="15.75" customHeight="1" x14ac:dyDescent="0.25">
      <c r="A581" s="27" t="s">
        <v>711</v>
      </c>
      <c r="B581" s="27" t="s">
        <v>431</v>
      </c>
    </row>
    <row r="582" spans="1:2" ht="15.75" customHeight="1" x14ac:dyDescent="0.25">
      <c r="A582" s="27" t="s">
        <v>711</v>
      </c>
      <c r="B582" s="27" t="s">
        <v>431</v>
      </c>
    </row>
    <row r="583" spans="1:2" ht="15.75" customHeight="1" x14ac:dyDescent="0.25">
      <c r="A583" s="27" t="s">
        <v>711</v>
      </c>
      <c r="B583" s="27" t="s">
        <v>431</v>
      </c>
    </row>
    <row r="584" spans="1:2" ht="15.75" customHeight="1" x14ac:dyDescent="0.25">
      <c r="A584" s="27" t="s">
        <v>711</v>
      </c>
      <c r="B584" s="27" t="s">
        <v>431</v>
      </c>
    </row>
    <row r="585" spans="1:2" ht="15.75" customHeight="1" x14ac:dyDescent="0.25">
      <c r="A585" s="27" t="s">
        <v>711</v>
      </c>
      <c r="B585" s="27" t="s">
        <v>431</v>
      </c>
    </row>
    <row r="586" spans="1:2" ht="15.75" customHeight="1" x14ac:dyDescent="0.25">
      <c r="A586" s="27" t="s">
        <v>711</v>
      </c>
      <c r="B586" s="27" t="s">
        <v>431</v>
      </c>
    </row>
    <row r="587" spans="1:2" ht="15.75" customHeight="1" x14ac:dyDescent="0.25">
      <c r="A587" s="27" t="s">
        <v>711</v>
      </c>
      <c r="B587" s="27" t="s">
        <v>431</v>
      </c>
    </row>
    <row r="588" spans="1:2" ht="15.75" customHeight="1" x14ac:dyDescent="0.25">
      <c r="A588" s="27" t="s">
        <v>711</v>
      </c>
      <c r="B588" s="27" t="s">
        <v>431</v>
      </c>
    </row>
    <row r="589" spans="1:2" ht="15.75" customHeight="1" x14ac:dyDescent="0.25">
      <c r="A589" s="27" t="s">
        <v>712</v>
      </c>
      <c r="B589" s="27" t="s">
        <v>51</v>
      </c>
    </row>
    <row r="590" spans="1:2" ht="15.75" customHeight="1" x14ac:dyDescent="0.25">
      <c r="A590" s="27" t="s">
        <v>712</v>
      </c>
      <c r="B590" s="27" t="s">
        <v>51</v>
      </c>
    </row>
    <row r="591" spans="1:2" ht="15.75" customHeight="1" x14ac:dyDescent="0.25">
      <c r="A591" s="27" t="s">
        <v>712</v>
      </c>
      <c r="B591" s="27" t="s">
        <v>51</v>
      </c>
    </row>
    <row r="592" spans="1:2" ht="15.75" customHeight="1" x14ac:dyDescent="0.25">
      <c r="A592" s="27" t="s">
        <v>712</v>
      </c>
      <c r="B592" s="27" t="s">
        <v>51</v>
      </c>
    </row>
    <row r="593" spans="1:2" ht="15.75" customHeight="1" x14ac:dyDescent="0.25">
      <c r="A593" s="27" t="s">
        <v>712</v>
      </c>
      <c r="B593" s="27" t="s">
        <v>51</v>
      </c>
    </row>
    <row r="594" spans="1:2" ht="15.75" customHeight="1" x14ac:dyDescent="0.25">
      <c r="A594" s="27" t="s">
        <v>712</v>
      </c>
      <c r="B594" s="27" t="s">
        <v>51</v>
      </c>
    </row>
    <row r="595" spans="1:2" ht="15.75" customHeight="1" x14ac:dyDescent="0.25">
      <c r="A595" s="27" t="s">
        <v>712</v>
      </c>
      <c r="B595" s="27" t="s">
        <v>51</v>
      </c>
    </row>
    <row r="596" spans="1:2" ht="15.75" customHeight="1" x14ac:dyDescent="0.25">
      <c r="A596" s="27" t="s">
        <v>712</v>
      </c>
      <c r="B596" s="27" t="s">
        <v>51</v>
      </c>
    </row>
    <row r="597" spans="1:2" ht="15.75" customHeight="1" x14ac:dyDescent="0.25">
      <c r="A597" s="27" t="s">
        <v>712</v>
      </c>
      <c r="B597" s="27" t="s">
        <v>51</v>
      </c>
    </row>
    <row r="598" spans="1:2" ht="15.75" customHeight="1" x14ac:dyDescent="0.25">
      <c r="A598" s="27" t="s">
        <v>712</v>
      </c>
      <c r="B598" s="27" t="s">
        <v>51</v>
      </c>
    </row>
    <row r="599" spans="1:2" ht="15.75" customHeight="1" x14ac:dyDescent="0.25">
      <c r="A599" s="27" t="s">
        <v>712</v>
      </c>
      <c r="B599" s="27" t="s">
        <v>51</v>
      </c>
    </row>
    <row r="600" spans="1:2" ht="15.75" customHeight="1" x14ac:dyDescent="0.25">
      <c r="A600" s="27" t="s">
        <v>712</v>
      </c>
      <c r="B600" s="27" t="s">
        <v>51</v>
      </c>
    </row>
    <row r="601" spans="1:2" ht="15.75" customHeight="1" x14ac:dyDescent="0.25">
      <c r="A601" s="27" t="s">
        <v>712</v>
      </c>
      <c r="B601" s="27" t="s">
        <v>51</v>
      </c>
    </row>
    <row r="602" spans="1:2" ht="15.75" customHeight="1" x14ac:dyDescent="0.25">
      <c r="A602" s="27" t="s">
        <v>712</v>
      </c>
      <c r="B602" s="27" t="s">
        <v>51</v>
      </c>
    </row>
    <row r="603" spans="1:2" ht="15.75" customHeight="1" x14ac:dyDescent="0.25">
      <c r="A603" s="27" t="s">
        <v>713</v>
      </c>
      <c r="B603" s="27" t="s">
        <v>28</v>
      </c>
    </row>
    <row r="604" spans="1:2" ht="15.75" customHeight="1" x14ac:dyDescent="0.25">
      <c r="A604" s="27" t="s">
        <v>713</v>
      </c>
      <c r="B604" s="27" t="s">
        <v>28</v>
      </c>
    </row>
    <row r="605" spans="1:2" ht="15.75" customHeight="1" x14ac:dyDescent="0.25">
      <c r="A605" s="27" t="s">
        <v>713</v>
      </c>
      <c r="B605" s="27" t="s">
        <v>28</v>
      </c>
    </row>
    <row r="606" spans="1:2" ht="15.75" customHeight="1" x14ac:dyDescent="0.25">
      <c r="A606" s="27" t="s">
        <v>713</v>
      </c>
      <c r="B606" s="27" t="s">
        <v>28</v>
      </c>
    </row>
    <row r="607" spans="1:2" ht="15.75" customHeight="1" x14ac:dyDescent="0.25">
      <c r="A607" s="27" t="s">
        <v>713</v>
      </c>
      <c r="B607" s="27" t="s">
        <v>28</v>
      </c>
    </row>
    <row r="608" spans="1:2" ht="15.75" customHeight="1" x14ac:dyDescent="0.25">
      <c r="A608" s="27" t="s">
        <v>713</v>
      </c>
      <c r="B608" s="27" t="s">
        <v>28</v>
      </c>
    </row>
    <row r="609" spans="1:2" ht="15.75" customHeight="1" x14ac:dyDescent="0.25">
      <c r="A609" s="27" t="s">
        <v>713</v>
      </c>
      <c r="B609" s="27" t="s">
        <v>28</v>
      </c>
    </row>
    <row r="610" spans="1:2" ht="15.75" customHeight="1" x14ac:dyDescent="0.25">
      <c r="A610" s="27" t="s">
        <v>713</v>
      </c>
      <c r="B610" s="27" t="s">
        <v>28</v>
      </c>
    </row>
    <row r="611" spans="1:2" ht="15.75" customHeight="1" x14ac:dyDescent="0.25">
      <c r="A611" s="27" t="s">
        <v>713</v>
      </c>
      <c r="B611" s="27" t="s">
        <v>28</v>
      </c>
    </row>
    <row r="612" spans="1:2" ht="15.75" customHeight="1" x14ac:dyDescent="0.25">
      <c r="A612" s="27" t="s">
        <v>713</v>
      </c>
      <c r="B612" s="27" t="s">
        <v>28</v>
      </c>
    </row>
    <row r="613" spans="1:2" ht="15.75" customHeight="1" x14ac:dyDescent="0.25">
      <c r="A613" s="27" t="s">
        <v>713</v>
      </c>
      <c r="B613" s="27" t="s">
        <v>28</v>
      </c>
    </row>
    <row r="614" spans="1:2" ht="15.75" customHeight="1" x14ac:dyDescent="0.25">
      <c r="A614" s="27" t="s">
        <v>713</v>
      </c>
      <c r="B614" s="27" t="s">
        <v>28</v>
      </c>
    </row>
    <row r="615" spans="1:2" ht="15.75" customHeight="1" x14ac:dyDescent="0.25">
      <c r="A615" s="27" t="s">
        <v>713</v>
      </c>
      <c r="B615" s="27" t="s">
        <v>28</v>
      </c>
    </row>
    <row r="616" spans="1:2" ht="15.75" customHeight="1" x14ac:dyDescent="0.25">
      <c r="A616" s="27" t="s">
        <v>713</v>
      </c>
      <c r="B616" s="27" t="s">
        <v>28</v>
      </c>
    </row>
    <row r="617" spans="1:2" ht="15.75" customHeight="1" x14ac:dyDescent="0.25">
      <c r="A617" s="27" t="s">
        <v>713</v>
      </c>
      <c r="B617" s="27" t="s">
        <v>28</v>
      </c>
    </row>
    <row r="618" spans="1:2" ht="15.75" customHeight="1" x14ac:dyDescent="0.25">
      <c r="A618" s="27" t="s">
        <v>713</v>
      </c>
      <c r="B618" s="27" t="s">
        <v>28</v>
      </c>
    </row>
    <row r="619" spans="1:2" ht="15.75" customHeight="1" x14ac:dyDescent="0.25">
      <c r="A619" s="27" t="s">
        <v>714</v>
      </c>
      <c r="B619" s="27" t="s">
        <v>52</v>
      </c>
    </row>
    <row r="620" spans="1:2" ht="15.75" customHeight="1" x14ac:dyDescent="0.25">
      <c r="A620" s="27" t="s">
        <v>714</v>
      </c>
      <c r="B620" s="27" t="s">
        <v>52</v>
      </c>
    </row>
    <row r="621" spans="1:2" ht="15.75" customHeight="1" x14ac:dyDescent="0.25">
      <c r="A621" s="27" t="s">
        <v>714</v>
      </c>
      <c r="B621" s="27" t="s">
        <v>52</v>
      </c>
    </row>
    <row r="622" spans="1:2" ht="15.75" customHeight="1" x14ac:dyDescent="0.25">
      <c r="A622" s="27" t="s">
        <v>714</v>
      </c>
      <c r="B622" s="27" t="s">
        <v>52</v>
      </c>
    </row>
    <row r="623" spans="1:2" ht="15.75" customHeight="1" x14ac:dyDescent="0.25">
      <c r="A623" s="27" t="s">
        <v>714</v>
      </c>
      <c r="B623" s="27" t="s">
        <v>52</v>
      </c>
    </row>
    <row r="624" spans="1:2" ht="15.75" customHeight="1" x14ac:dyDescent="0.25">
      <c r="A624" s="27" t="s">
        <v>714</v>
      </c>
      <c r="B624" s="27" t="s">
        <v>52</v>
      </c>
    </row>
    <row r="625" spans="1:2" ht="15.75" customHeight="1" x14ac:dyDescent="0.25">
      <c r="A625" s="27" t="s">
        <v>714</v>
      </c>
      <c r="B625" s="27" t="s">
        <v>52</v>
      </c>
    </row>
    <row r="626" spans="1:2" ht="15.75" customHeight="1" x14ac:dyDescent="0.25">
      <c r="A626" s="27" t="s">
        <v>714</v>
      </c>
      <c r="B626" s="27" t="s">
        <v>52</v>
      </c>
    </row>
    <row r="627" spans="1:2" ht="15.75" customHeight="1" x14ac:dyDescent="0.25">
      <c r="A627" s="27" t="s">
        <v>714</v>
      </c>
      <c r="B627" s="27" t="s">
        <v>52</v>
      </c>
    </row>
    <row r="628" spans="1:2" ht="15.75" customHeight="1" x14ac:dyDescent="0.25">
      <c r="A628" s="27" t="s">
        <v>714</v>
      </c>
      <c r="B628" s="27" t="s">
        <v>52</v>
      </c>
    </row>
    <row r="629" spans="1:2" ht="15.75" customHeight="1" x14ac:dyDescent="0.25">
      <c r="A629" s="27" t="s">
        <v>714</v>
      </c>
      <c r="B629" s="27" t="s">
        <v>52</v>
      </c>
    </row>
    <row r="630" spans="1:2" ht="15.75" customHeight="1" x14ac:dyDescent="0.25">
      <c r="A630" s="27" t="s">
        <v>714</v>
      </c>
      <c r="B630" s="27" t="s">
        <v>52</v>
      </c>
    </row>
    <row r="631" spans="1:2" ht="15.75" customHeight="1" x14ac:dyDescent="0.25">
      <c r="A631" s="27" t="s">
        <v>714</v>
      </c>
      <c r="B631" s="27" t="s">
        <v>52</v>
      </c>
    </row>
    <row r="632" spans="1:2" ht="15.75" customHeight="1" x14ac:dyDescent="0.25">
      <c r="A632" s="27" t="s">
        <v>714</v>
      </c>
      <c r="B632" s="27" t="s">
        <v>52</v>
      </c>
    </row>
    <row r="633" spans="1:2" ht="15.75" customHeight="1" x14ac:dyDescent="0.25">
      <c r="A633" s="27" t="s">
        <v>714</v>
      </c>
      <c r="B633" s="27" t="s">
        <v>52</v>
      </c>
    </row>
    <row r="634" spans="1:2" ht="15.75" customHeight="1" x14ac:dyDescent="0.25">
      <c r="A634" s="27" t="s">
        <v>715</v>
      </c>
      <c r="B634" s="27" t="s">
        <v>716</v>
      </c>
    </row>
    <row r="635" spans="1:2" ht="15.75" customHeight="1" x14ac:dyDescent="0.25">
      <c r="A635" s="27" t="s">
        <v>715</v>
      </c>
      <c r="B635" s="27" t="s">
        <v>716</v>
      </c>
    </row>
    <row r="636" spans="1:2" ht="15.75" customHeight="1" x14ac:dyDescent="0.25">
      <c r="A636" s="27" t="s">
        <v>715</v>
      </c>
      <c r="B636" s="27" t="s">
        <v>716</v>
      </c>
    </row>
    <row r="637" spans="1:2" ht="15.75" customHeight="1" x14ac:dyDescent="0.25">
      <c r="A637" s="27" t="s">
        <v>715</v>
      </c>
      <c r="B637" s="27" t="s">
        <v>716</v>
      </c>
    </row>
    <row r="638" spans="1:2" ht="15.75" customHeight="1" x14ac:dyDescent="0.25">
      <c r="A638" s="27" t="s">
        <v>717</v>
      </c>
      <c r="B638" s="27" t="s">
        <v>142</v>
      </c>
    </row>
    <row r="639" spans="1:2" ht="15.75" customHeight="1" x14ac:dyDescent="0.25">
      <c r="A639" s="27" t="s">
        <v>718</v>
      </c>
      <c r="B639" s="27" t="s">
        <v>719</v>
      </c>
    </row>
    <row r="640" spans="1:2" ht="15.75" customHeight="1" x14ac:dyDescent="0.25">
      <c r="A640" s="27" t="s">
        <v>718</v>
      </c>
      <c r="B640" s="27" t="s">
        <v>719</v>
      </c>
    </row>
    <row r="641" spans="1:2" ht="15.75" customHeight="1" x14ac:dyDescent="0.25">
      <c r="A641" s="27" t="s">
        <v>718</v>
      </c>
      <c r="B641" s="27" t="s">
        <v>719</v>
      </c>
    </row>
    <row r="642" spans="1:2" ht="15.75" customHeight="1" x14ac:dyDescent="0.25">
      <c r="A642" s="27" t="s">
        <v>718</v>
      </c>
      <c r="B642" s="27" t="s">
        <v>719</v>
      </c>
    </row>
    <row r="643" spans="1:2" ht="15.75" customHeight="1" x14ac:dyDescent="0.25">
      <c r="A643" s="27" t="s">
        <v>718</v>
      </c>
      <c r="B643" s="27" t="s">
        <v>719</v>
      </c>
    </row>
    <row r="644" spans="1:2" ht="15.75" customHeight="1" x14ac:dyDescent="0.25">
      <c r="A644" s="27" t="s">
        <v>718</v>
      </c>
      <c r="B644" s="27" t="s">
        <v>719</v>
      </c>
    </row>
    <row r="645" spans="1:2" ht="15.75" customHeight="1" x14ac:dyDescent="0.25">
      <c r="A645" s="27" t="s">
        <v>720</v>
      </c>
      <c r="B645" s="27" t="s">
        <v>432</v>
      </c>
    </row>
    <row r="646" spans="1:2" ht="15.75" customHeight="1" x14ac:dyDescent="0.25">
      <c r="A646" s="27" t="s">
        <v>720</v>
      </c>
      <c r="B646" s="27" t="s">
        <v>432</v>
      </c>
    </row>
    <row r="647" spans="1:2" ht="15.75" customHeight="1" x14ac:dyDescent="0.25">
      <c r="A647" s="27" t="s">
        <v>720</v>
      </c>
      <c r="B647" s="27" t="s">
        <v>432</v>
      </c>
    </row>
    <row r="648" spans="1:2" ht="15.75" customHeight="1" x14ac:dyDescent="0.25">
      <c r="A648" s="27" t="s">
        <v>721</v>
      </c>
      <c r="B648" s="27" t="s">
        <v>143</v>
      </c>
    </row>
    <row r="649" spans="1:2" ht="15.75" customHeight="1" x14ac:dyDescent="0.25">
      <c r="A649" s="27" t="s">
        <v>721</v>
      </c>
      <c r="B649" s="27" t="s">
        <v>143</v>
      </c>
    </row>
    <row r="650" spans="1:2" ht="15.75" customHeight="1" x14ac:dyDescent="0.25">
      <c r="A650" s="27" t="s">
        <v>721</v>
      </c>
      <c r="B650" s="27" t="s">
        <v>143</v>
      </c>
    </row>
    <row r="651" spans="1:2" ht="15.75" customHeight="1" x14ac:dyDescent="0.25">
      <c r="A651" s="27" t="s">
        <v>721</v>
      </c>
      <c r="B651" s="27" t="s">
        <v>143</v>
      </c>
    </row>
    <row r="652" spans="1:2" ht="15.75" customHeight="1" x14ac:dyDescent="0.25">
      <c r="A652" s="27" t="s">
        <v>721</v>
      </c>
      <c r="B652" s="27" t="s">
        <v>143</v>
      </c>
    </row>
    <row r="653" spans="1:2" ht="15.75" customHeight="1" x14ac:dyDescent="0.25">
      <c r="A653" s="27" t="s">
        <v>721</v>
      </c>
      <c r="B653" s="27" t="s">
        <v>143</v>
      </c>
    </row>
    <row r="654" spans="1:2" ht="15.75" customHeight="1" x14ac:dyDescent="0.25">
      <c r="A654" s="27" t="s">
        <v>721</v>
      </c>
      <c r="B654" s="27" t="s">
        <v>143</v>
      </c>
    </row>
    <row r="655" spans="1:2" ht="15.75" customHeight="1" x14ac:dyDescent="0.25">
      <c r="A655" s="27" t="s">
        <v>721</v>
      </c>
      <c r="B655" s="27" t="s">
        <v>143</v>
      </c>
    </row>
    <row r="656" spans="1:2" ht="15.75" customHeight="1" x14ac:dyDescent="0.25">
      <c r="A656" s="27" t="s">
        <v>721</v>
      </c>
      <c r="B656" s="27" t="s">
        <v>143</v>
      </c>
    </row>
    <row r="657" spans="1:2" ht="15.75" customHeight="1" x14ac:dyDescent="0.25">
      <c r="A657" s="27" t="s">
        <v>721</v>
      </c>
      <c r="B657" s="27" t="s">
        <v>143</v>
      </c>
    </row>
    <row r="658" spans="1:2" ht="15.75" customHeight="1" x14ac:dyDescent="0.25">
      <c r="A658" s="27" t="s">
        <v>721</v>
      </c>
      <c r="B658" s="27" t="s">
        <v>143</v>
      </c>
    </row>
    <row r="659" spans="1:2" ht="15.75" customHeight="1" x14ac:dyDescent="0.25">
      <c r="A659" s="27" t="s">
        <v>721</v>
      </c>
      <c r="B659" s="27" t="s">
        <v>143</v>
      </c>
    </row>
    <row r="660" spans="1:2" ht="15.75" customHeight="1" x14ac:dyDescent="0.25">
      <c r="A660" s="27" t="s">
        <v>722</v>
      </c>
      <c r="B660" s="27" t="s">
        <v>33</v>
      </c>
    </row>
    <row r="661" spans="1:2" ht="15.75" customHeight="1" x14ac:dyDescent="0.25">
      <c r="A661" s="27" t="s">
        <v>722</v>
      </c>
      <c r="B661" s="27" t="s">
        <v>33</v>
      </c>
    </row>
    <row r="662" spans="1:2" ht="15.75" customHeight="1" x14ac:dyDescent="0.25">
      <c r="A662" s="27" t="s">
        <v>722</v>
      </c>
      <c r="B662" s="27" t="s">
        <v>33</v>
      </c>
    </row>
    <row r="663" spans="1:2" ht="15.75" customHeight="1" x14ac:dyDescent="0.25">
      <c r="A663" s="27" t="s">
        <v>722</v>
      </c>
      <c r="B663" s="27" t="s">
        <v>33</v>
      </c>
    </row>
    <row r="664" spans="1:2" ht="15.75" customHeight="1" x14ac:dyDescent="0.25">
      <c r="A664" s="27" t="s">
        <v>722</v>
      </c>
      <c r="B664" s="27" t="s">
        <v>33</v>
      </c>
    </row>
    <row r="665" spans="1:2" ht="15.75" customHeight="1" x14ac:dyDescent="0.25">
      <c r="A665" s="27" t="s">
        <v>722</v>
      </c>
      <c r="B665" s="27" t="s">
        <v>33</v>
      </c>
    </row>
    <row r="666" spans="1:2" ht="15.75" customHeight="1" x14ac:dyDescent="0.25">
      <c r="A666" s="27" t="s">
        <v>722</v>
      </c>
      <c r="B666" s="27" t="s">
        <v>33</v>
      </c>
    </row>
    <row r="667" spans="1:2" ht="15.75" customHeight="1" x14ac:dyDescent="0.25">
      <c r="A667" s="27" t="s">
        <v>722</v>
      </c>
      <c r="B667" s="27" t="s">
        <v>33</v>
      </c>
    </row>
    <row r="668" spans="1:2" ht="15.75" customHeight="1" x14ac:dyDescent="0.25">
      <c r="A668" s="27" t="s">
        <v>722</v>
      </c>
      <c r="B668" s="27" t="s">
        <v>33</v>
      </c>
    </row>
    <row r="669" spans="1:2" ht="15.75" customHeight="1" x14ac:dyDescent="0.25">
      <c r="A669" s="27" t="s">
        <v>722</v>
      </c>
      <c r="B669" s="27" t="s">
        <v>33</v>
      </c>
    </row>
    <row r="670" spans="1:2" ht="15.75" customHeight="1" x14ac:dyDescent="0.25">
      <c r="A670" s="27" t="s">
        <v>723</v>
      </c>
      <c r="B670" s="27" t="s">
        <v>724</v>
      </c>
    </row>
    <row r="671" spans="1:2" ht="15.75" customHeight="1" x14ac:dyDescent="0.25">
      <c r="A671" s="27" t="s">
        <v>723</v>
      </c>
      <c r="B671" s="27" t="s">
        <v>724</v>
      </c>
    </row>
    <row r="672" spans="1:2" ht="15.75" customHeight="1" x14ac:dyDescent="0.25">
      <c r="A672" s="27" t="s">
        <v>723</v>
      </c>
      <c r="B672" s="27" t="s">
        <v>724</v>
      </c>
    </row>
    <row r="673" spans="1:2" ht="15.75" customHeight="1" x14ac:dyDescent="0.25">
      <c r="A673" s="27" t="s">
        <v>725</v>
      </c>
      <c r="B673" s="27" t="s">
        <v>519</v>
      </c>
    </row>
    <row r="674" spans="1:2" ht="15.75" customHeight="1" x14ac:dyDescent="0.25">
      <c r="A674" s="27" t="s">
        <v>725</v>
      </c>
      <c r="B674" s="27" t="s">
        <v>519</v>
      </c>
    </row>
    <row r="675" spans="1:2" ht="15.75" customHeight="1" x14ac:dyDescent="0.25">
      <c r="A675" s="27" t="s">
        <v>725</v>
      </c>
      <c r="B675" s="27" t="s">
        <v>519</v>
      </c>
    </row>
    <row r="676" spans="1:2" ht="15.75" customHeight="1" x14ac:dyDescent="0.25">
      <c r="A676" s="27" t="s">
        <v>725</v>
      </c>
      <c r="B676" s="27" t="s">
        <v>519</v>
      </c>
    </row>
    <row r="677" spans="1:2" ht="15.75" customHeight="1" x14ac:dyDescent="0.25">
      <c r="A677" s="27" t="s">
        <v>725</v>
      </c>
      <c r="B677" s="27" t="s">
        <v>519</v>
      </c>
    </row>
    <row r="678" spans="1:2" ht="15.75" customHeight="1" x14ac:dyDescent="0.25">
      <c r="A678" s="27" t="s">
        <v>725</v>
      </c>
      <c r="B678" s="27" t="s">
        <v>519</v>
      </c>
    </row>
    <row r="679" spans="1:2" ht="15.75" customHeight="1" x14ac:dyDescent="0.25">
      <c r="A679" s="27" t="s">
        <v>725</v>
      </c>
      <c r="B679" s="27" t="s">
        <v>519</v>
      </c>
    </row>
    <row r="680" spans="1:2" ht="15.75" customHeight="1" x14ac:dyDescent="0.25">
      <c r="A680" s="27" t="s">
        <v>725</v>
      </c>
      <c r="B680" s="27" t="s">
        <v>519</v>
      </c>
    </row>
    <row r="681" spans="1:2" ht="15.75" customHeight="1" x14ac:dyDescent="0.25">
      <c r="A681" s="27" t="s">
        <v>725</v>
      </c>
      <c r="B681" s="27" t="s">
        <v>519</v>
      </c>
    </row>
    <row r="682" spans="1:2" ht="15.75" customHeight="1" x14ac:dyDescent="0.25">
      <c r="A682" s="27" t="s">
        <v>725</v>
      </c>
      <c r="B682" s="27" t="s">
        <v>519</v>
      </c>
    </row>
    <row r="683" spans="1:2" ht="15.75" customHeight="1" x14ac:dyDescent="0.25">
      <c r="A683" s="27" t="s">
        <v>725</v>
      </c>
      <c r="B683" s="27" t="s">
        <v>519</v>
      </c>
    </row>
    <row r="684" spans="1:2" ht="15.75" customHeight="1" x14ac:dyDescent="0.25">
      <c r="A684" s="27" t="s">
        <v>725</v>
      </c>
      <c r="B684" s="27" t="s">
        <v>519</v>
      </c>
    </row>
    <row r="685" spans="1:2" ht="15.75" customHeight="1" x14ac:dyDescent="0.25">
      <c r="A685" s="27" t="s">
        <v>725</v>
      </c>
      <c r="B685" s="27" t="s">
        <v>519</v>
      </c>
    </row>
    <row r="686" spans="1:2" ht="15.75" customHeight="1" x14ac:dyDescent="0.25">
      <c r="A686" s="27" t="s">
        <v>725</v>
      </c>
      <c r="B686" s="27" t="s">
        <v>519</v>
      </c>
    </row>
    <row r="687" spans="1:2" ht="15.75" customHeight="1" x14ac:dyDescent="0.25">
      <c r="A687" s="27" t="s">
        <v>725</v>
      </c>
      <c r="B687" s="27" t="s">
        <v>519</v>
      </c>
    </row>
    <row r="688" spans="1:2" ht="15.75" customHeight="1" x14ac:dyDescent="0.25">
      <c r="A688" s="27" t="s">
        <v>725</v>
      </c>
      <c r="B688" s="27" t="s">
        <v>519</v>
      </c>
    </row>
    <row r="689" spans="1:2" ht="15.75" customHeight="1" x14ac:dyDescent="0.25">
      <c r="A689" s="27" t="s">
        <v>725</v>
      </c>
      <c r="B689" s="27" t="s">
        <v>519</v>
      </c>
    </row>
    <row r="690" spans="1:2" ht="15.75" customHeight="1" x14ac:dyDescent="0.25">
      <c r="A690" s="27" t="s">
        <v>725</v>
      </c>
      <c r="B690" s="27" t="s">
        <v>519</v>
      </c>
    </row>
    <row r="691" spans="1:2" ht="15.75" customHeight="1" x14ac:dyDescent="0.25">
      <c r="A691" s="27" t="s">
        <v>725</v>
      </c>
      <c r="B691" s="27" t="s">
        <v>519</v>
      </c>
    </row>
    <row r="692" spans="1:2" ht="15.75" customHeight="1" x14ac:dyDescent="0.25">
      <c r="A692" s="27" t="s">
        <v>726</v>
      </c>
      <c r="B692" s="27" t="s">
        <v>727</v>
      </c>
    </row>
    <row r="693" spans="1:2" ht="15.75" customHeight="1" x14ac:dyDescent="0.25">
      <c r="A693" s="27" t="s">
        <v>726</v>
      </c>
      <c r="B693" s="27" t="s">
        <v>727</v>
      </c>
    </row>
    <row r="694" spans="1:2" ht="15.75" customHeight="1" x14ac:dyDescent="0.25">
      <c r="A694" s="27" t="s">
        <v>726</v>
      </c>
      <c r="B694" s="27" t="s">
        <v>727</v>
      </c>
    </row>
    <row r="695" spans="1:2" ht="15.75" customHeight="1" x14ac:dyDescent="0.25">
      <c r="A695" s="27" t="s">
        <v>726</v>
      </c>
      <c r="B695" s="27" t="s">
        <v>727</v>
      </c>
    </row>
    <row r="696" spans="1:2" ht="15.75" customHeight="1" x14ac:dyDescent="0.25">
      <c r="A696" s="27" t="s">
        <v>728</v>
      </c>
      <c r="B696" s="27" t="s">
        <v>518</v>
      </c>
    </row>
    <row r="697" spans="1:2" ht="15.75" customHeight="1" x14ac:dyDescent="0.25">
      <c r="A697" s="27" t="s">
        <v>728</v>
      </c>
      <c r="B697" s="27" t="s">
        <v>518</v>
      </c>
    </row>
    <row r="698" spans="1:2" ht="15.75" customHeight="1" x14ac:dyDescent="0.25">
      <c r="A698" s="27" t="s">
        <v>728</v>
      </c>
      <c r="B698" s="27" t="s">
        <v>518</v>
      </c>
    </row>
    <row r="699" spans="1:2" ht="15.75" customHeight="1" x14ac:dyDescent="0.25">
      <c r="A699" s="27" t="s">
        <v>728</v>
      </c>
      <c r="B699" s="27" t="s">
        <v>518</v>
      </c>
    </row>
    <row r="700" spans="1:2" ht="15.75" customHeight="1" x14ac:dyDescent="0.25">
      <c r="A700" s="27" t="s">
        <v>729</v>
      </c>
      <c r="B700" s="27" t="s">
        <v>144</v>
      </c>
    </row>
    <row r="701" spans="1:2" ht="15.75" customHeight="1" x14ac:dyDescent="0.25">
      <c r="A701" s="27" t="s">
        <v>729</v>
      </c>
      <c r="B701" s="27" t="s">
        <v>144</v>
      </c>
    </row>
    <row r="702" spans="1:2" ht="15.75" customHeight="1" x14ac:dyDescent="0.25">
      <c r="A702" s="27" t="s">
        <v>729</v>
      </c>
      <c r="B702" s="27" t="s">
        <v>144</v>
      </c>
    </row>
    <row r="703" spans="1:2" ht="15.75" customHeight="1" x14ac:dyDescent="0.25">
      <c r="A703" s="27" t="s">
        <v>729</v>
      </c>
      <c r="B703" s="27" t="s">
        <v>144</v>
      </c>
    </row>
    <row r="704" spans="1:2" ht="15.75" customHeight="1" x14ac:dyDescent="0.25">
      <c r="A704" s="27" t="s">
        <v>729</v>
      </c>
      <c r="B704" s="27" t="s">
        <v>144</v>
      </c>
    </row>
    <row r="705" spans="1:2" ht="15.75" customHeight="1" x14ac:dyDescent="0.25">
      <c r="A705" s="27" t="s">
        <v>729</v>
      </c>
      <c r="B705" s="27" t="s">
        <v>144</v>
      </c>
    </row>
    <row r="706" spans="1:2" ht="15.75" customHeight="1" x14ac:dyDescent="0.25">
      <c r="A706" s="27" t="s">
        <v>729</v>
      </c>
      <c r="B706" s="27" t="s">
        <v>144</v>
      </c>
    </row>
    <row r="707" spans="1:2" ht="15.75" customHeight="1" x14ac:dyDescent="0.25">
      <c r="A707" s="27" t="s">
        <v>729</v>
      </c>
      <c r="B707" s="27" t="s">
        <v>144</v>
      </c>
    </row>
    <row r="708" spans="1:2" ht="15.75" customHeight="1" x14ac:dyDescent="0.25">
      <c r="A708" s="27" t="s">
        <v>729</v>
      </c>
      <c r="B708" s="27" t="s">
        <v>144</v>
      </c>
    </row>
    <row r="709" spans="1:2" ht="15.75" customHeight="1" x14ac:dyDescent="0.25">
      <c r="A709" s="27" t="s">
        <v>729</v>
      </c>
      <c r="B709" s="27" t="s">
        <v>144</v>
      </c>
    </row>
    <row r="710" spans="1:2" ht="15.75" customHeight="1" x14ac:dyDescent="0.25">
      <c r="A710" s="27" t="s">
        <v>729</v>
      </c>
      <c r="B710" s="27" t="s">
        <v>144</v>
      </c>
    </row>
    <row r="711" spans="1:2" ht="15.75" customHeight="1" x14ac:dyDescent="0.25">
      <c r="A711" s="27" t="s">
        <v>729</v>
      </c>
      <c r="B711" s="27" t="s">
        <v>144</v>
      </c>
    </row>
    <row r="712" spans="1:2" ht="15.75" customHeight="1" x14ac:dyDescent="0.25">
      <c r="A712" s="27" t="s">
        <v>729</v>
      </c>
      <c r="B712" s="27" t="s">
        <v>144</v>
      </c>
    </row>
    <row r="713" spans="1:2" ht="15.75" customHeight="1" x14ac:dyDescent="0.25">
      <c r="A713" s="27" t="s">
        <v>729</v>
      </c>
      <c r="B713" s="27" t="s">
        <v>144</v>
      </c>
    </row>
    <row r="714" spans="1:2" ht="15.75" customHeight="1" x14ac:dyDescent="0.25">
      <c r="A714" s="27" t="s">
        <v>729</v>
      </c>
      <c r="B714" s="27" t="s">
        <v>144</v>
      </c>
    </row>
    <row r="715" spans="1:2" ht="15.75" customHeight="1" x14ac:dyDescent="0.25">
      <c r="A715" s="27" t="s">
        <v>729</v>
      </c>
      <c r="B715" s="27" t="s">
        <v>144</v>
      </c>
    </row>
    <row r="716" spans="1:2" ht="15.75" customHeight="1" x14ac:dyDescent="0.25">
      <c r="A716" s="27" t="s">
        <v>729</v>
      </c>
      <c r="B716" s="27" t="s">
        <v>144</v>
      </c>
    </row>
    <row r="717" spans="1:2" ht="15.75" customHeight="1" x14ac:dyDescent="0.25">
      <c r="A717" s="27" t="s">
        <v>729</v>
      </c>
      <c r="B717" s="27" t="s">
        <v>144</v>
      </c>
    </row>
    <row r="718" spans="1:2" ht="15.75" customHeight="1" x14ac:dyDescent="0.25">
      <c r="A718" s="27" t="s">
        <v>729</v>
      </c>
      <c r="B718" s="27" t="s">
        <v>144</v>
      </c>
    </row>
    <row r="719" spans="1:2" ht="15.75" customHeight="1" x14ac:dyDescent="0.25">
      <c r="A719" s="27" t="s">
        <v>729</v>
      </c>
      <c r="B719" s="27" t="s">
        <v>144</v>
      </c>
    </row>
    <row r="720" spans="1:2" ht="15.75" customHeight="1" x14ac:dyDescent="0.25">
      <c r="A720" s="27" t="s">
        <v>729</v>
      </c>
      <c r="B720" s="27" t="s">
        <v>144</v>
      </c>
    </row>
    <row r="721" spans="1:2" ht="15.75" customHeight="1" x14ac:dyDescent="0.25">
      <c r="A721" s="27" t="s">
        <v>729</v>
      </c>
      <c r="B721" s="27" t="s">
        <v>144</v>
      </c>
    </row>
    <row r="722" spans="1:2" ht="15.75" customHeight="1" x14ac:dyDescent="0.25">
      <c r="A722" s="27" t="s">
        <v>729</v>
      </c>
      <c r="B722" s="27" t="s">
        <v>144</v>
      </c>
    </row>
    <row r="723" spans="1:2" ht="15.75" customHeight="1" x14ac:dyDescent="0.25">
      <c r="A723" s="27" t="s">
        <v>729</v>
      </c>
      <c r="B723" s="27" t="s">
        <v>144</v>
      </c>
    </row>
    <row r="724" spans="1:2" ht="15.75" customHeight="1" x14ac:dyDescent="0.25">
      <c r="A724" s="27" t="s">
        <v>729</v>
      </c>
      <c r="B724" s="27" t="s">
        <v>144</v>
      </c>
    </row>
    <row r="725" spans="1:2" ht="15.75" customHeight="1" x14ac:dyDescent="0.25">
      <c r="A725" s="27" t="s">
        <v>729</v>
      </c>
      <c r="B725" s="27" t="s">
        <v>144</v>
      </c>
    </row>
    <row r="726" spans="1:2" ht="15.75" customHeight="1" x14ac:dyDescent="0.25">
      <c r="A726" s="27" t="s">
        <v>729</v>
      </c>
      <c r="B726" s="27" t="s">
        <v>144</v>
      </c>
    </row>
    <row r="727" spans="1:2" ht="15.75" customHeight="1" x14ac:dyDescent="0.25">
      <c r="A727" s="27" t="s">
        <v>729</v>
      </c>
      <c r="B727" s="27" t="s">
        <v>144</v>
      </c>
    </row>
    <row r="728" spans="1:2" ht="15.75" customHeight="1" x14ac:dyDescent="0.25">
      <c r="A728" s="27" t="s">
        <v>729</v>
      </c>
      <c r="B728" s="27" t="s">
        <v>144</v>
      </c>
    </row>
    <row r="729" spans="1:2" ht="15.75" customHeight="1" x14ac:dyDescent="0.25">
      <c r="A729" s="27" t="s">
        <v>729</v>
      </c>
      <c r="B729" s="27" t="s">
        <v>144</v>
      </c>
    </row>
    <row r="730" spans="1:2" ht="15.75" customHeight="1" x14ac:dyDescent="0.25">
      <c r="A730" s="27" t="s">
        <v>729</v>
      </c>
      <c r="B730" s="27" t="s">
        <v>144</v>
      </c>
    </row>
    <row r="731" spans="1:2" ht="15.75" customHeight="1" x14ac:dyDescent="0.25">
      <c r="A731" s="27" t="s">
        <v>729</v>
      </c>
      <c r="B731" s="27" t="s">
        <v>144</v>
      </c>
    </row>
    <row r="732" spans="1:2" ht="15.75" customHeight="1" x14ac:dyDescent="0.25">
      <c r="A732" s="27" t="s">
        <v>729</v>
      </c>
      <c r="B732" s="27" t="s">
        <v>144</v>
      </c>
    </row>
    <row r="733" spans="1:2" ht="15.75" customHeight="1" x14ac:dyDescent="0.25">
      <c r="A733" s="27" t="s">
        <v>729</v>
      </c>
      <c r="B733" s="27" t="s">
        <v>144</v>
      </c>
    </row>
    <row r="734" spans="1:2" ht="15.75" customHeight="1" x14ac:dyDescent="0.25">
      <c r="A734" s="27" t="s">
        <v>729</v>
      </c>
      <c r="B734" s="27" t="s">
        <v>144</v>
      </c>
    </row>
    <row r="735" spans="1:2" ht="15.75" customHeight="1" x14ac:dyDescent="0.25">
      <c r="A735" s="27" t="s">
        <v>729</v>
      </c>
      <c r="B735" s="27" t="s">
        <v>144</v>
      </c>
    </row>
    <row r="736" spans="1:2" ht="15.75" customHeight="1" x14ac:dyDescent="0.25">
      <c r="A736" s="27" t="s">
        <v>729</v>
      </c>
      <c r="B736" s="27" t="s">
        <v>144</v>
      </c>
    </row>
    <row r="737" spans="1:2" ht="15.75" customHeight="1" x14ac:dyDescent="0.25">
      <c r="A737" s="27" t="s">
        <v>729</v>
      </c>
      <c r="B737" s="27" t="s">
        <v>144</v>
      </c>
    </row>
    <row r="738" spans="1:2" ht="15.75" customHeight="1" x14ac:dyDescent="0.25">
      <c r="A738" s="27" t="s">
        <v>729</v>
      </c>
      <c r="B738" s="27" t="s">
        <v>144</v>
      </c>
    </row>
    <row r="739" spans="1:2" ht="15.75" customHeight="1" x14ac:dyDescent="0.25">
      <c r="A739" s="27" t="s">
        <v>729</v>
      </c>
      <c r="B739" s="27" t="s">
        <v>144</v>
      </c>
    </row>
    <row r="740" spans="1:2" ht="15.75" customHeight="1" x14ac:dyDescent="0.25">
      <c r="A740" s="27" t="s">
        <v>729</v>
      </c>
      <c r="B740" s="27" t="s">
        <v>144</v>
      </c>
    </row>
    <row r="741" spans="1:2" ht="15.75" customHeight="1" x14ac:dyDescent="0.25">
      <c r="A741" s="27" t="s">
        <v>730</v>
      </c>
      <c r="B741" s="27" t="s">
        <v>144</v>
      </c>
    </row>
    <row r="742" spans="1:2" ht="15.75" customHeight="1" x14ac:dyDescent="0.25">
      <c r="A742" s="27" t="s">
        <v>730</v>
      </c>
      <c r="B742" s="27" t="s">
        <v>144</v>
      </c>
    </row>
    <row r="743" spans="1:2" ht="15.75" customHeight="1" x14ac:dyDescent="0.25">
      <c r="A743" s="27" t="s">
        <v>729</v>
      </c>
      <c r="B743" s="27" t="s">
        <v>144</v>
      </c>
    </row>
    <row r="744" spans="1:2" ht="15.75" customHeight="1" x14ac:dyDescent="0.25">
      <c r="A744" s="27" t="s">
        <v>729</v>
      </c>
      <c r="B744" s="27" t="s">
        <v>144</v>
      </c>
    </row>
    <row r="745" spans="1:2" ht="15.75" customHeight="1" x14ac:dyDescent="0.25">
      <c r="A745" s="27" t="s">
        <v>729</v>
      </c>
      <c r="B745" s="27" t="s">
        <v>144</v>
      </c>
    </row>
    <row r="746" spans="1:2" ht="15.75" customHeight="1" x14ac:dyDescent="0.25">
      <c r="A746" s="27" t="s">
        <v>729</v>
      </c>
      <c r="B746" s="27" t="s">
        <v>144</v>
      </c>
    </row>
    <row r="747" spans="1:2" ht="15.75" customHeight="1" x14ac:dyDescent="0.25">
      <c r="A747" s="27" t="s">
        <v>729</v>
      </c>
      <c r="B747" s="27" t="s">
        <v>144</v>
      </c>
    </row>
    <row r="748" spans="1:2" ht="15.75" customHeight="1" x14ac:dyDescent="0.25">
      <c r="A748" s="27" t="s">
        <v>729</v>
      </c>
      <c r="B748" s="27" t="s">
        <v>144</v>
      </c>
    </row>
    <row r="749" spans="1:2" ht="15.75" customHeight="1" x14ac:dyDescent="0.25">
      <c r="A749" s="27" t="s">
        <v>729</v>
      </c>
      <c r="B749" s="27" t="s">
        <v>144</v>
      </c>
    </row>
    <row r="750" spans="1:2" ht="15.75" customHeight="1" x14ac:dyDescent="0.25">
      <c r="A750" s="27" t="s">
        <v>729</v>
      </c>
      <c r="B750" s="27" t="s">
        <v>144</v>
      </c>
    </row>
    <row r="751" spans="1:2" ht="15.75" customHeight="1" x14ac:dyDescent="0.25">
      <c r="A751" s="27" t="s">
        <v>729</v>
      </c>
      <c r="B751" s="27" t="s">
        <v>144</v>
      </c>
    </row>
    <row r="752" spans="1:2" ht="15.75" customHeight="1" x14ac:dyDescent="0.25">
      <c r="A752" s="27" t="s">
        <v>729</v>
      </c>
      <c r="B752" s="27" t="s">
        <v>144</v>
      </c>
    </row>
    <row r="753" spans="1:2" ht="15.75" customHeight="1" x14ac:dyDescent="0.25">
      <c r="A753" s="27" t="s">
        <v>729</v>
      </c>
      <c r="B753" s="27" t="s">
        <v>144</v>
      </c>
    </row>
    <row r="754" spans="1:2" ht="15.75" customHeight="1" x14ac:dyDescent="0.25">
      <c r="A754" s="27" t="s">
        <v>729</v>
      </c>
      <c r="B754" s="27" t="s">
        <v>144</v>
      </c>
    </row>
    <row r="755" spans="1:2" ht="15.75" customHeight="1" x14ac:dyDescent="0.25">
      <c r="A755" s="27" t="s">
        <v>729</v>
      </c>
      <c r="B755" s="27" t="s">
        <v>144</v>
      </c>
    </row>
    <row r="756" spans="1:2" ht="15.75" customHeight="1" x14ac:dyDescent="0.25">
      <c r="A756" s="27" t="s">
        <v>729</v>
      </c>
      <c r="B756" s="27" t="s">
        <v>144</v>
      </c>
    </row>
    <row r="757" spans="1:2" ht="15.75" customHeight="1" x14ac:dyDescent="0.25">
      <c r="A757" s="27" t="s">
        <v>729</v>
      </c>
      <c r="B757" s="27" t="s">
        <v>144</v>
      </c>
    </row>
    <row r="758" spans="1:2" ht="15.75" customHeight="1" x14ac:dyDescent="0.25">
      <c r="A758" s="27" t="s">
        <v>729</v>
      </c>
      <c r="B758" s="27" t="s">
        <v>144</v>
      </c>
    </row>
    <row r="759" spans="1:2" ht="15.75" customHeight="1" x14ac:dyDescent="0.25">
      <c r="A759" s="27" t="s">
        <v>729</v>
      </c>
      <c r="B759" s="27" t="s">
        <v>144</v>
      </c>
    </row>
    <row r="760" spans="1:2" ht="15.75" customHeight="1" x14ac:dyDescent="0.25">
      <c r="A760" s="27" t="s">
        <v>729</v>
      </c>
      <c r="B760" s="27" t="s">
        <v>144</v>
      </c>
    </row>
    <row r="761" spans="1:2" ht="15.75" customHeight="1" x14ac:dyDescent="0.25">
      <c r="A761" s="27" t="s">
        <v>729</v>
      </c>
      <c r="B761" s="27" t="s">
        <v>144</v>
      </c>
    </row>
    <row r="762" spans="1:2" ht="15.75" customHeight="1" x14ac:dyDescent="0.25">
      <c r="A762" s="27" t="s">
        <v>729</v>
      </c>
      <c r="B762" s="27" t="s">
        <v>144</v>
      </c>
    </row>
    <row r="763" spans="1:2" ht="15.75" customHeight="1" x14ac:dyDescent="0.25">
      <c r="A763" s="27" t="s">
        <v>729</v>
      </c>
      <c r="B763" s="27" t="s">
        <v>144</v>
      </c>
    </row>
    <row r="764" spans="1:2" ht="15.75" customHeight="1" x14ac:dyDescent="0.25">
      <c r="A764" s="27" t="s">
        <v>729</v>
      </c>
      <c r="B764" s="27" t="s">
        <v>144</v>
      </c>
    </row>
    <row r="765" spans="1:2" ht="15.75" customHeight="1" x14ac:dyDescent="0.25">
      <c r="A765" s="27" t="s">
        <v>729</v>
      </c>
      <c r="B765" s="27" t="s">
        <v>144</v>
      </c>
    </row>
    <row r="766" spans="1:2" ht="15.75" customHeight="1" x14ac:dyDescent="0.25">
      <c r="A766" s="27" t="s">
        <v>729</v>
      </c>
      <c r="B766" s="27" t="s">
        <v>144</v>
      </c>
    </row>
    <row r="767" spans="1:2" ht="15.75" customHeight="1" x14ac:dyDescent="0.25">
      <c r="A767" s="27" t="s">
        <v>731</v>
      </c>
      <c r="B767" s="27" t="s">
        <v>145</v>
      </c>
    </row>
    <row r="768" spans="1:2" ht="15.75" customHeight="1" x14ac:dyDescent="0.25">
      <c r="A768" s="27" t="s">
        <v>731</v>
      </c>
      <c r="B768" s="27" t="s">
        <v>145</v>
      </c>
    </row>
    <row r="769" spans="1:2" ht="15.75" customHeight="1" x14ac:dyDescent="0.25">
      <c r="A769" s="27" t="s">
        <v>731</v>
      </c>
      <c r="B769" s="27" t="s">
        <v>145</v>
      </c>
    </row>
    <row r="770" spans="1:2" ht="15.75" customHeight="1" x14ac:dyDescent="0.25">
      <c r="A770" s="27" t="s">
        <v>731</v>
      </c>
      <c r="B770" s="27" t="s">
        <v>145</v>
      </c>
    </row>
    <row r="771" spans="1:2" ht="15.75" customHeight="1" x14ac:dyDescent="0.25">
      <c r="A771" s="27" t="s">
        <v>731</v>
      </c>
      <c r="B771" s="27" t="s">
        <v>145</v>
      </c>
    </row>
    <row r="772" spans="1:2" ht="15.75" customHeight="1" x14ac:dyDescent="0.25">
      <c r="A772" s="27" t="s">
        <v>731</v>
      </c>
      <c r="B772" s="27" t="s">
        <v>145</v>
      </c>
    </row>
    <row r="773" spans="1:2" ht="15.75" customHeight="1" x14ac:dyDescent="0.25">
      <c r="A773" s="27" t="s">
        <v>731</v>
      </c>
      <c r="B773" s="27" t="s">
        <v>145</v>
      </c>
    </row>
    <row r="774" spans="1:2" ht="15.75" customHeight="1" x14ac:dyDescent="0.25">
      <c r="A774" s="27" t="s">
        <v>731</v>
      </c>
      <c r="B774" s="27" t="s">
        <v>145</v>
      </c>
    </row>
    <row r="775" spans="1:2" ht="15.75" customHeight="1" x14ac:dyDescent="0.25">
      <c r="A775" s="27" t="s">
        <v>731</v>
      </c>
      <c r="B775" s="27" t="s">
        <v>145</v>
      </c>
    </row>
    <row r="776" spans="1:2" ht="15.75" customHeight="1" x14ac:dyDescent="0.25">
      <c r="A776" s="27" t="s">
        <v>731</v>
      </c>
      <c r="B776" s="27" t="s">
        <v>145</v>
      </c>
    </row>
    <row r="777" spans="1:2" ht="15.75" customHeight="1" x14ac:dyDescent="0.25">
      <c r="A777" s="27" t="s">
        <v>731</v>
      </c>
      <c r="B777" s="27" t="s">
        <v>145</v>
      </c>
    </row>
    <row r="778" spans="1:2" ht="15.75" customHeight="1" x14ac:dyDescent="0.25">
      <c r="A778" s="27" t="s">
        <v>731</v>
      </c>
      <c r="B778" s="27" t="s">
        <v>145</v>
      </c>
    </row>
    <row r="779" spans="1:2" ht="15.75" customHeight="1" x14ac:dyDescent="0.25">
      <c r="A779" s="27" t="s">
        <v>731</v>
      </c>
      <c r="B779" s="27" t="s">
        <v>145</v>
      </c>
    </row>
    <row r="780" spans="1:2" ht="15.75" customHeight="1" x14ac:dyDescent="0.25">
      <c r="A780" s="27" t="s">
        <v>731</v>
      </c>
      <c r="B780" s="27" t="s">
        <v>145</v>
      </c>
    </row>
    <row r="781" spans="1:2" ht="15.75" customHeight="1" x14ac:dyDescent="0.25">
      <c r="A781" s="27" t="s">
        <v>731</v>
      </c>
      <c r="B781" s="27" t="s">
        <v>145</v>
      </c>
    </row>
    <row r="782" spans="1:2" ht="15.75" customHeight="1" x14ac:dyDescent="0.25">
      <c r="A782" s="27" t="s">
        <v>732</v>
      </c>
      <c r="B782" s="27" t="s">
        <v>733</v>
      </c>
    </row>
    <row r="783" spans="1:2" ht="15.75" customHeight="1" x14ac:dyDescent="0.25">
      <c r="A783" s="27" t="s">
        <v>732</v>
      </c>
      <c r="B783" s="27" t="s">
        <v>733</v>
      </c>
    </row>
    <row r="784" spans="1:2" ht="15.75" customHeight="1" x14ac:dyDescent="0.25">
      <c r="A784" s="27" t="s">
        <v>734</v>
      </c>
      <c r="B784" s="27" t="s">
        <v>439</v>
      </c>
    </row>
    <row r="785" spans="1:2" ht="15.75" customHeight="1" x14ac:dyDescent="0.25">
      <c r="A785" s="27" t="s">
        <v>734</v>
      </c>
      <c r="B785" s="27" t="s">
        <v>439</v>
      </c>
    </row>
    <row r="786" spans="1:2" ht="15.75" customHeight="1" x14ac:dyDescent="0.25">
      <c r="A786" s="27" t="s">
        <v>735</v>
      </c>
      <c r="B786" s="27" t="s">
        <v>736</v>
      </c>
    </row>
    <row r="787" spans="1:2" ht="15.75" customHeight="1" x14ac:dyDescent="0.25">
      <c r="A787" s="27" t="s">
        <v>735</v>
      </c>
      <c r="B787" s="27" t="s">
        <v>736</v>
      </c>
    </row>
    <row r="788" spans="1:2" ht="15.75" customHeight="1" x14ac:dyDescent="0.25">
      <c r="A788" s="27" t="s">
        <v>735</v>
      </c>
      <c r="B788" s="27" t="s">
        <v>736</v>
      </c>
    </row>
    <row r="789" spans="1:2" ht="15.75" customHeight="1" x14ac:dyDescent="0.25">
      <c r="A789" s="27" t="s">
        <v>737</v>
      </c>
      <c r="B789" s="27" t="s">
        <v>440</v>
      </c>
    </row>
    <row r="790" spans="1:2" ht="15.75" customHeight="1" x14ac:dyDescent="0.25">
      <c r="A790" s="27" t="s">
        <v>737</v>
      </c>
      <c r="B790" s="27" t="s">
        <v>440</v>
      </c>
    </row>
    <row r="791" spans="1:2" ht="15.75" customHeight="1" x14ac:dyDescent="0.25">
      <c r="A791" s="27" t="s">
        <v>737</v>
      </c>
      <c r="B791" s="27" t="s">
        <v>440</v>
      </c>
    </row>
    <row r="792" spans="1:2" ht="15.75" customHeight="1" x14ac:dyDescent="0.25">
      <c r="A792" s="27" t="s">
        <v>738</v>
      </c>
      <c r="B792" s="27" t="s">
        <v>102</v>
      </c>
    </row>
    <row r="793" spans="1:2" ht="15.75" customHeight="1" x14ac:dyDescent="0.25">
      <c r="A793" s="27" t="s">
        <v>738</v>
      </c>
      <c r="B793" s="27" t="s">
        <v>102</v>
      </c>
    </row>
    <row r="794" spans="1:2" ht="15.75" customHeight="1" x14ac:dyDescent="0.25">
      <c r="A794" s="27" t="s">
        <v>738</v>
      </c>
      <c r="B794" s="27" t="s">
        <v>102</v>
      </c>
    </row>
    <row r="795" spans="1:2" ht="15.75" customHeight="1" x14ac:dyDescent="0.25">
      <c r="A795" s="27" t="s">
        <v>738</v>
      </c>
      <c r="B795" s="27" t="s">
        <v>102</v>
      </c>
    </row>
    <row r="796" spans="1:2" ht="15.75" customHeight="1" x14ac:dyDescent="0.25">
      <c r="A796" s="27" t="s">
        <v>738</v>
      </c>
      <c r="B796" s="27" t="s">
        <v>102</v>
      </c>
    </row>
    <row r="797" spans="1:2" ht="15.75" customHeight="1" x14ac:dyDescent="0.25">
      <c r="A797" s="27" t="s">
        <v>738</v>
      </c>
      <c r="B797" s="27" t="s">
        <v>102</v>
      </c>
    </row>
    <row r="798" spans="1:2" ht="15.75" customHeight="1" x14ac:dyDescent="0.25">
      <c r="A798" s="27" t="s">
        <v>738</v>
      </c>
      <c r="B798" s="27" t="s">
        <v>102</v>
      </c>
    </row>
    <row r="799" spans="1:2" ht="15.75" customHeight="1" x14ac:dyDescent="0.25">
      <c r="A799" s="27" t="s">
        <v>738</v>
      </c>
      <c r="B799" s="27" t="s">
        <v>102</v>
      </c>
    </row>
    <row r="800" spans="1:2" ht="15.75" customHeight="1" x14ac:dyDescent="0.25">
      <c r="A800" s="27" t="s">
        <v>738</v>
      </c>
      <c r="B800" s="27" t="s">
        <v>102</v>
      </c>
    </row>
    <row r="801" spans="1:2" ht="15.75" customHeight="1" x14ac:dyDescent="0.25">
      <c r="A801" s="27" t="s">
        <v>738</v>
      </c>
      <c r="B801" s="27" t="s">
        <v>102</v>
      </c>
    </row>
    <row r="802" spans="1:2" ht="15.75" customHeight="1" x14ac:dyDescent="0.25">
      <c r="A802" s="27" t="s">
        <v>738</v>
      </c>
      <c r="B802" s="27" t="s">
        <v>102</v>
      </c>
    </row>
    <row r="803" spans="1:2" ht="15.75" customHeight="1" x14ac:dyDescent="0.25">
      <c r="A803" s="27" t="s">
        <v>738</v>
      </c>
      <c r="B803" s="27" t="s">
        <v>102</v>
      </c>
    </row>
    <row r="804" spans="1:2" ht="15.75" customHeight="1" x14ac:dyDescent="0.25">
      <c r="A804" s="27" t="s">
        <v>738</v>
      </c>
      <c r="B804" s="27" t="s">
        <v>102</v>
      </c>
    </row>
    <row r="805" spans="1:2" ht="15.75" customHeight="1" x14ac:dyDescent="0.25">
      <c r="A805" s="27" t="s">
        <v>738</v>
      </c>
      <c r="B805" s="27" t="s">
        <v>102</v>
      </c>
    </row>
    <row r="806" spans="1:2" ht="15.75" customHeight="1" x14ac:dyDescent="0.25">
      <c r="A806" s="27" t="s">
        <v>738</v>
      </c>
      <c r="B806" s="27" t="s">
        <v>102</v>
      </c>
    </row>
    <row r="807" spans="1:2" ht="15.75" customHeight="1" x14ac:dyDescent="0.25">
      <c r="A807" s="27" t="s">
        <v>738</v>
      </c>
      <c r="B807" s="27" t="s">
        <v>102</v>
      </c>
    </row>
    <row r="808" spans="1:2" ht="15.75" customHeight="1" x14ac:dyDescent="0.25">
      <c r="A808" s="27" t="s">
        <v>738</v>
      </c>
      <c r="B808" s="27" t="s">
        <v>102</v>
      </c>
    </row>
    <row r="809" spans="1:2" ht="15.75" customHeight="1" x14ac:dyDescent="0.25">
      <c r="A809" s="27" t="s">
        <v>738</v>
      </c>
      <c r="B809" s="27" t="s">
        <v>102</v>
      </c>
    </row>
    <row r="810" spans="1:2" ht="15.75" customHeight="1" x14ac:dyDescent="0.25">
      <c r="A810" s="27" t="s">
        <v>738</v>
      </c>
      <c r="B810" s="27" t="s">
        <v>102</v>
      </c>
    </row>
    <row r="811" spans="1:2" ht="15.75" customHeight="1" x14ac:dyDescent="0.25">
      <c r="A811" s="27" t="s">
        <v>739</v>
      </c>
      <c r="B811" s="27" t="s">
        <v>271</v>
      </c>
    </row>
    <row r="812" spans="1:2" ht="15.75" customHeight="1" x14ac:dyDescent="0.25">
      <c r="A812" s="27" t="s">
        <v>739</v>
      </c>
      <c r="B812" s="27" t="s">
        <v>271</v>
      </c>
    </row>
    <row r="813" spans="1:2" ht="15.75" customHeight="1" x14ac:dyDescent="0.25">
      <c r="A813" s="27" t="s">
        <v>739</v>
      </c>
      <c r="B813" s="27" t="s">
        <v>271</v>
      </c>
    </row>
    <row r="814" spans="1:2" ht="15.75" customHeight="1" x14ac:dyDescent="0.25">
      <c r="A814" s="27" t="s">
        <v>739</v>
      </c>
      <c r="B814" s="27" t="s">
        <v>271</v>
      </c>
    </row>
    <row r="815" spans="1:2" ht="15.75" customHeight="1" x14ac:dyDescent="0.25">
      <c r="A815" s="27" t="s">
        <v>739</v>
      </c>
      <c r="B815" s="27" t="s">
        <v>271</v>
      </c>
    </row>
    <row r="816" spans="1:2" ht="15.75" customHeight="1" x14ac:dyDescent="0.25">
      <c r="A816" s="27" t="s">
        <v>739</v>
      </c>
      <c r="B816" s="27" t="s">
        <v>271</v>
      </c>
    </row>
    <row r="817" spans="1:2" ht="15.75" customHeight="1" x14ac:dyDescent="0.25">
      <c r="A817" s="27" t="s">
        <v>740</v>
      </c>
      <c r="B817" s="27" t="s">
        <v>103</v>
      </c>
    </row>
    <row r="818" spans="1:2" ht="15.75" customHeight="1" x14ac:dyDescent="0.25">
      <c r="A818" s="27" t="s">
        <v>740</v>
      </c>
      <c r="B818" s="27" t="s">
        <v>103</v>
      </c>
    </row>
    <row r="819" spans="1:2" ht="15.75" customHeight="1" x14ac:dyDescent="0.25">
      <c r="A819" s="27" t="s">
        <v>740</v>
      </c>
      <c r="B819" s="27" t="s">
        <v>103</v>
      </c>
    </row>
    <row r="820" spans="1:2" ht="15.75" customHeight="1" x14ac:dyDescent="0.25">
      <c r="A820" s="27" t="s">
        <v>740</v>
      </c>
      <c r="B820" s="27" t="s">
        <v>103</v>
      </c>
    </row>
    <row r="821" spans="1:2" ht="15.75" customHeight="1" x14ac:dyDescent="0.25">
      <c r="A821" s="27" t="s">
        <v>740</v>
      </c>
      <c r="B821" s="27" t="s">
        <v>103</v>
      </c>
    </row>
    <row r="822" spans="1:2" ht="15.75" customHeight="1" x14ac:dyDescent="0.25">
      <c r="A822" s="27" t="s">
        <v>740</v>
      </c>
      <c r="B822" s="27" t="s">
        <v>103</v>
      </c>
    </row>
    <row r="823" spans="1:2" ht="15.75" customHeight="1" x14ac:dyDescent="0.25">
      <c r="A823" s="27" t="s">
        <v>740</v>
      </c>
      <c r="B823" s="27" t="s">
        <v>103</v>
      </c>
    </row>
    <row r="824" spans="1:2" ht="15.75" customHeight="1" x14ac:dyDescent="0.25">
      <c r="A824" s="27" t="s">
        <v>740</v>
      </c>
      <c r="B824" s="27" t="s">
        <v>103</v>
      </c>
    </row>
    <row r="825" spans="1:2" ht="15.75" customHeight="1" x14ac:dyDescent="0.25">
      <c r="A825" s="27" t="s">
        <v>740</v>
      </c>
      <c r="B825" s="27" t="s">
        <v>103</v>
      </c>
    </row>
    <row r="826" spans="1:2" ht="15.75" customHeight="1" x14ac:dyDescent="0.25">
      <c r="A826" s="27" t="s">
        <v>740</v>
      </c>
      <c r="B826" s="27" t="s">
        <v>103</v>
      </c>
    </row>
    <row r="827" spans="1:2" ht="15.75" customHeight="1" x14ac:dyDescent="0.25">
      <c r="A827" s="27" t="s">
        <v>740</v>
      </c>
      <c r="B827" s="27" t="s">
        <v>103</v>
      </c>
    </row>
    <row r="828" spans="1:2" ht="15.75" customHeight="1" x14ac:dyDescent="0.25">
      <c r="A828" s="27" t="s">
        <v>740</v>
      </c>
      <c r="B828" s="27" t="s">
        <v>103</v>
      </c>
    </row>
    <row r="829" spans="1:2" ht="15.75" customHeight="1" x14ac:dyDescent="0.25">
      <c r="A829" s="27" t="s">
        <v>740</v>
      </c>
      <c r="B829" s="27" t="s">
        <v>103</v>
      </c>
    </row>
    <row r="830" spans="1:2" ht="15.75" customHeight="1" x14ac:dyDescent="0.25">
      <c r="A830" s="27" t="s">
        <v>740</v>
      </c>
      <c r="B830" s="27" t="s">
        <v>103</v>
      </c>
    </row>
    <row r="831" spans="1:2" ht="15.75" customHeight="1" x14ac:dyDescent="0.25">
      <c r="A831" s="27" t="s">
        <v>740</v>
      </c>
      <c r="B831" s="27" t="s">
        <v>103</v>
      </c>
    </row>
    <row r="832" spans="1:2" ht="15.75" customHeight="1" x14ac:dyDescent="0.25">
      <c r="A832" s="27" t="s">
        <v>740</v>
      </c>
      <c r="B832" s="27" t="s">
        <v>103</v>
      </c>
    </row>
    <row r="833" spans="1:2" ht="15.75" customHeight="1" x14ac:dyDescent="0.25">
      <c r="A833" s="27" t="s">
        <v>741</v>
      </c>
      <c r="B833" s="27" t="s">
        <v>742</v>
      </c>
    </row>
    <row r="834" spans="1:2" ht="15.75" customHeight="1" x14ac:dyDescent="0.25">
      <c r="A834" s="27" t="s">
        <v>741</v>
      </c>
      <c r="B834" s="27" t="s">
        <v>742</v>
      </c>
    </row>
    <row r="835" spans="1:2" ht="15.75" customHeight="1" x14ac:dyDescent="0.25">
      <c r="A835" s="27" t="s">
        <v>741</v>
      </c>
      <c r="B835" s="27" t="s">
        <v>742</v>
      </c>
    </row>
    <row r="836" spans="1:2" ht="15.75" customHeight="1" x14ac:dyDescent="0.25">
      <c r="A836" s="27" t="s">
        <v>741</v>
      </c>
      <c r="B836" s="27" t="s">
        <v>742</v>
      </c>
    </row>
    <row r="837" spans="1:2" ht="15.75" customHeight="1" x14ac:dyDescent="0.25">
      <c r="A837" s="27" t="s">
        <v>741</v>
      </c>
      <c r="B837" s="27" t="s">
        <v>742</v>
      </c>
    </row>
    <row r="838" spans="1:2" ht="15.75" customHeight="1" x14ac:dyDescent="0.25">
      <c r="A838" s="27" t="s">
        <v>741</v>
      </c>
      <c r="B838" s="27" t="s">
        <v>742</v>
      </c>
    </row>
    <row r="839" spans="1:2" ht="15.75" customHeight="1" x14ac:dyDescent="0.25">
      <c r="A839" s="27" t="s">
        <v>741</v>
      </c>
      <c r="B839" s="27" t="s">
        <v>742</v>
      </c>
    </row>
    <row r="840" spans="1:2" ht="15.75" customHeight="1" x14ac:dyDescent="0.25">
      <c r="A840" s="27" t="s">
        <v>741</v>
      </c>
      <c r="B840" s="27" t="s">
        <v>742</v>
      </c>
    </row>
    <row r="841" spans="1:2" ht="15.75" customHeight="1" x14ac:dyDescent="0.25">
      <c r="A841" s="27" t="s">
        <v>741</v>
      </c>
      <c r="B841" s="27" t="s">
        <v>742</v>
      </c>
    </row>
    <row r="842" spans="1:2" ht="15.75" customHeight="1" x14ac:dyDescent="0.25">
      <c r="A842" s="27" t="s">
        <v>743</v>
      </c>
      <c r="B842" s="27" t="s">
        <v>744</v>
      </c>
    </row>
    <row r="843" spans="1:2" ht="15.75" customHeight="1" x14ac:dyDescent="0.25">
      <c r="A843" s="27" t="s">
        <v>745</v>
      </c>
      <c r="B843" s="27" t="s">
        <v>746</v>
      </c>
    </row>
    <row r="844" spans="1:2" ht="15.75" customHeight="1" x14ac:dyDescent="0.25">
      <c r="A844" s="27" t="s">
        <v>747</v>
      </c>
      <c r="B844" s="27" t="s">
        <v>748</v>
      </c>
    </row>
    <row r="845" spans="1:2" ht="15.75" customHeight="1" x14ac:dyDescent="0.25">
      <c r="A845" s="27" t="s">
        <v>749</v>
      </c>
      <c r="B845" s="27" t="s">
        <v>147</v>
      </c>
    </row>
    <row r="846" spans="1:2" ht="15.75" customHeight="1" x14ac:dyDescent="0.25">
      <c r="A846" s="27" t="s">
        <v>749</v>
      </c>
      <c r="B846" s="27" t="s">
        <v>147</v>
      </c>
    </row>
    <row r="847" spans="1:2" ht="15.75" customHeight="1" x14ac:dyDescent="0.25">
      <c r="A847" s="27" t="s">
        <v>749</v>
      </c>
      <c r="B847" s="27" t="s">
        <v>147</v>
      </c>
    </row>
    <row r="848" spans="1:2" ht="15.75" customHeight="1" x14ac:dyDescent="0.25">
      <c r="A848" s="27" t="s">
        <v>749</v>
      </c>
      <c r="B848" s="27" t="s">
        <v>147</v>
      </c>
    </row>
    <row r="849" spans="1:2" ht="15.75" customHeight="1" x14ac:dyDescent="0.25">
      <c r="A849" s="27" t="s">
        <v>749</v>
      </c>
      <c r="B849" s="27" t="s">
        <v>147</v>
      </c>
    </row>
    <row r="850" spans="1:2" ht="15.75" customHeight="1" x14ac:dyDescent="0.25">
      <c r="A850" s="27" t="s">
        <v>749</v>
      </c>
      <c r="B850" s="27" t="s">
        <v>147</v>
      </c>
    </row>
    <row r="851" spans="1:2" ht="15.75" customHeight="1" x14ac:dyDescent="0.25">
      <c r="A851" s="27" t="s">
        <v>749</v>
      </c>
      <c r="B851" s="27" t="s">
        <v>147</v>
      </c>
    </row>
    <row r="852" spans="1:2" ht="15.75" customHeight="1" x14ac:dyDescent="0.25">
      <c r="A852" s="27" t="s">
        <v>749</v>
      </c>
      <c r="B852" s="27" t="s">
        <v>147</v>
      </c>
    </row>
    <row r="853" spans="1:2" ht="15.75" customHeight="1" x14ac:dyDescent="0.25">
      <c r="A853" s="27" t="s">
        <v>749</v>
      </c>
      <c r="B853" s="27" t="s">
        <v>147</v>
      </c>
    </row>
    <row r="854" spans="1:2" ht="15.75" customHeight="1" x14ac:dyDescent="0.25">
      <c r="A854" s="27" t="s">
        <v>750</v>
      </c>
      <c r="B854" s="27" t="s">
        <v>148</v>
      </c>
    </row>
    <row r="855" spans="1:2" ht="15.75" customHeight="1" x14ac:dyDescent="0.25">
      <c r="A855" s="27" t="s">
        <v>750</v>
      </c>
      <c r="B855" s="27" t="s">
        <v>148</v>
      </c>
    </row>
    <row r="856" spans="1:2" ht="15.75" customHeight="1" x14ac:dyDescent="0.25">
      <c r="A856" s="27" t="s">
        <v>750</v>
      </c>
      <c r="B856" s="27" t="s">
        <v>148</v>
      </c>
    </row>
    <row r="857" spans="1:2" ht="15.75" customHeight="1" x14ac:dyDescent="0.25">
      <c r="A857" s="27" t="s">
        <v>750</v>
      </c>
      <c r="B857" s="27" t="s">
        <v>148</v>
      </c>
    </row>
    <row r="858" spans="1:2" ht="15.75" customHeight="1" x14ac:dyDescent="0.25">
      <c r="A858" s="27" t="s">
        <v>750</v>
      </c>
      <c r="B858" s="27" t="s">
        <v>148</v>
      </c>
    </row>
    <row r="859" spans="1:2" ht="15.75" customHeight="1" x14ac:dyDescent="0.25">
      <c r="A859" s="27" t="s">
        <v>750</v>
      </c>
      <c r="B859" s="27" t="s">
        <v>148</v>
      </c>
    </row>
    <row r="860" spans="1:2" ht="15.75" customHeight="1" x14ac:dyDescent="0.25">
      <c r="A860" s="27" t="s">
        <v>750</v>
      </c>
      <c r="B860" s="27" t="s">
        <v>148</v>
      </c>
    </row>
    <row r="861" spans="1:2" ht="15.75" customHeight="1" x14ac:dyDescent="0.25">
      <c r="A861" s="27" t="s">
        <v>750</v>
      </c>
      <c r="B861" s="27" t="s">
        <v>148</v>
      </c>
    </row>
    <row r="862" spans="1:2" ht="15.75" customHeight="1" x14ac:dyDescent="0.25">
      <c r="A862" s="27" t="s">
        <v>751</v>
      </c>
      <c r="B862" s="27" t="s">
        <v>149</v>
      </c>
    </row>
    <row r="863" spans="1:2" ht="15.75" customHeight="1" x14ac:dyDescent="0.25">
      <c r="A863" s="27" t="s">
        <v>751</v>
      </c>
      <c r="B863" s="27" t="s">
        <v>149</v>
      </c>
    </row>
    <row r="864" spans="1:2" ht="15.75" customHeight="1" x14ac:dyDescent="0.25">
      <c r="A864" s="27" t="s">
        <v>751</v>
      </c>
      <c r="B864" s="27" t="s">
        <v>149</v>
      </c>
    </row>
    <row r="865" spans="1:2" ht="15.75" customHeight="1" x14ac:dyDescent="0.25">
      <c r="A865" s="27" t="s">
        <v>751</v>
      </c>
      <c r="B865" s="27" t="s">
        <v>149</v>
      </c>
    </row>
    <row r="866" spans="1:2" ht="15.75" customHeight="1" x14ac:dyDescent="0.25">
      <c r="A866" s="27" t="s">
        <v>751</v>
      </c>
      <c r="B866" s="27" t="s">
        <v>149</v>
      </c>
    </row>
    <row r="867" spans="1:2" ht="15.75" customHeight="1" x14ac:dyDescent="0.25">
      <c r="A867" s="27" t="s">
        <v>751</v>
      </c>
      <c r="B867" s="27" t="s">
        <v>149</v>
      </c>
    </row>
    <row r="868" spans="1:2" ht="15.75" customHeight="1" x14ac:dyDescent="0.25">
      <c r="A868" s="27" t="s">
        <v>751</v>
      </c>
      <c r="B868" s="27" t="s">
        <v>149</v>
      </c>
    </row>
    <row r="869" spans="1:2" ht="15.75" customHeight="1" x14ac:dyDescent="0.25">
      <c r="A869" s="27" t="s">
        <v>751</v>
      </c>
      <c r="B869" s="27" t="s">
        <v>149</v>
      </c>
    </row>
    <row r="870" spans="1:2" ht="15.75" customHeight="1" x14ac:dyDescent="0.25">
      <c r="A870" s="27" t="s">
        <v>751</v>
      </c>
      <c r="B870" s="27" t="s">
        <v>149</v>
      </c>
    </row>
    <row r="871" spans="1:2" ht="15.75" customHeight="1" x14ac:dyDescent="0.25">
      <c r="A871" s="27" t="s">
        <v>751</v>
      </c>
      <c r="B871" s="27" t="s">
        <v>149</v>
      </c>
    </row>
    <row r="872" spans="1:2" ht="15.75" customHeight="1" x14ac:dyDescent="0.25">
      <c r="A872" s="27" t="s">
        <v>751</v>
      </c>
      <c r="B872" s="27" t="s">
        <v>149</v>
      </c>
    </row>
    <row r="873" spans="1:2" ht="15.75" customHeight="1" x14ac:dyDescent="0.25">
      <c r="A873" s="27" t="s">
        <v>751</v>
      </c>
      <c r="B873" s="27" t="s">
        <v>149</v>
      </c>
    </row>
    <row r="874" spans="1:2" ht="15.75" customHeight="1" x14ac:dyDescent="0.25">
      <c r="A874" s="27" t="s">
        <v>751</v>
      </c>
      <c r="B874" s="27" t="s">
        <v>149</v>
      </c>
    </row>
    <row r="875" spans="1:2" ht="15.75" customHeight="1" x14ac:dyDescent="0.25">
      <c r="A875" s="27" t="s">
        <v>751</v>
      </c>
      <c r="B875" s="27" t="s">
        <v>149</v>
      </c>
    </row>
    <row r="876" spans="1:2" ht="15.75" customHeight="1" x14ac:dyDescent="0.25">
      <c r="A876" s="27" t="s">
        <v>751</v>
      </c>
      <c r="B876" s="27" t="s">
        <v>149</v>
      </c>
    </row>
    <row r="877" spans="1:2" ht="15.75" customHeight="1" x14ac:dyDescent="0.25">
      <c r="A877" s="27" t="s">
        <v>751</v>
      </c>
      <c r="B877" s="27" t="s">
        <v>149</v>
      </c>
    </row>
    <row r="878" spans="1:2" ht="15.75" customHeight="1" x14ac:dyDescent="0.25">
      <c r="A878" s="27" t="s">
        <v>752</v>
      </c>
      <c r="B878" s="27" t="s">
        <v>753</v>
      </c>
    </row>
    <row r="879" spans="1:2" ht="15.75" customHeight="1" x14ac:dyDescent="0.25">
      <c r="A879" s="27" t="s">
        <v>752</v>
      </c>
      <c r="B879" s="27" t="s">
        <v>753</v>
      </c>
    </row>
    <row r="880" spans="1:2" ht="15.75" customHeight="1" x14ac:dyDescent="0.25">
      <c r="A880" s="27" t="s">
        <v>752</v>
      </c>
      <c r="B880" s="27" t="s">
        <v>753</v>
      </c>
    </row>
    <row r="881" spans="1:2" ht="15.75" customHeight="1" x14ac:dyDescent="0.25">
      <c r="A881" s="27" t="s">
        <v>754</v>
      </c>
      <c r="B881" s="27" t="s">
        <v>755</v>
      </c>
    </row>
    <row r="882" spans="1:2" ht="15.75" customHeight="1" x14ac:dyDescent="0.25">
      <c r="A882" s="27" t="s">
        <v>756</v>
      </c>
      <c r="B882" s="27" t="s">
        <v>757</v>
      </c>
    </row>
    <row r="883" spans="1:2" ht="15.75" customHeight="1" x14ac:dyDescent="0.25">
      <c r="A883" s="27" t="s">
        <v>756</v>
      </c>
      <c r="B883" s="27" t="s">
        <v>757</v>
      </c>
    </row>
    <row r="884" spans="1:2" ht="15.75" customHeight="1" x14ac:dyDescent="0.25">
      <c r="A884" s="27" t="s">
        <v>756</v>
      </c>
      <c r="B884" s="27" t="s">
        <v>757</v>
      </c>
    </row>
    <row r="885" spans="1:2" ht="15.75" customHeight="1" x14ac:dyDescent="0.25">
      <c r="A885" s="27" t="s">
        <v>756</v>
      </c>
      <c r="B885" s="27" t="s">
        <v>757</v>
      </c>
    </row>
    <row r="886" spans="1:2" ht="15.75" customHeight="1" x14ac:dyDescent="0.25">
      <c r="A886" s="27" t="s">
        <v>758</v>
      </c>
      <c r="B886" s="27" t="s">
        <v>759</v>
      </c>
    </row>
    <row r="887" spans="1:2" ht="15.75" customHeight="1" x14ac:dyDescent="0.25">
      <c r="A887" s="27" t="s">
        <v>758</v>
      </c>
      <c r="B887" s="27" t="s">
        <v>759</v>
      </c>
    </row>
    <row r="888" spans="1:2" ht="15.75" customHeight="1" x14ac:dyDescent="0.25">
      <c r="A888" s="27" t="s">
        <v>758</v>
      </c>
      <c r="B888" s="27" t="s">
        <v>759</v>
      </c>
    </row>
    <row r="889" spans="1:2" ht="15.75" customHeight="1" x14ac:dyDescent="0.25">
      <c r="A889" s="27" t="s">
        <v>758</v>
      </c>
      <c r="B889" s="27" t="s">
        <v>759</v>
      </c>
    </row>
    <row r="890" spans="1:2" ht="15.75" customHeight="1" x14ac:dyDescent="0.25">
      <c r="A890" s="27" t="s">
        <v>758</v>
      </c>
      <c r="B890" s="27" t="s">
        <v>759</v>
      </c>
    </row>
    <row r="891" spans="1:2" ht="15.75" customHeight="1" x14ac:dyDescent="0.25">
      <c r="A891" s="27" t="s">
        <v>758</v>
      </c>
      <c r="B891" s="27" t="s">
        <v>759</v>
      </c>
    </row>
    <row r="892" spans="1:2" ht="15.75" customHeight="1" x14ac:dyDescent="0.25">
      <c r="A892" s="27" t="s">
        <v>760</v>
      </c>
      <c r="B892" s="27" t="s">
        <v>761</v>
      </c>
    </row>
    <row r="893" spans="1:2" ht="15.75" customHeight="1" x14ac:dyDescent="0.25">
      <c r="A893" s="27" t="s">
        <v>760</v>
      </c>
      <c r="B893" s="27" t="s">
        <v>761</v>
      </c>
    </row>
    <row r="894" spans="1:2" ht="15.75" customHeight="1" x14ac:dyDescent="0.25">
      <c r="A894" s="27" t="s">
        <v>762</v>
      </c>
      <c r="B894" s="27" t="s">
        <v>763</v>
      </c>
    </row>
    <row r="895" spans="1:2" ht="15.75" customHeight="1" x14ac:dyDescent="0.25">
      <c r="A895" s="27" t="s">
        <v>762</v>
      </c>
      <c r="B895" s="27" t="s">
        <v>763</v>
      </c>
    </row>
    <row r="896" spans="1:2" ht="15.75" customHeight="1" x14ac:dyDescent="0.25">
      <c r="A896" s="27" t="s">
        <v>762</v>
      </c>
      <c r="B896" s="27" t="s">
        <v>763</v>
      </c>
    </row>
    <row r="897" spans="1:2" ht="15.75" customHeight="1" x14ac:dyDescent="0.25">
      <c r="A897" s="27" t="s">
        <v>762</v>
      </c>
      <c r="B897" s="27" t="s">
        <v>763</v>
      </c>
    </row>
    <row r="898" spans="1:2" ht="15.75" customHeight="1" x14ac:dyDescent="0.25">
      <c r="A898" s="27" t="s">
        <v>762</v>
      </c>
      <c r="B898" s="27" t="s">
        <v>763</v>
      </c>
    </row>
    <row r="899" spans="1:2" ht="15.75" customHeight="1" x14ac:dyDescent="0.25">
      <c r="A899" s="27" t="s">
        <v>762</v>
      </c>
      <c r="B899" s="27" t="s">
        <v>763</v>
      </c>
    </row>
    <row r="900" spans="1:2" ht="15.75" customHeight="1" x14ac:dyDescent="0.25">
      <c r="A900" s="27" t="s">
        <v>762</v>
      </c>
      <c r="B900" s="27" t="s">
        <v>763</v>
      </c>
    </row>
    <row r="901" spans="1:2" ht="15.75" customHeight="1" x14ac:dyDescent="0.25">
      <c r="A901" s="27" t="s">
        <v>762</v>
      </c>
      <c r="B901" s="27" t="s">
        <v>763</v>
      </c>
    </row>
    <row r="902" spans="1:2" ht="15.75" customHeight="1" x14ac:dyDescent="0.25">
      <c r="A902" s="27" t="s">
        <v>762</v>
      </c>
      <c r="B902" s="27" t="s">
        <v>763</v>
      </c>
    </row>
    <row r="903" spans="1:2" ht="15.75" customHeight="1" x14ac:dyDescent="0.25">
      <c r="A903" s="27" t="s">
        <v>764</v>
      </c>
      <c r="B903" s="27" t="s">
        <v>765</v>
      </c>
    </row>
    <row r="904" spans="1:2" ht="15.75" customHeight="1" x14ac:dyDescent="0.25">
      <c r="A904" s="27" t="s">
        <v>764</v>
      </c>
      <c r="B904" s="27" t="s">
        <v>765</v>
      </c>
    </row>
    <row r="905" spans="1:2" ht="15.75" customHeight="1" x14ac:dyDescent="0.25">
      <c r="A905" s="27" t="s">
        <v>764</v>
      </c>
      <c r="B905" s="27" t="s">
        <v>765</v>
      </c>
    </row>
    <row r="906" spans="1:2" ht="15.75" customHeight="1" x14ac:dyDescent="0.25">
      <c r="A906" s="27" t="s">
        <v>764</v>
      </c>
      <c r="B906" s="27" t="s">
        <v>765</v>
      </c>
    </row>
    <row r="907" spans="1:2" ht="15.75" customHeight="1" x14ac:dyDescent="0.25">
      <c r="A907" s="27" t="s">
        <v>764</v>
      </c>
      <c r="B907" s="27" t="s">
        <v>765</v>
      </c>
    </row>
    <row r="908" spans="1:2" ht="15.75" customHeight="1" x14ac:dyDescent="0.25">
      <c r="A908" s="27" t="s">
        <v>764</v>
      </c>
      <c r="B908" s="27" t="s">
        <v>765</v>
      </c>
    </row>
    <row r="909" spans="1:2" ht="15.75" customHeight="1" x14ac:dyDescent="0.25">
      <c r="A909" s="27" t="s">
        <v>764</v>
      </c>
      <c r="B909" s="27" t="s">
        <v>765</v>
      </c>
    </row>
    <row r="910" spans="1:2" ht="15.75" customHeight="1" x14ac:dyDescent="0.25">
      <c r="A910" s="27" t="s">
        <v>764</v>
      </c>
      <c r="B910" s="27" t="s">
        <v>765</v>
      </c>
    </row>
    <row r="911" spans="1:2" ht="15.75" customHeight="1" x14ac:dyDescent="0.25">
      <c r="A911" s="27" t="s">
        <v>764</v>
      </c>
      <c r="B911" s="27" t="s">
        <v>765</v>
      </c>
    </row>
    <row r="912" spans="1:2" ht="15.75" customHeight="1" x14ac:dyDescent="0.25">
      <c r="A912" s="27" t="s">
        <v>764</v>
      </c>
      <c r="B912" s="27" t="s">
        <v>765</v>
      </c>
    </row>
    <row r="913" spans="1:2" ht="15.75" customHeight="1" x14ac:dyDescent="0.25">
      <c r="A913" s="27" t="s">
        <v>764</v>
      </c>
      <c r="B913" s="27" t="s">
        <v>765</v>
      </c>
    </row>
    <row r="914" spans="1:2" ht="15.75" customHeight="1" x14ac:dyDescent="0.25">
      <c r="A914" s="27" t="s">
        <v>764</v>
      </c>
      <c r="B914" s="27" t="s">
        <v>765</v>
      </c>
    </row>
    <row r="915" spans="1:2" ht="15.75" customHeight="1" x14ac:dyDescent="0.25">
      <c r="A915" s="27" t="s">
        <v>764</v>
      </c>
      <c r="B915" s="27" t="s">
        <v>765</v>
      </c>
    </row>
    <row r="916" spans="1:2" ht="15.75" customHeight="1" x14ac:dyDescent="0.25">
      <c r="A916" s="27" t="s">
        <v>764</v>
      </c>
      <c r="B916" s="27" t="s">
        <v>765</v>
      </c>
    </row>
    <row r="917" spans="1:2" ht="15.75" customHeight="1" x14ac:dyDescent="0.25">
      <c r="A917" s="27" t="s">
        <v>764</v>
      </c>
      <c r="B917" s="27" t="s">
        <v>765</v>
      </c>
    </row>
    <row r="918" spans="1:2" ht="15.75" customHeight="1" x14ac:dyDescent="0.25">
      <c r="A918" s="27" t="s">
        <v>764</v>
      </c>
      <c r="B918" s="27" t="s">
        <v>765</v>
      </c>
    </row>
    <row r="919" spans="1:2" ht="15.75" customHeight="1" x14ac:dyDescent="0.25">
      <c r="A919" s="27" t="s">
        <v>764</v>
      </c>
      <c r="B919" s="27" t="s">
        <v>765</v>
      </c>
    </row>
    <row r="920" spans="1:2" ht="15.75" customHeight="1" x14ac:dyDescent="0.25">
      <c r="A920" s="27" t="s">
        <v>766</v>
      </c>
      <c r="B920" s="27" t="s">
        <v>767</v>
      </c>
    </row>
    <row r="921" spans="1:2" ht="15.75" customHeight="1" x14ac:dyDescent="0.25">
      <c r="A921" s="27" t="s">
        <v>766</v>
      </c>
      <c r="B921" s="27" t="s">
        <v>767</v>
      </c>
    </row>
    <row r="922" spans="1:2" ht="15.75" customHeight="1" x14ac:dyDescent="0.25">
      <c r="A922" s="27" t="s">
        <v>766</v>
      </c>
      <c r="B922" s="27" t="s">
        <v>767</v>
      </c>
    </row>
    <row r="923" spans="1:2" ht="15.75" customHeight="1" x14ac:dyDescent="0.25">
      <c r="A923" s="27" t="s">
        <v>766</v>
      </c>
      <c r="B923" s="27" t="s">
        <v>767</v>
      </c>
    </row>
    <row r="924" spans="1:2" ht="15.75" customHeight="1" x14ac:dyDescent="0.25">
      <c r="A924" s="27" t="s">
        <v>766</v>
      </c>
      <c r="B924" s="27" t="s">
        <v>767</v>
      </c>
    </row>
    <row r="925" spans="1:2" ht="15.75" customHeight="1" x14ac:dyDescent="0.25">
      <c r="A925" s="27" t="s">
        <v>766</v>
      </c>
      <c r="B925" s="27" t="s">
        <v>767</v>
      </c>
    </row>
    <row r="926" spans="1:2" ht="15.75" customHeight="1" x14ac:dyDescent="0.25">
      <c r="A926" s="27" t="s">
        <v>766</v>
      </c>
      <c r="B926" s="27" t="s">
        <v>767</v>
      </c>
    </row>
    <row r="927" spans="1:2" ht="15.75" customHeight="1" x14ac:dyDescent="0.25">
      <c r="A927" s="27" t="s">
        <v>768</v>
      </c>
      <c r="B927" s="27" t="s">
        <v>769</v>
      </c>
    </row>
    <row r="928" spans="1:2" ht="15.75" customHeight="1" x14ac:dyDescent="0.25">
      <c r="A928" s="27" t="s">
        <v>768</v>
      </c>
      <c r="B928" s="27" t="s">
        <v>769</v>
      </c>
    </row>
    <row r="929" spans="1:2" ht="15.75" customHeight="1" x14ac:dyDescent="0.25">
      <c r="A929" s="27" t="s">
        <v>768</v>
      </c>
      <c r="B929" s="27" t="s">
        <v>769</v>
      </c>
    </row>
    <row r="930" spans="1:2" ht="15.75" customHeight="1" x14ac:dyDescent="0.25">
      <c r="A930" s="27" t="s">
        <v>768</v>
      </c>
      <c r="B930" s="27" t="s">
        <v>769</v>
      </c>
    </row>
    <row r="931" spans="1:2" ht="15.75" customHeight="1" x14ac:dyDescent="0.25">
      <c r="A931" s="27" t="s">
        <v>768</v>
      </c>
      <c r="B931" s="27" t="s">
        <v>769</v>
      </c>
    </row>
    <row r="932" spans="1:2" ht="15.75" customHeight="1" x14ac:dyDescent="0.25">
      <c r="A932" s="27" t="s">
        <v>770</v>
      </c>
      <c r="B932" s="27" t="s">
        <v>771</v>
      </c>
    </row>
    <row r="933" spans="1:2" ht="15.75" customHeight="1" x14ac:dyDescent="0.25">
      <c r="A933" s="27" t="s">
        <v>772</v>
      </c>
      <c r="B933" s="27" t="s">
        <v>773</v>
      </c>
    </row>
    <row r="934" spans="1:2" ht="15.75" customHeight="1" x14ac:dyDescent="0.25">
      <c r="A934" s="27" t="s">
        <v>772</v>
      </c>
      <c r="B934" s="27" t="s">
        <v>773</v>
      </c>
    </row>
    <row r="935" spans="1:2" ht="15.75" customHeight="1" x14ac:dyDescent="0.25">
      <c r="A935" s="27" t="s">
        <v>772</v>
      </c>
      <c r="B935" s="27" t="s">
        <v>773</v>
      </c>
    </row>
    <row r="936" spans="1:2" ht="15.75" customHeight="1" x14ac:dyDescent="0.25">
      <c r="A936" s="27" t="s">
        <v>772</v>
      </c>
      <c r="B936" s="27" t="s">
        <v>773</v>
      </c>
    </row>
    <row r="937" spans="1:2" ht="15.75" customHeight="1" x14ac:dyDescent="0.25">
      <c r="A937" s="27" t="s">
        <v>772</v>
      </c>
      <c r="B937" s="27" t="s">
        <v>773</v>
      </c>
    </row>
    <row r="938" spans="1:2" ht="15.75" customHeight="1" x14ac:dyDescent="0.25">
      <c r="A938" s="27" t="s">
        <v>772</v>
      </c>
      <c r="B938" s="27" t="s">
        <v>773</v>
      </c>
    </row>
    <row r="939" spans="1:2" ht="15.75" customHeight="1" x14ac:dyDescent="0.25">
      <c r="A939" s="27" t="s">
        <v>772</v>
      </c>
      <c r="B939" s="27" t="s">
        <v>773</v>
      </c>
    </row>
    <row r="940" spans="1:2" ht="15.75" customHeight="1" x14ac:dyDescent="0.25">
      <c r="A940" s="27" t="s">
        <v>772</v>
      </c>
      <c r="B940" s="27" t="s">
        <v>773</v>
      </c>
    </row>
    <row r="941" spans="1:2" ht="15.75" customHeight="1" x14ac:dyDescent="0.25">
      <c r="A941" s="27" t="s">
        <v>772</v>
      </c>
      <c r="B941" s="27" t="s">
        <v>773</v>
      </c>
    </row>
    <row r="942" spans="1:2" ht="15.75" customHeight="1" x14ac:dyDescent="0.25">
      <c r="A942" s="27" t="s">
        <v>772</v>
      </c>
      <c r="B942" s="27" t="s">
        <v>773</v>
      </c>
    </row>
    <row r="943" spans="1:2" ht="15.75" customHeight="1" x14ac:dyDescent="0.25">
      <c r="A943" s="27" t="s">
        <v>772</v>
      </c>
      <c r="B943" s="27" t="s">
        <v>773</v>
      </c>
    </row>
    <row r="944" spans="1:2" ht="15.75" customHeight="1" x14ac:dyDescent="0.25">
      <c r="A944" s="27" t="s">
        <v>772</v>
      </c>
      <c r="B944" s="27" t="s">
        <v>773</v>
      </c>
    </row>
    <row r="945" spans="1:2" ht="15.75" customHeight="1" x14ac:dyDescent="0.25">
      <c r="A945" s="27" t="s">
        <v>772</v>
      </c>
      <c r="B945" s="27" t="s">
        <v>773</v>
      </c>
    </row>
    <row r="946" spans="1:2" ht="15.75" customHeight="1" x14ac:dyDescent="0.25">
      <c r="A946" s="27" t="s">
        <v>772</v>
      </c>
      <c r="B946" s="27" t="s">
        <v>773</v>
      </c>
    </row>
    <row r="947" spans="1:2" ht="15.75" customHeight="1" x14ac:dyDescent="0.25">
      <c r="A947" s="27" t="s">
        <v>774</v>
      </c>
      <c r="B947" s="27" t="s">
        <v>775</v>
      </c>
    </row>
    <row r="948" spans="1:2" ht="15.75" customHeight="1" x14ac:dyDescent="0.25">
      <c r="A948" s="27" t="s">
        <v>774</v>
      </c>
      <c r="B948" s="27" t="s">
        <v>775</v>
      </c>
    </row>
    <row r="949" spans="1:2" ht="15.75" customHeight="1" x14ac:dyDescent="0.25">
      <c r="A949" s="27" t="s">
        <v>774</v>
      </c>
      <c r="B949" s="27" t="s">
        <v>775</v>
      </c>
    </row>
    <row r="950" spans="1:2" ht="15.75" customHeight="1" x14ac:dyDescent="0.25">
      <c r="A950" s="27" t="s">
        <v>774</v>
      </c>
      <c r="B950" s="27" t="s">
        <v>775</v>
      </c>
    </row>
    <row r="951" spans="1:2" ht="15.75" customHeight="1" x14ac:dyDescent="0.25">
      <c r="A951" s="27" t="s">
        <v>774</v>
      </c>
      <c r="B951" s="27" t="s">
        <v>775</v>
      </c>
    </row>
    <row r="952" spans="1:2" ht="15.75" customHeight="1" x14ac:dyDescent="0.25">
      <c r="A952" s="27" t="s">
        <v>774</v>
      </c>
      <c r="B952" s="27" t="s">
        <v>775</v>
      </c>
    </row>
    <row r="953" spans="1:2" ht="15.75" customHeight="1" x14ac:dyDescent="0.25">
      <c r="A953" s="27" t="s">
        <v>774</v>
      </c>
      <c r="B953" s="27" t="s">
        <v>775</v>
      </c>
    </row>
    <row r="954" spans="1:2" ht="15.75" customHeight="1" x14ac:dyDescent="0.25">
      <c r="A954" s="27" t="s">
        <v>774</v>
      </c>
      <c r="B954" s="27" t="s">
        <v>775</v>
      </c>
    </row>
    <row r="955" spans="1:2" ht="15.75" customHeight="1" x14ac:dyDescent="0.25">
      <c r="A955" s="27" t="s">
        <v>774</v>
      </c>
      <c r="B955" s="27" t="s">
        <v>775</v>
      </c>
    </row>
    <row r="956" spans="1:2" ht="15.75" customHeight="1" x14ac:dyDescent="0.25">
      <c r="A956" s="27" t="s">
        <v>774</v>
      </c>
      <c r="B956" s="27" t="s">
        <v>775</v>
      </c>
    </row>
    <row r="957" spans="1:2" ht="15.75" customHeight="1" x14ac:dyDescent="0.25">
      <c r="A957" s="27" t="s">
        <v>776</v>
      </c>
      <c r="B957" s="27" t="s">
        <v>777</v>
      </c>
    </row>
    <row r="958" spans="1:2" ht="15.75" customHeight="1" x14ac:dyDescent="0.25">
      <c r="A958" s="27" t="s">
        <v>776</v>
      </c>
      <c r="B958" s="27" t="s">
        <v>777</v>
      </c>
    </row>
    <row r="959" spans="1:2" ht="15.75" customHeight="1" x14ac:dyDescent="0.25">
      <c r="A959" s="27" t="s">
        <v>776</v>
      </c>
      <c r="B959" s="27" t="s">
        <v>777</v>
      </c>
    </row>
    <row r="960" spans="1:2" ht="15.75" customHeight="1" x14ac:dyDescent="0.25">
      <c r="A960" s="27" t="s">
        <v>778</v>
      </c>
      <c r="B960" s="27" t="s">
        <v>779</v>
      </c>
    </row>
    <row r="961" spans="1:2" ht="15.75" customHeight="1" x14ac:dyDescent="0.25">
      <c r="A961" s="27" t="s">
        <v>780</v>
      </c>
      <c r="B961" s="27" t="s">
        <v>781</v>
      </c>
    </row>
    <row r="962" spans="1:2" ht="15.75" customHeight="1" x14ac:dyDescent="0.25">
      <c r="A962" s="27" t="s">
        <v>780</v>
      </c>
      <c r="B962" s="27" t="s">
        <v>781</v>
      </c>
    </row>
    <row r="963" spans="1:2" ht="15.75" customHeight="1" x14ac:dyDescent="0.25">
      <c r="A963" s="27" t="s">
        <v>780</v>
      </c>
      <c r="B963" s="27" t="s">
        <v>781</v>
      </c>
    </row>
    <row r="964" spans="1:2" ht="15.75" customHeight="1" x14ac:dyDescent="0.25">
      <c r="A964" s="27" t="s">
        <v>780</v>
      </c>
      <c r="B964" s="27" t="s">
        <v>781</v>
      </c>
    </row>
    <row r="965" spans="1:2" ht="15.75" customHeight="1" x14ac:dyDescent="0.25">
      <c r="A965" s="27" t="s">
        <v>780</v>
      </c>
      <c r="B965" s="27" t="s">
        <v>781</v>
      </c>
    </row>
    <row r="966" spans="1:2" ht="15.75" customHeight="1" x14ac:dyDescent="0.25">
      <c r="A966" s="27" t="s">
        <v>780</v>
      </c>
      <c r="B966" s="27" t="s">
        <v>781</v>
      </c>
    </row>
    <row r="967" spans="1:2" ht="15.75" customHeight="1" x14ac:dyDescent="0.25">
      <c r="A967" s="27" t="s">
        <v>782</v>
      </c>
      <c r="B967" s="27" t="s">
        <v>783</v>
      </c>
    </row>
    <row r="968" spans="1:2" ht="15.75" customHeight="1" x14ac:dyDescent="0.25">
      <c r="A968" s="27" t="s">
        <v>782</v>
      </c>
      <c r="B968" s="27" t="s">
        <v>783</v>
      </c>
    </row>
    <row r="969" spans="1:2" ht="15.75" customHeight="1" x14ac:dyDescent="0.25">
      <c r="A969" s="27" t="s">
        <v>782</v>
      </c>
      <c r="B969" s="27" t="s">
        <v>783</v>
      </c>
    </row>
    <row r="970" spans="1:2" ht="15.75" customHeight="1" x14ac:dyDescent="0.25">
      <c r="A970" s="27" t="s">
        <v>782</v>
      </c>
      <c r="B970" s="27" t="s">
        <v>783</v>
      </c>
    </row>
    <row r="971" spans="1:2" ht="15.75" customHeight="1" x14ac:dyDescent="0.25">
      <c r="A971" s="27" t="s">
        <v>782</v>
      </c>
      <c r="B971" s="27" t="s">
        <v>783</v>
      </c>
    </row>
    <row r="972" spans="1:2" ht="15.75" customHeight="1" x14ac:dyDescent="0.25">
      <c r="A972" s="27" t="s">
        <v>782</v>
      </c>
      <c r="B972" s="27" t="s">
        <v>783</v>
      </c>
    </row>
    <row r="973" spans="1:2" ht="15.75" customHeight="1" x14ac:dyDescent="0.25">
      <c r="A973" s="27" t="s">
        <v>782</v>
      </c>
      <c r="B973" s="27" t="s">
        <v>783</v>
      </c>
    </row>
    <row r="974" spans="1:2" ht="15.75" customHeight="1" x14ac:dyDescent="0.25">
      <c r="A974" s="27" t="s">
        <v>782</v>
      </c>
      <c r="B974" s="27" t="s">
        <v>783</v>
      </c>
    </row>
    <row r="975" spans="1:2" ht="15.75" customHeight="1" x14ac:dyDescent="0.25">
      <c r="A975" s="27" t="s">
        <v>782</v>
      </c>
      <c r="B975" s="27" t="s">
        <v>783</v>
      </c>
    </row>
    <row r="976" spans="1:2" ht="15.75" customHeight="1" x14ac:dyDescent="0.25">
      <c r="A976" s="27" t="s">
        <v>782</v>
      </c>
      <c r="B976" s="27" t="s">
        <v>783</v>
      </c>
    </row>
    <row r="977" spans="1:2" ht="15.75" customHeight="1" x14ac:dyDescent="0.25">
      <c r="A977" s="27" t="s">
        <v>784</v>
      </c>
      <c r="B977" s="27" t="s">
        <v>785</v>
      </c>
    </row>
    <row r="978" spans="1:2" ht="15.75" customHeight="1" x14ac:dyDescent="0.25">
      <c r="A978" s="27" t="s">
        <v>786</v>
      </c>
      <c r="B978" s="27" t="s">
        <v>787</v>
      </c>
    </row>
    <row r="979" spans="1:2" ht="15.75" customHeight="1" x14ac:dyDescent="0.25">
      <c r="A979" s="27" t="s">
        <v>786</v>
      </c>
      <c r="B979" s="27" t="s">
        <v>787</v>
      </c>
    </row>
    <row r="980" spans="1:2" ht="15.75" customHeight="1" x14ac:dyDescent="0.25">
      <c r="A980" s="27" t="s">
        <v>786</v>
      </c>
      <c r="B980" s="27" t="s">
        <v>787</v>
      </c>
    </row>
    <row r="981" spans="1:2" ht="15.75" customHeight="1" x14ac:dyDescent="0.25">
      <c r="A981" s="27" t="s">
        <v>786</v>
      </c>
      <c r="B981" s="27" t="s">
        <v>787</v>
      </c>
    </row>
    <row r="982" spans="1:2" ht="15.75" customHeight="1" x14ac:dyDescent="0.25">
      <c r="A982" s="27" t="s">
        <v>786</v>
      </c>
      <c r="B982" s="27" t="s">
        <v>787</v>
      </c>
    </row>
    <row r="983" spans="1:2" ht="15.75" customHeight="1" x14ac:dyDescent="0.25">
      <c r="A983" s="27" t="s">
        <v>788</v>
      </c>
      <c r="B983" s="27" t="s">
        <v>789</v>
      </c>
    </row>
    <row r="984" spans="1:2" ht="15.75" customHeight="1" x14ac:dyDescent="0.25">
      <c r="A984" s="27" t="s">
        <v>788</v>
      </c>
      <c r="B984" s="27" t="s">
        <v>789</v>
      </c>
    </row>
    <row r="985" spans="1:2" ht="15.75" customHeight="1" x14ac:dyDescent="0.25">
      <c r="A985" s="27" t="s">
        <v>788</v>
      </c>
      <c r="B985" s="27" t="s">
        <v>789</v>
      </c>
    </row>
    <row r="986" spans="1:2" ht="15.75" customHeight="1" x14ac:dyDescent="0.25">
      <c r="A986" s="27" t="s">
        <v>788</v>
      </c>
      <c r="B986" s="27" t="s">
        <v>789</v>
      </c>
    </row>
    <row r="987" spans="1:2" ht="15.75" customHeight="1" x14ac:dyDescent="0.25">
      <c r="A987" s="27" t="s">
        <v>788</v>
      </c>
      <c r="B987" s="27" t="s">
        <v>789</v>
      </c>
    </row>
    <row r="988" spans="1:2" ht="15.75" customHeight="1" x14ac:dyDescent="0.25">
      <c r="A988" s="27" t="s">
        <v>788</v>
      </c>
      <c r="B988" s="27" t="s">
        <v>789</v>
      </c>
    </row>
    <row r="989" spans="1:2" ht="15.75" customHeight="1" x14ac:dyDescent="0.25">
      <c r="A989" s="27" t="s">
        <v>788</v>
      </c>
      <c r="B989" s="27" t="s">
        <v>789</v>
      </c>
    </row>
    <row r="990" spans="1:2" ht="15.75" customHeight="1" x14ac:dyDescent="0.25">
      <c r="A990" s="27" t="s">
        <v>788</v>
      </c>
      <c r="B990" s="27" t="s">
        <v>789</v>
      </c>
    </row>
    <row r="991" spans="1:2" ht="15.75" customHeight="1" x14ac:dyDescent="0.25">
      <c r="A991" s="27" t="s">
        <v>790</v>
      </c>
      <c r="B991" s="27" t="s">
        <v>791</v>
      </c>
    </row>
    <row r="992" spans="1:2" ht="15.75" customHeight="1" x14ac:dyDescent="0.25">
      <c r="A992" s="27" t="s">
        <v>790</v>
      </c>
      <c r="B992" s="27" t="s">
        <v>791</v>
      </c>
    </row>
    <row r="993" spans="1:2" ht="15.75" customHeight="1" x14ac:dyDescent="0.25">
      <c r="A993" s="27" t="s">
        <v>790</v>
      </c>
      <c r="B993" s="27" t="s">
        <v>791</v>
      </c>
    </row>
    <row r="994" spans="1:2" ht="15.75" customHeight="1" x14ac:dyDescent="0.25">
      <c r="A994" s="27" t="s">
        <v>790</v>
      </c>
      <c r="B994" s="27" t="s">
        <v>791</v>
      </c>
    </row>
    <row r="995" spans="1:2" ht="15.75" customHeight="1" x14ac:dyDescent="0.25">
      <c r="A995" s="27" t="s">
        <v>790</v>
      </c>
      <c r="B995" s="27" t="s">
        <v>791</v>
      </c>
    </row>
    <row r="996" spans="1:2" ht="15.75" customHeight="1" x14ac:dyDescent="0.25">
      <c r="A996" s="27" t="s">
        <v>790</v>
      </c>
      <c r="B996" s="27" t="s">
        <v>791</v>
      </c>
    </row>
    <row r="997" spans="1:2" ht="15.75" customHeight="1" x14ac:dyDescent="0.25">
      <c r="A997" s="27" t="s">
        <v>790</v>
      </c>
      <c r="B997" s="27" t="s">
        <v>791</v>
      </c>
    </row>
    <row r="998" spans="1:2" ht="15.75" customHeight="1" x14ac:dyDescent="0.25">
      <c r="A998" s="27" t="s">
        <v>790</v>
      </c>
      <c r="B998" s="27" t="s">
        <v>791</v>
      </c>
    </row>
    <row r="999" spans="1:2" ht="15.75" customHeight="1" x14ac:dyDescent="0.25">
      <c r="A999" s="27" t="s">
        <v>790</v>
      </c>
      <c r="B999" s="27" t="s">
        <v>791</v>
      </c>
    </row>
    <row r="1000" spans="1:2" ht="15.75" customHeight="1" x14ac:dyDescent="0.25">
      <c r="A1000" s="27" t="s">
        <v>790</v>
      </c>
      <c r="B1000" s="27" t="s">
        <v>791</v>
      </c>
    </row>
    <row r="1001" spans="1:2" ht="15.75" customHeight="1" x14ac:dyDescent="0.25">
      <c r="A1001" s="27" t="s">
        <v>790</v>
      </c>
      <c r="B1001" s="27" t="s">
        <v>791</v>
      </c>
    </row>
    <row r="1002" spans="1:2" ht="15.75" customHeight="1" x14ac:dyDescent="0.25">
      <c r="A1002" s="27" t="s">
        <v>790</v>
      </c>
      <c r="B1002" s="27" t="s">
        <v>791</v>
      </c>
    </row>
    <row r="1003" spans="1:2" ht="15.75" customHeight="1" x14ac:dyDescent="0.25">
      <c r="A1003" s="27" t="s">
        <v>792</v>
      </c>
      <c r="B1003" s="27" t="s">
        <v>793</v>
      </c>
    </row>
    <row r="1004" spans="1:2" ht="15.75" customHeight="1" x14ac:dyDescent="0.25">
      <c r="A1004" s="27" t="s">
        <v>792</v>
      </c>
      <c r="B1004" s="27" t="s">
        <v>793</v>
      </c>
    </row>
    <row r="1005" spans="1:2" ht="15.75" customHeight="1" x14ac:dyDescent="0.25">
      <c r="A1005" s="27" t="s">
        <v>792</v>
      </c>
      <c r="B1005" s="27" t="s">
        <v>793</v>
      </c>
    </row>
    <row r="1006" spans="1:2" ht="15.75" customHeight="1" x14ac:dyDescent="0.25">
      <c r="A1006" s="27" t="s">
        <v>792</v>
      </c>
      <c r="B1006" s="27" t="s">
        <v>793</v>
      </c>
    </row>
    <row r="1007" spans="1:2" ht="15.75" customHeight="1" x14ac:dyDescent="0.25">
      <c r="A1007" s="27" t="s">
        <v>792</v>
      </c>
      <c r="B1007" s="27" t="s">
        <v>793</v>
      </c>
    </row>
    <row r="1008" spans="1:2" ht="15.75" customHeight="1" x14ac:dyDescent="0.25">
      <c r="A1008" s="27" t="s">
        <v>792</v>
      </c>
      <c r="B1008" s="27" t="s">
        <v>793</v>
      </c>
    </row>
    <row r="1009" spans="1:2" ht="15.75" customHeight="1" x14ac:dyDescent="0.25">
      <c r="A1009" s="27" t="s">
        <v>792</v>
      </c>
      <c r="B1009" s="27" t="s">
        <v>793</v>
      </c>
    </row>
    <row r="1010" spans="1:2" ht="15.75" customHeight="1" x14ac:dyDescent="0.25">
      <c r="A1010" s="27" t="s">
        <v>792</v>
      </c>
      <c r="B1010" s="27" t="s">
        <v>793</v>
      </c>
    </row>
    <row r="1011" spans="1:2" ht="15.75" customHeight="1" x14ac:dyDescent="0.25">
      <c r="A1011" s="27" t="s">
        <v>792</v>
      </c>
      <c r="B1011" s="27" t="s">
        <v>793</v>
      </c>
    </row>
    <row r="1012" spans="1:2" ht="15.75" customHeight="1" x14ac:dyDescent="0.25">
      <c r="A1012" s="27" t="s">
        <v>792</v>
      </c>
      <c r="B1012" s="27" t="s">
        <v>793</v>
      </c>
    </row>
    <row r="1013" spans="1:2" ht="15.75" customHeight="1" x14ac:dyDescent="0.25">
      <c r="A1013" s="27" t="s">
        <v>792</v>
      </c>
      <c r="B1013" s="27" t="s">
        <v>793</v>
      </c>
    </row>
    <row r="1014" spans="1:2" ht="15.75" customHeight="1" x14ac:dyDescent="0.25">
      <c r="A1014" s="27" t="s">
        <v>792</v>
      </c>
      <c r="B1014" s="27" t="s">
        <v>793</v>
      </c>
    </row>
    <row r="1015" spans="1:2" ht="15.75" customHeight="1" x14ac:dyDescent="0.25">
      <c r="A1015" s="27" t="s">
        <v>792</v>
      </c>
      <c r="B1015" s="27" t="s">
        <v>793</v>
      </c>
    </row>
    <row r="1016" spans="1:2" ht="15.75" customHeight="1" x14ac:dyDescent="0.25">
      <c r="A1016" s="27" t="s">
        <v>792</v>
      </c>
      <c r="B1016" s="27" t="s">
        <v>793</v>
      </c>
    </row>
    <row r="1017" spans="1:2" ht="15.75" customHeight="1" x14ac:dyDescent="0.25">
      <c r="A1017" s="27" t="s">
        <v>792</v>
      </c>
      <c r="B1017" s="27" t="s">
        <v>793</v>
      </c>
    </row>
    <row r="1018" spans="1:2" ht="15.75" customHeight="1" x14ac:dyDescent="0.25">
      <c r="A1018" s="27" t="s">
        <v>794</v>
      </c>
      <c r="B1018" s="27" t="s">
        <v>795</v>
      </c>
    </row>
    <row r="1019" spans="1:2" ht="15.75" customHeight="1" x14ac:dyDescent="0.25">
      <c r="A1019" s="27" t="s">
        <v>794</v>
      </c>
      <c r="B1019" s="27" t="s">
        <v>795</v>
      </c>
    </row>
    <row r="1020" spans="1:2" ht="15.75" customHeight="1" x14ac:dyDescent="0.25">
      <c r="A1020" s="27" t="s">
        <v>794</v>
      </c>
      <c r="B1020" s="27" t="s">
        <v>795</v>
      </c>
    </row>
    <row r="1021" spans="1:2" ht="15.75" customHeight="1" x14ac:dyDescent="0.25">
      <c r="A1021" s="27" t="s">
        <v>794</v>
      </c>
      <c r="B1021" s="27" t="s">
        <v>795</v>
      </c>
    </row>
    <row r="1022" spans="1:2" ht="15.75" customHeight="1" x14ac:dyDescent="0.25">
      <c r="A1022" s="27" t="s">
        <v>794</v>
      </c>
      <c r="B1022" s="27" t="s">
        <v>795</v>
      </c>
    </row>
    <row r="1023" spans="1:2" ht="15.75" customHeight="1" x14ac:dyDescent="0.25">
      <c r="A1023" s="27" t="s">
        <v>794</v>
      </c>
      <c r="B1023" s="27" t="s">
        <v>795</v>
      </c>
    </row>
    <row r="1024" spans="1:2" ht="15.75" customHeight="1" x14ac:dyDescent="0.25">
      <c r="A1024" s="27" t="s">
        <v>794</v>
      </c>
      <c r="B1024" s="27" t="s">
        <v>795</v>
      </c>
    </row>
    <row r="1025" spans="1:2" ht="15.75" customHeight="1" x14ac:dyDescent="0.25">
      <c r="A1025" s="27" t="s">
        <v>794</v>
      </c>
      <c r="B1025" s="27" t="s">
        <v>795</v>
      </c>
    </row>
    <row r="1026" spans="1:2" ht="15.75" customHeight="1" x14ac:dyDescent="0.25">
      <c r="A1026" s="27" t="s">
        <v>794</v>
      </c>
      <c r="B1026" s="27" t="s">
        <v>795</v>
      </c>
    </row>
    <row r="1027" spans="1:2" ht="15.75" customHeight="1" x14ac:dyDescent="0.25">
      <c r="A1027" s="27" t="s">
        <v>794</v>
      </c>
      <c r="B1027" s="27" t="s">
        <v>795</v>
      </c>
    </row>
    <row r="1028" spans="1:2" ht="15.75" customHeight="1" x14ac:dyDescent="0.25">
      <c r="A1028" s="27" t="s">
        <v>794</v>
      </c>
      <c r="B1028" s="27" t="s">
        <v>795</v>
      </c>
    </row>
    <row r="1029" spans="1:2" ht="15.75" customHeight="1" x14ac:dyDescent="0.25">
      <c r="A1029" s="27" t="s">
        <v>794</v>
      </c>
      <c r="B1029" s="27" t="s">
        <v>795</v>
      </c>
    </row>
    <row r="1030" spans="1:2" ht="15.75" customHeight="1" x14ac:dyDescent="0.25">
      <c r="A1030" s="27" t="s">
        <v>794</v>
      </c>
      <c r="B1030" s="27" t="s">
        <v>795</v>
      </c>
    </row>
    <row r="1031" spans="1:2" ht="15.75" customHeight="1" x14ac:dyDescent="0.25">
      <c r="A1031" s="27" t="s">
        <v>794</v>
      </c>
      <c r="B1031" s="27" t="s">
        <v>795</v>
      </c>
    </row>
    <row r="1032" spans="1:2" ht="15.75" customHeight="1" x14ac:dyDescent="0.25">
      <c r="A1032" s="27" t="s">
        <v>794</v>
      </c>
      <c r="B1032" s="27" t="s">
        <v>795</v>
      </c>
    </row>
    <row r="1033" spans="1:2" ht="15.75" customHeight="1" x14ac:dyDescent="0.25">
      <c r="A1033" s="27" t="s">
        <v>796</v>
      </c>
      <c r="B1033" s="27" t="s">
        <v>797</v>
      </c>
    </row>
    <row r="1034" spans="1:2" ht="15.75" customHeight="1" x14ac:dyDescent="0.25">
      <c r="A1034" s="27" t="s">
        <v>796</v>
      </c>
      <c r="B1034" s="27" t="s">
        <v>797</v>
      </c>
    </row>
    <row r="1035" spans="1:2" ht="15.75" customHeight="1" x14ac:dyDescent="0.25">
      <c r="A1035" s="27" t="s">
        <v>796</v>
      </c>
      <c r="B1035" s="27" t="s">
        <v>797</v>
      </c>
    </row>
    <row r="1036" spans="1:2" ht="15.75" customHeight="1" x14ac:dyDescent="0.25">
      <c r="A1036" s="27" t="s">
        <v>796</v>
      </c>
      <c r="B1036" s="27" t="s">
        <v>797</v>
      </c>
    </row>
    <row r="1037" spans="1:2" ht="15.75" customHeight="1" x14ac:dyDescent="0.25">
      <c r="A1037" s="27" t="s">
        <v>796</v>
      </c>
      <c r="B1037" s="27" t="s">
        <v>797</v>
      </c>
    </row>
    <row r="1038" spans="1:2" ht="15.75" customHeight="1" x14ac:dyDescent="0.25">
      <c r="A1038" s="27" t="s">
        <v>796</v>
      </c>
      <c r="B1038" s="27" t="s">
        <v>797</v>
      </c>
    </row>
    <row r="1039" spans="1:2" ht="15.75" customHeight="1" x14ac:dyDescent="0.25">
      <c r="A1039" s="27" t="s">
        <v>796</v>
      </c>
      <c r="B1039" s="27" t="s">
        <v>797</v>
      </c>
    </row>
    <row r="1040" spans="1:2" ht="15.75" customHeight="1" x14ac:dyDescent="0.25">
      <c r="A1040" s="27" t="s">
        <v>796</v>
      </c>
      <c r="B1040" s="27" t="s">
        <v>797</v>
      </c>
    </row>
    <row r="1041" spans="1:2" ht="15.75" customHeight="1" x14ac:dyDescent="0.25">
      <c r="A1041" s="27" t="s">
        <v>796</v>
      </c>
      <c r="B1041" s="27" t="s">
        <v>797</v>
      </c>
    </row>
    <row r="1042" spans="1:2" ht="15.75" customHeight="1" x14ac:dyDescent="0.25">
      <c r="A1042" s="27" t="s">
        <v>796</v>
      </c>
      <c r="B1042" s="27" t="s">
        <v>797</v>
      </c>
    </row>
    <row r="1043" spans="1:2" ht="15.75" customHeight="1" x14ac:dyDescent="0.25">
      <c r="A1043" s="27" t="s">
        <v>796</v>
      </c>
      <c r="B1043" s="27" t="s">
        <v>797</v>
      </c>
    </row>
    <row r="1044" spans="1:2" ht="15.75" customHeight="1" x14ac:dyDescent="0.25">
      <c r="A1044" s="27" t="s">
        <v>798</v>
      </c>
      <c r="B1044" s="27" t="s">
        <v>799</v>
      </c>
    </row>
    <row r="1045" spans="1:2" ht="15.75" customHeight="1" x14ac:dyDescent="0.25">
      <c r="A1045" s="27" t="s">
        <v>798</v>
      </c>
      <c r="B1045" s="27" t="s">
        <v>799</v>
      </c>
    </row>
    <row r="1046" spans="1:2" ht="15.75" customHeight="1" x14ac:dyDescent="0.25">
      <c r="A1046" s="27" t="s">
        <v>798</v>
      </c>
      <c r="B1046" s="27" t="s">
        <v>799</v>
      </c>
    </row>
    <row r="1047" spans="1:2" ht="15.75" customHeight="1" x14ac:dyDescent="0.25">
      <c r="A1047" s="27" t="s">
        <v>798</v>
      </c>
      <c r="B1047" s="27" t="s">
        <v>799</v>
      </c>
    </row>
    <row r="1048" spans="1:2" ht="15.75" customHeight="1" x14ac:dyDescent="0.25">
      <c r="A1048" s="27" t="s">
        <v>798</v>
      </c>
      <c r="B1048" s="27" t="s">
        <v>799</v>
      </c>
    </row>
    <row r="1049" spans="1:2" ht="15.75" customHeight="1" x14ac:dyDescent="0.25">
      <c r="A1049" s="27" t="s">
        <v>798</v>
      </c>
      <c r="B1049" s="27" t="s">
        <v>799</v>
      </c>
    </row>
    <row r="1050" spans="1:2" ht="15.75" customHeight="1" x14ac:dyDescent="0.25">
      <c r="A1050" s="27" t="s">
        <v>798</v>
      </c>
      <c r="B1050" s="27" t="s">
        <v>799</v>
      </c>
    </row>
    <row r="1051" spans="1:2" ht="15.75" customHeight="1" x14ac:dyDescent="0.25">
      <c r="A1051" s="27" t="s">
        <v>798</v>
      </c>
      <c r="B1051" s="27" t="s">
        <v>799</v>
      </c>
    </row>
    <row r="1052" spans="1:2" ht="15.75" customHeight="1" x14ac:dyDescent="0.25">
      <c r="A1052" s="27" t="s">
        <v>798</v>
      </c>
      <c r="B1052" s="27" t="s">
        <v>799</v>
      </c>
    </row>
    <row r="1053" spans="1:2" ht="15.75" customHeight="1" x14ac:dyDescent="0.25">
      <c r="A1053" s="27" t="s">
        <v>798</v>
      </c>
      <c r="B1053" s="27" t="s">
        <v>799</v>
      </c>
    </row>
    <row r="1054" spans="1:2" ht="15.75" customHeight="1" x14ac:dyDescent="0.25">
      <c r="A1054" s="27" t="s">
        <v>800</v>
      </c>
      <c r="B1054" s="27" t="s">
        <v>801</v>
      </c>
    </row>
    <row r="1055" spans="1:2" ht="15.75" customHeight="1" x14ac:dyDescent="0.25">
      <c r="A1055" s="27" t="s">
        <v>800</v>
      </c>
      <c r="B1055" s="27" t="s">
        <v>801</v>
      </c>
    </row>
    <row r="1056" spans="1:2" ht="15.75" customHeight="1" x14ac:dyDescent="0.25">
      <c r="A1056" s="27" t="s">
        <v>800</v>
      </c>
      <c r="B1056" s="27" t="s">
        <v>801</v>
      </c>
    </row>
    <row r="1057" spans="1:2" ht="15.75" customHeight="1" x14ac:dyDescent="0.25">
      <c r="A1057" s="27" t="s">
        <v>802</v>
      </c>
      <c r="B1057" s="27" t="s">
        <v>803</v>
      </c>
    </row>
    <row r="1058" spans="1:2" ht="15.75" customHeight="1" x14ac:dyDescent="0.25">
      <c r="A1058" s="27" t="s">
        <v>802</v>
      </c>
      <c r="B1058" s="27" t="s">
        <v>803</v>
      </c>
    </row>
    <row r="1059" spans="1:2" ht="15.75" customHeight="1" x14ac:dyDescent="0.25">
      <c r="A1059" s="27" t="s">
        <v>802</v>
      </c>
      <c r="B1059" s="27" t="s">
        <v>803</v>
      </c>
    </row>
    <row r="1060" spans="1:2" ht="15.75" customHeight="1" x14ac:dyDescent="0.25">
      <c r="A1060" s="27" t="s">
        <v>804</v>
      </c>
      <c r="B1060" s="27" t="s">
        <v>805</v>
      </c>
    </row>
    <row r="1061" spans="1:2" ht="15.75" customHeight="1" x14ac:dyDescent="0.25">
      <c r="A1061" s="27" t="s">
        <v>806</v>
      </c>
      <c r="B1061" s="27" t="s">
        <v>807</v>
      </c>
    </row>
    <row r="1062" spans="1:2" ht="15.75" customHeight="1" x14ac:dyDescent="0.25">
      <c r="A1062" s="27" t="s">
        <v>808</v>
      </c>
      <c r="B1062" s="27" t="s">
        <v>809</v>
      </c>
    </row>
    <row r="1063" spans="1:2" ht="15.75" customHeight="1" x14ac:dyDescent="0.25">
      <c r="A1063" s="27" t="s">
        <v>808</v>
      </c>
      <c r="B1063" s="27" t="s">
        <v>809</v>
      </c>
    </row>
    <row r="1064" spans="1:2" ht="15.75" customHeight="1" x14ac:dyDescent="0.25">
      <c r="A1064" s="27" t="s">
        <v>810</v>
      </c>
      <c r="B1064" s="27" t="s">
        <v>811</v>
      </c>
    </row>
    <row r="1065" spans="1:2" ht="15.75" customHeight="1" x14ac:dyDescent="0.25">
      <c r="A1065" s="27" t="s">
        <v>812</v>
      </c>
      <c r="B1065" s="27" t="s">
        <v>813</v>
      </c>
    </row>
    <row r="1066" spans="1:2" ht="15.75" customHeight="1" x14ac:dyDescent="0.25">
      <c r="A1066" s="27" t="s">
        <v>814</v>
      </c>
      <c r="B1066" s="27" t="s">
        <v>815</v>
      </c>
    </row>
    <row r="1067" spans="1:2" ht="15.75" customHeight="1" x14ac:dyDescent="0.25">
      <c r="A1067" s="27" t="s">
        <v>814</v>
      </c>
      <c r="B1067" s="27" t="s">
        <v>815</v>
      </c>
    </row>
    <row r="1068" spans="1:2" ht="15.75" customHeight="1" x14ac:dyDescent="0.25">
      <c r="A1068" s="27" t="s">
        <v>814</v>
      </c>
      <c r="B1068" s="27" t="s">
        <v>815</v>
      </c>
    </row>
    <row r="1069" spans="1:2" ht="15.75" customHeight="1" x14ac:dyDescent="0.25">
      <c r="A1069" s="27" t="s">
        <v>814</v>
      </c>
      <c r="B1069" s="27" t="s">
        <v>815</v>
      </c>
    </row>
    <row r="1070" spans="1:2" ht="15.75" customHeight="1" x14ac:dyDescent="0.25">
      <c r="A1070" s="27" t="s">
        <v>814</v>
      </c>
      <c r="B1070" s="27" t="s">
        <v>815</v>
      </c>
    </row>
    <row r="1071" spans="1:2" ht="15.75" customHeight="1" x14ac:dyDescent="0.25">
      <c r="A1071" s="27" t="s">
        <v>816</v>
      </c>
      <c r="B1071" s="27" t="s">
        <v>817</v>
      </c>
    </row>
    <row r="1072" spans="1:2" ht="15.75" customHeight="1" x14ac:dyDescent="0.25">
      <c r="A1072" s="27" t="s">
        <v>816</v>
      </c>
      <c r="B1072" s="27" t="s">
        <v>817</v>
      </c>
    </row>
    <row r="1073" spans="1:2" ht="15.75" customHeight="1" x14ac:dyDescent="0.25">
      <c r="A1073" s="27" t="s">
        <v>816</v>
      </c>
      <c r="B1073" s="27" t="s">
        <v>817</v>
      </c>
    </row>
    <row r="1074" spans="1:2" ht="15.75" customHeight="1" x14ac:dyDescent="0.25">
      <c r="A1074" s="27" t="s">
        <v>818</v>
      </c>
      <c r="B1074" s="27" t="s">
        <v>819</v>
      </c>
    </row>
    <row r="1075" spans="1:2" ht="15.75" customHeight="1" x14ac:dyDescent="0.25">
      <c r="A1075" s="27" t="s">
        <v>818</v>
      </c>
      <c r="B1075" s="27" t="s">
        <v>819</v>
      </c>
    </row>
    <row r="1076" spans="1:2" ht="15.75" customHeight="1" x14ac:dyDescent="0.25">
      <c r="A1076" s="27" t="s">
        <v>818</v>
      </c>
      <c r="B1076" s="27" t="s">
        <v>819</v>
      </c>
    </row>
    <row r="1077" spans="1:2" ht="15.75" customHeight="1" x14ac:dyDescent="0.25">
      <c r="A1077" s="27" t="s">
        <v>818</v>
      </c>
      <c r="B1077" s="27" t="s">
        <v>819</v>
      </c>
    </row>
    <row r="1078" spans="1:2" ht="15.75" customHeight="1" x14ac:dyDescent="0.25">
      <c r="A1078" s="27" t="s">
        <v>818</v>
      </c>
      <c r="B1078" s="27" t="s">
        <v>819</v>
      </c>
    </row>
    <row r="1079" spans="1:2" ht="15.75" customHeight="1" x14ac:dyDescent="0.25">
      <c r="A1079" s="27" t="s">
        <v>818</v>
      </c>
      <c r="B1079" s="27" t="s">
        <v>819</v>
      </c>
    </row>
    <row r="1080" spans="1:2" ht="15.75" customHeight="1" x14ac:dyDescent="0.25">
      <c r="A1080" s="27" t="s">
        <v>818</v>
      </c>
      <c r="B1080" s="27" t="s">
        <v>819</v>
      </c>
    </row>
    <row r="1081" spans="1:2" ht="15.75" customHeight="1" x14ac:dyDescent="0.25">
      <c r="A1081" s="27" t="s">
        <v>818</v>
      </c>
      <c r="B1081" s="27" t="s">
        <v>819</v>
      </c>
    </row>
    <row r="1082" spans="1:2" ht="15.75" customHeight="1" x14ac:dyDescent="0.25">
      <c r="A1082" s="27" t="s">
        <v>818</v>
      </c>
      <c r="B1082" s="27" t="s">
        <v>819</v>
      </c>
    </row>
    <row r="1083" spans="1:2" ht="15.75" customHeight="1" x14ac:dyDescent="0.25">
      <c r="A1083" s="27" t="s">
        <v>818</v>
      </c>
      <c r="B1083" s="27" t="s">
        <v>819</v>
      </c>
    </row>
    <row r="1084" spans="1:2" ht="15.75" customHeight="1" x14ac:dyDescent="0.25">
      <c r="A1084" s="27" t="s">
        <v>820</v>
      </c>
      <c r="B1084" s="27" t="s">
        <v>821</v>
      </c>
    </row>
    <row r="1085" spans="1:2" ht="15.75" customHeight="1" x14ac:dyDescent="0.25">
      <c r="A1085" s="27" t="s">
        <v>820</v>
      </c>
      <c r="B1085" s="27" t="s">
        <v>821</v>
      </c>
    </row>
    <row r="1086" spans="1:2" ht="15.75" customHeight="1" x14ac:dyDescent="0.25">
      <c r="A1086" s="27" t="s">
        <v>820</v>
      </c>
      <c r="B1086" s="27" t="s">
        <v>821</v>
      </c>
    </row>
    <row r="1087" spans="1:2" ht="15.75" customHeight="1" x14ac:dyDescent="0.25">
      <c r="A1087" s="27" t="s">
        <v>820</v>
      </c>
      <c r="B1087" s="27" t="s">
        <v>821</v>
      </c>
    </row>
    <row r="1088" spans="1:2" ht="15.75" customHeight="1" x14ac:dyDescent="0.25">
      <c r="A1088" s="27" t="s">
        <v>820</v>
      </c>
      <c r="B1088" s="27" t="s">
        <v>821</v>
      </c>
    </row>
    <row r="1089" spans="1:2" ht="15.75" customHeight="1" x14ac:dyDescent="0.25">
      <c r="A1089" s="27" t="s">
        <v>820</v>
      </c>
      <c r="B1089" s="27" t="s">
        <v>821</v>
      </c>
    </row>
    <row r="1090" spans="1:2" ht="15.75" customHeight="1" x14ac:dyDescent="0.25">
      <c r="A1090" s="27" t="s">
        <v>822</v>
      </c>
      <c r="B1090" s="27" t="s">
        <v>823</v>
      </c>
    </row>
    <row r="1091" spans="1:2" ht="15.75" customHeight="1" x14ac:dyDescent="0.25">
      <c r="A1091" s="27" t="s">
        <v>824</v>
      </c>
      <c r="B1091" s="27" t="s">
        <v>825</v>
      </c>
    </row>
    <row r="1092" spans="1:2" ht="15.75" customHeight="1" x14ac:dyDescent="0.25">
      <c r="A1092" s="27" t="s">
        <v>824</v>
      </c>
      <c r="B1092" s="27" t="s">
        <v>825</v>
      </c>
    </row>
    <row r="1093" spans="1:2" ht="15.75" customHeight="1" x14ac:dyDescent="0.25">
      <c r="A1093" s="27" t="s">
        <v>824</v>
      </c>
      <c r="B1093" s="27" t="s">
        <v>825</v>
      </c>
    </row>
    <row r="1094" spans="1:2" ht="15.75" customHeight="1" x14ac:dyDescent="0.25">
      <c r="A1094" s="27" t="s">
        <v>826</v>
      </c>
      <c r="B1094" s="27" t="s">
        <v>827</v>
      </c>
    </row>
    <row r="1095" spans="1:2" ht="15.75" customHeight="1" x14ac:dyDescent="0.25">
      <c r="A1095" s="27" t="s">
        <v>828</v>
      </c>
      <c r="B1095" s="27" t="s">
        <v>829</v>
      </c>
    </row>
    <row r="1096" spans="1:2" ht="15.75" customHeight="1" x14ac:dyDescent="0.25">
      <c r="A1096" s="27" t="s">
        <v>830</v>
      </c>
      <c r="B1096" s="27" t="s">
        <v>831</v>
      </c>
    </row>
    <row r="1097" spans="1:2" ht="15.75" customHeight="1" x14ac:dyDescent="0.25">
      <c r="A1097" s="27" t="s">
        <v>830</v>
      </c>
      <c r="B1097" s="27" t="s">
        <v>831</v>
      </c>
    </row>
    <row r="1098" spans="1:2" ht="15.75" customHeight="1" x14ac:dyDescent="0.25">
      <c r="A1098" s="27" t="s">
        <v>832</v>
      </c>
      <c r="B1098" s="27" t="s">
        <v>833</v>
      </c>
    </row>
    <row r="1099" spans="1:2" ht="15.75" customHeight="1" x14ac:dyDescent="0.25">
      <c r="A1099" s="27" t="s">
        <v>832</v>
      </c>
      <c r="B1099" s="27" t="s">
        <v>833</v>
      </c>
    </row>
    <row r="1100" spans="1:2" ht="15.75" customHeight="1" x14ac:dyDescent="0.25">
      <c r="A1100" s="27" t="s">
        <v>832</v>
      </c>
      <c r="B1100" s="27" t="s">
        <v>833</v>
      </c>
    </row>
    <row r="1101" spans="1:2" ht="15.75" customHeight="1" x14ac:dyDescent="0.25">
      <c r="A1101" s="27" t="s">
        <v>832</v>
      </c>
      <c r="B1101" s="27" t="s">
        <v>833</v>
      </c>
    </row>
    <row r="1102" spans="1:2" ht="15.75" customHeight="1" x14ac:dyDescent="0.25">
      <c r="A1102" s="27" t="s">
        <v>834</v>
      </c>
      <c r="B1102" s="27" t="s">
        <v>835</v>
      </c>
    </row>
    <row r="1103" spans="1:2" ht="15.75" customHeight="1" x14ac:dyDescent="0.25">
      <c r="A1103" s="27" t="s">
        <v>834</v>
      </c>
      <c r="B1103" s="27" t="s">
        <v>835</v>
      </c>
    </row>
    <row r="1104" spans="1:2" ht="15.75" customHeight="1" x14ac:dyDescent="0.25">
      <c r="A1104" s="27" t="s">
        <v>836</v>
      </c>
      <c r="B1104" s="27" t="s">
        <v>837</v>
      </c>
    </row>
    <row r="1105" spans="1:2" ht="15.75" customHeight="1" x14ac:dyDescent="0.25">
      <c r="A1105" s="27" t="s">
        <v>836</v>
      </c>
      <c r="B1105" s="27" t="s">
        <v>837</v>
      </c>
    </row>
    <row r="1106" spans="1:2" ht="15.75" customHeight="1" x14ac:dyDescent="0.25">
      <c r="A1106" s="27" t="s">
        <v>838</v>
      </c>
      <c r="B1106" s="27" t="s">
        <v>839</v>
      </c>
    </row>
    <row r="1107" spans="1:2" ht="15.75" customHeight="1" x14ac:dyDescent="0.25">
      <c r="A1107" s="27" t="s">
        <v>840</v>
      </c>
      <c r="B1107" s="27" t="s">
        <v>841</v>
      </c>
    </row>
    <row r="1108" spans="1:2" ht="15.75" customHeight="1" x14ac:dyDescent="0.25">
      <c r="A1108" s="27" t="s">
        <v>840</v>
      </c>
      <c r="B1108" s="27" t="s">
        <v>841</v>
      </c>
    </row>
    <row r="1109" spans="1:2" ht="15.75" customHeight="1" x14ac:dyDescent="0.25">
      <c r="A1109" s="27" t="s">
        <v>842</v>
      </c>
      <c r="B1109" s="27" t="s">
        <v>843</v>
      </c>
    </row>
    <row r="1110" spans="1:2" ht="15.75" customHeight="1" x14ac:dyDescent="0.25">
      <c r="A1110" s="27" t="s">
        <v>842</v>
      </c>
      <c r="B1110" s="27" t="s">
        <v>843</v>
      </c>
    </row>
    <row r="1111" spans="1:2" ht="15.75" customHeight="1" x14ac:dyDescent="0.25">
      <c r="A1111" s="27" t="s">
        <v>844</v>
      </c>
      <c r="B1111" s="27" t="s">
        <v>845</v>
      </c>
    </row>
    <row r="1112" spans="1:2" ht="15.75" customHeight="1" x14ac:dyDescent="0.25">
      <c r="A1112" s="27" t="s">
        <v>844</v>
      </c>
      <c r="B1112" s="27" t="s">
        <v>845</v>
      </c>
    </row>
    <row r="1113" spans="1:2" ht="15.75" customHeight="1" x14ac:dyDescent="0.25">
      <c r="A1113" s="27" t="s">
        <v>844</v>
      </c>
      <c r="B1113" s="27" t="s">
        <v>845</v>
      </c>
    </row>
    <row r="1114" spans="1:2" ht="15.75" customHeight="1" x14ac:dyDescent="0.25">
      <c r="A1114" s="27" t="s">
        <v>846</v>
      </c>
      <c r="B1114" s="27" t="s">
        <v>847</v>
      </c>
    </row>
    <row r="1115" spans="1:2" ht="15.75" customHeight="1" x14ac:dyDescent="0.25">
      <c r="A1115" s="27" t="s">
        <v>848</v>
      </c>
      <c r="B1115" s="27" t="s">
        <v>849</v>
      </c>
    </row>
    <row r="1116" spans="1:2" ht="15.75" customHeight="1" x14ac:dyDescent="0.25">
      <c r="A1116" s="27" t="s">
        <v>848</v>
      </c>
      <c r="B1116" s="27" t="s">
        <v>849</v>
      </c>
    </row>
    <row r="1117" spans="1:2" ht="15.75" customHeight="1" x14ac:dyDescent="0.25">
      <c r="A1117" s="27" t="s">
        <v>850</v>
      </c>
      <c r="B1117" s="27" t="s">
        <v>851</v>
      </c>
    </row>
    <row r="1118" spans="1:2" ht="15.75" customHeight="1" x14ac:dyDescent="0.25">
      <c r="A1118" s="27" t="s">
        <v>850</v>
      </c>
      <c r="B1118" s="27" t="s">
        <v>851</v>
      </c>
    </row>
    <row r="1119" spans="1:2" ht="15.75" customHeight="1" x14ac:dyDescent="0.25">
      <c r="A1119" s="27" t="s">
        <v>850</v>
      </c>
      <c r="B1119" s="27" t="s">
        <v>851</v>
      </c>
    </row>
    <row r="1120" spans="1:2" ht="15.75" customHeight="1" x14ac:dyDescent="0.25">
      <c r="A1120" s="27" t="s">
        <v>850</v>
      </c>
      <c r="B1120" s="27" t="s">
        <v>851</v>
      </c>
    </row>
    <row r="1121" spans="1:2" ht="15.75" customHeight="1" x14ac:dyDescent="0.25">
      <c r="A1121" s="27" t="s">
        <v>850</v>
      </c>
      <c r="B1121" s="27" t="s">
        <v>851</v>
      </c>
    </row>
    <row r="1122" spans="1:2" ht="15.75" customHeight="1" x14ac:dyDescent="0.25">
      <c r="A1122" s="27" t="s">
        <v>850</v>
      </c>
      <c r="B1122" s="27" t="s">
        <v>851</v>
      </c>
    </row>
    <row r="1123" spans="1:2" ht="15.75" customHeight="1" x14ac:dyDescent="0.25">
      <c r="A1123" s="27" t="s">
        <v>850</v>
      </c>
      <c r="B1123" s="27" t="s">
        <v>851</v>
      </c>
    </row>
    <row r="1124" spans="1:2" ht="15.75" customHeight="1" x14ac:dyDescent="0.25">
      <c r="A1124" s="27" t="s">
        <v>850</v>
      </c>
      <c r="B1124" s="27" t="s">
        <v>851</v>
      </c>
    </row>
    <row r="1125" spans="1:2" ht="15.75" customHeight="1" x14ac:dyDescent="0.25">
      <c r="A1125" s="27" t="s">
        <v>852</v>
      </c>
      <c r="B1125" s="27" t="s">
        <v>853</v>
      </c>
    </row>
    <row r="1126" spans="1:2" ht="15.75" customHeight="1" x14ac:dyDescent="0.25">
      <c r="A1126" s="27" t="s">
        <v>854</v>
      </c>
      <c r="B1126" s="27" t="s">
        <v>855</v>
      </c>
    </row>
    <row r="1127" spans="1:2" ht="15.75" customHeight="1" x14ac:dyDescent="0.25">
      <c r="A1127" s="27" t="s">
        <v>854</v>
      </c>
      <c r="B1127" s="27" t="s">
        <v>855</v>
      </c>
    </row>
    <row r="1128" spans="1:2" ht="15.75" customHeight="1" x14ac:dyDescent="0.25">
      <c r="A1128" s="27" t="s">
        <v>854</v>
      </c>
      <c r="B1128" s="27" t="s">
        <v>855</v>
      </c>
    </row>
    <row r="1129" spans="1:2" ht="15.75" customHeight="1" x14ac:dyDescent="0.25">
      <c r="A1129" s="27" t="s">
        <v>854</v>
      </c>
      <c r="B1129" s="27" t="s">
        <v>855</v>
      </c>
    </row>
    <row r="1130" spans="1:2" ht="15.75" customHeight="1" x14ac:dyDescent="0.25">
      <c r="A1130" s="27" t="s">
        <v>854</v>
      </c>
      <c r="B1130" s="27" t="s">
        <v>855</v>
      </c>
    </row>
    <row r="1131" spans="1:2" ht="15.75" customHeight="1" x14ac:dyDescent="0.25">
      <c r="A1131" s="27" t="s">
        <v>854</v>
      </c>
      <c r="B1131" s="27" t="s">
        <v>855</v>
      </c>
    </row>
    <row r="1132" spans="1:2" ht="15.75" customHeight="1" x14ac:dyDescent="0.25">
      <c r="A1132" s="27" t="s">
        <v>854</v>
      </c>
      <c r="B1132" s="27" t="s">
        <v>855</v>
      </c>
    </row>
    <row r="1133" spans="1:2" ht="15.75" customHeight="1" x14ac:dyDescent="0.25">
      <c r="A1133" s="27" t="s">
        <v>854</v>
      </c>
      <c r="B1133" s="27" t="s">
        <v>855</v>
      </c>
    </row>
    <row r="1134" spans="1:2" ht="15.75" customHeight="1" x14ac:dyDescent="0.25">
      <c r="A1134" s="27" t="s">
        <v>854</v>
      </c>
      <c r="B1134" s="27" t="s">
        <v>855</v>
      </c>
    </row>
    <row r="1135" spans="1:2" ht="15.75" customHeight="1" x14ac:dyDescent="0.25">
      <c r="A1135" s="27" t="s">
        <v>854</v>
      </c>
      <c r="B1135" s="27" t="s">
        <v>855</v>
      </c>
    </row>
    <row r="1136" spans="1:2" ht="15.75" customHeight="1" x14ac:dyDescent="0.25">
      <c r="A1136" s="27" t="s">
        <v>854</v>
      </c>
      <c r="B1136" s="27" t="s">
        <v>855</v>
      </c>
    </row>
    <row r="1137" spans="1:2" ht="15.75" customHeight="1" x14ac:dyDescent="0.25">
      <c r="A1137" s="27" t="s">
        <v>856</v>
      </c>
      <c r="B1137" s="27" t="s">
        <v>857</v>
      </c>
    </row>
    <row r="1138" spans="1:2" ht="15.75" customHeight="1" x14ac:dyDescent="0.25">
      <c r="A1138" s="27" t="s">
        <v>858</v>
      </c>
      <c r="B1138" s="27" t="s">
        <v>859</v>
      </c>
    </row>
    <row r="1139" spans="1:2" ht="15.75" customHeight="1" x14ac:dyDescent="0.25">
      <c r="A1139" s="27" t="s">
        <v>860</v>
      </c>
      <c r="B1139" s="27" t="s">
        <v>861</v>
      </c>
    </row>
    <row r="1140" spans="1:2" ht="15.75" customHeight="1" x14ac:dyDescent="0.25">
      <c r="A1140" s="27" t="s">
        <v>862</v>
      </c>
      <c r="B1140" s="27" t="s">
        <v>863</v>
      </c>
    </row>
    <row r="1141" spans="1:2" ht="15.75" customHeight="1" x14ac:dyDescent="0.25">
      <c r="A1141" s="27" t="s">
        <v>862</v>
      </c>
      <c r="B1141" s="27" t="s">
        <v>863</v>
      </c>
    </row>
    <row r="1142" spans="1:2" ht="15.75" customHeight="1" x14ac:dyDescent="0.25">
      <c r="A1142" s="27" t="s">
        <v>864</v>
      </c>
      <c r="B1142" s="27" t="s">
        <v>865</v>
      </c>
    </row>
    <row r="1143" spans="1:2" ht="15.75" customHeight="1" x14ac:dyDescent="0.25">
      <c r="A1143" s="27" t="s">
        <v>864</v>
      </c>
      <c r="B1143" s="27" t="s">
        <v>865</v>
      </c>
    </row>
    <row r="1144" spans="1:2" ht="15.75" customHeight="1" x14ac:dyDescent="0.25">
      <c r="A1144" s="27" t="s">
        <v>864</v>
      </c>
      <c r="B1144" s="27" t="s">
        <v>865</v>
      </c>
    </row>
    <row r="1145" spans="1:2" ht="15.75" customHeight="1" x14ac:dyDescent="0.25">
      <c r="A1145" s="27" t="s">
        <v>864</v>
      </c>
      <c r="B1145" s="27" t="s">
        <v>865</v>
      </c>
    </row>
    <row r="1146" spans="1:2" ht="15.75" customHeight="1" x14ac:dyDescent="0.25">
      <c r="A1146" s="27" t="s">
        <v>866</v>
      </c>
      <c r="B1146" s="27" t="s">
        <v>867</v>
      </c>
    </row>
    <row r="1147" spans="1:2" ht="15.75" customHeight="1" x14ac:dyDescent="0.25">
      <c r="A1147" s="27" t="s">
        <v>868</v>
      </c>
      <c r="B1147" s="27" t="s">
        <v>869</v>
      </c>
    </row>
    <row r="1148" spans="1:2" ht="15.75" customHeight="1" x14ac:dyDescent="0.25">
      <c r="A1148" s="27" t="s">
        <v>868</v>
      </c>
      <c r="B1148" s="27" t="s">
        <v>869</v>
      </c>
    </row>
    <row r="1149" spans="1:2" ht="15.75" customHeight="1" x14ac:dyDescent="0.25">
      <c r="A1149" s="27" t="s">
        <v>870</v>
      </c>
      <c r="B1149" s="27" t="s">
        <v>871</v>
      </c>
    </row>
    <row r="1150" spans="1:2" ht="15.75" customHeight="1" x14ac:dyDescent="0.25">
      <c r="A1150" s="27" t="s">
        <v>870</v>
      </c>
      <c r="B1150" s="27" t="s">
        <v>871</v>
      </c>
    </row>
    <row r="1151" spans="1:2" ht="15.75" customHeight="1" x14ac:dyDescent="0.25">
      <c r="A1151" s="27" t="s">
        <v>872</v>
      </c>
      <c r="B1151" s="27" t="s">
        <v>873</v>
      </c>
    </row>
    <row r="1152" spans="1:2" ht="15.75" customHeight="1" x14ac:dyDescent="0.25">
      <c r="A1152" s="27" t="s">
        <v>872</v>
      </c>
      <c r="B1152" s="27" t="s">
        <v>873</v>
      </c>
    </row>
    <row r="1153" spans="1:2" ht="15.75" customHeight="1" x14ac:dyDescent="0.25">
      <c r="A1153" s="27" t="s">
        <v>872</v>
      </c>
      <c r="B1153" s="27" t="s">
        <v>873</v>
      </c>
    </row>
    <row r="1154" spans="1:2" ht="15.75" customHeight="1" x14ac:dyDescent="0.25">
      <c r="A1154" s="27" t="s">
        <v>872</v>
      </c>
      <c r="B1154" s="27" t="s">
        <v>873</v>
      </c>
    </row>
    <row r="1155" spans="1:2" ht="15.75" customHeight="1" x14ac:dyDescent="0.25">
      <c r="A1155" s="27" t="s">
        <v>872</v>
      </c>
      <c r="B1155" s="27" t="s">
        <v>873</v>
      </c>
    </row>
    <row r="1156" spans="1:2" ht="15.75" customHeight="1" x14ac:dyDescent="0.25">
      <c r="A1156" s="27" t="s">
        <v>872</v>
      </c>
      <c r="B1156" s="27" t="s">
        <v>873</v>
      </c>
    </row>
    <row r="1157" spans="1:2" ht="15.75" customHeight="1" x14ac:dyDescent="0.25">
      <c r="A1157" s="27" t="s">
        <v>872</v>
      </c>
      <c r="B1157" s="27" t="s">
        <v>873</v>
      </c>
    </row>
    <row r="1158" spans="1:2" ht="15.75" customHeight="1" x14ac:dyDescent="0.25">
      <c r="A1158" s="27" t="s">
        <v>874</v>
      </c>
      <c r="B1158" s="27" t="s">
        <v>875</v>
      </c>
    </row>
    <row r="1159" spans="1:2" ht="15.75" customHeight="1" x14ac:dyDescent="0.25">
      <c r="A1159" s="27" t="s">
        <v>874</v>
      </c>
      <c r="B1159" s="27" t="s">
        <v>875</v>
      </c>
    </row>
    <row r="1160" spans="1:2" ht="15.75" customHeight="1" x14ac:dyDescent="0.25">
      <c r="A1160" s="27" t="s">
        <v>874</v>
      </c>
      <c r="B1160" s="27" t="s">
        <v>875</v>
      </c>
    </row>
    <row r="1161" spans="1:2" ht="15.75" customHeight="1" x14ac:dyDescent="0.25">
      <c r="A1161" s="27" t="s">
        <v>874</v>
      </c>
      <c r="B1161" s="27" t="s">
        <v>875</v>
      </c>
    </row>
    <row r="1162" spans="1:2" ht="15.75" customHeight="1" x14ac:dyDescent="0.25">
      <c r="A1162" s="27" t="s">
        <v>874</v>
      </c>
      <c r="B1162" s="27" t="s">
        <v>875</v>
      </c>
    </row>
    <row r="1163" spans="1:2" ht="15.75" customHeight="1" x14ac:dyDescent="0.25">
      <c r="A1163" s="27" t="s">
        <v>874</v>
      </c>
      <c r="B1163" s="27" t="s">
        <v>875</v>
      </c>
    </row>
    <row r="1164" spans="1:2" ht="15.75" customHeight="1" x14ac:dyDescent="0.25">
      <c r="A1164" s="27" t="s">
        <v>874</v>
      </c>
      <c r="B1164" s="27" t="s">
        <v>875</v>
      </c>
    </row>
    <row r="1165" spans="1:2" ht="15.75" customHeight="1" x14ac:dyDescent="0.25">
      <c r="A1165" s="27" t="s">
        <v>876</v>
      </c>
      <c r="B1165" s="27" t="s">
        <v>877</v>
      </c>
    </row>
    <row r="1166" spans="1:2" ht="15.75" customHeight="1" x14ac:dyDescent="0.25">
      <c r="A1166" s="27" t="s">
        <v>876</v>
      </c>
      <c r="B1166" s="27" t="s">
        <v>877</v>
      </c>
    </row>
    <row r="1167" spans="1:2" ht="15.75" customHeight="1" x14ac:dyDescent="0.25">
      <c r="A1167" s="27" t="s">
        <v>876</v>
      </c>
      <c r="B1167" s="27" t="s">
        <v>877</v>
      </c>
    </row>
    <row r="1168" spans="1:2" ht="15.75" customHeight="1" x14ac:dyDescent="0.25">
      <c r="A1168" s="27" t="s">
        <v>876</v>
      </c>
      <c r="B1168" s="27" t="s">
        <v>877</v>
      </c>
    </row>
    <row r="1169" spans="1:2" ht="15.75" customHeight="1" x14ac:dyDescent="0.25">
      <c r="A1169" s="27" t="s">
        <v>876</v>
      </c>
      <c r="B1169" s="27" t="s">
        <v>877</v>
      </c>
    </row>
    <row r="1170" spans="1:2" ht="15.75" customHeight="1" x14ac:dyDescent="0.25">
      <c r="A1170" s="27" t="s">
        <v>876</v>
      </c>
      <c r="B1170" s="27" t="s">
        <v>877</v>
      </c>
    </row>
    <row r="1171" spans="1:2" ht="15.75" customHeight="1" x14ac:dyDescent="0.25">
      <c r="A1171" s="27" t="s">
        <v>878</v>
      </c>
      <c r="B1171" s="27" t="s">
        <v>879</v>
      </c>
    </row>
    <row r="1172" spans="1:2" ht="15.75" customHeight="1" x14ac:dyDescent="0.25">
      <c r="A1172" s="27" t="s">
        <v>878</v>
      </c>
      <c r="B1172" s="27" t="s">
        <v>879</v>
      </c>
    </row>
    <row r="1173" spans="1:2" ht="15.75" customHeight="1" x14ac:dyDescent="0.25">
      <c r="A1173" s="27" t="s">
        <v>878</v>
      </c>
      <c r="B1173" s="27" t="s">
        <v>879</v>
      </c>
    </row>
    <row r="1174" spans="1:2" ht="15.75" customHeight="1" x14ac:dyDescent="0.25">
      <c r="A1174" s="27" t="s">
        <v>878</v>
      </c>
      <c r="B1174" s="27" t="s">
        <v>879</v>
      </c>
    </row>
    <row r="1175" spans="1:2" ht="15.75" customHeight="1" x14ac:dyDescent="0.25">
      <c r="A1175" s="27" t="s">
        <v>880</v>
      </c>
      <c r="B1175" s="27" t="s">
        <v>881</v>
      </c>
    </row>
    <row r="1176" spans="1:2" ht="15.75" customHeight="1" x14ac:dyDescent="0.25">
      <c r="A1176" s="27" t="s">
        <v>880</v>
      </c>
      <c r="B1176" s="27" t="s">
        <v>881</v>
      </c>
    </row>
    <row r="1177" spans="1:2" ht="15.75" customHeight="1" x14ac:dyDescent="0.25">
      <c r="A1177" s="27" t="s">
        <v>880</v>
      </c>
      <c r="B1177" s="27" t="s">
        <v>881</v>
      </c>
    </row>
    <row r="1178" spans="1:2" ht="15.75" customHeight="1" x14ac:dyDescent="0.25">
      <c r="A1178" s="27" t="s">
        <v>882</v>
      </c>
      <c r="B1178" s="27" t="s">
        <v>883</v>
      </c>
    </row>
    <row r="1179" spans="1:2" ht="15.75" customHeight="1" x14ac:dyDescent="0.25">
      <c r="A1179" s="27" t="s">
        <v>884</v>
      </c>
      <c r="B1179" s="27" t="s">
        <v>885</v>
      </c>
    </row>
    <row r="1180" spans="1:2" ht="15.75" customHeight="1" x14ac:dyDescent="0.25">
      <c r="A1180" s="27" t="s">
        <v>884</v>
      </c>
      <c r="B1180" s="27" t="s">
        <v>885</v>
      </c>
    </row>
    <row r="1181" spans="1:2" ht="15.75" customHeight="1" x14ac:dyDescent="0.25">
      <c r="A1181" s="27" t="s">
        <v>884</v>
      </c>
      <c r="B1181" s="27" t="s">
        <v>885</v>
      </c>
    </row>
    <row r="1182" spans="1:2" ht="15.75" customHeight="1" x14ac:dyDescent="0.25">
      <c r="A1182" s="27" t="s">
        <v>884</v>
      </c>
      <c r="B1182" s="27" t="s">
        <v>885</v>
      </c>
    </row>
    <row r="1183" spans="1:2" ht="15.75" customHeight="1" x14ac:dyDescent="0.25">
      <c r="A1183" s="27" t="s">
        <v>884</v>
      </c>
      <c r="B1183" s="27" t="s">
        <v>885</v>
      </c>
    </row>
    <row r="1184" spans="1:2" ht="15.75" customHeight="1" x14ac:dyDescent="0.25">
      <c r="A1184" s="27" t="s">
        <v>884</v>
      </c>
      <c r="B1184" s="27" t="s">
        <v>885</v>
      </c>
    </row>
    <row r="1185" spans="1:2" ht="15.75" customHeight="1" x14ac:dyDescent="0.25">
      <c r="A1185" s="27" t="s">
        <v>884</v>
      </c>
      <c r="B1185" s="27" t="s">
        <v>885</v>
      </c>
    </row>
    <row r="1186" spans="1:2" ht="15.75" customHeight="1" x14ac:dyDescent="0.25">
      <c r="A1186" s="27" t="s">
        <v>884</v>
      </c>
      <c r="B1186" s="27" t="s">
        <v>885</v>
      </c>
    </row>
    <row r="1187" spans="1:2" ht="15.75" customHeight="1" x14ac:dyDescent="0.25">
      <c r="A1187" s="27" t="s">
        <v>884</v>
      </c>
      <c r="B1187" s="27" t="s">
        <v>885</v>
      </c>
    </row>
    <row r="1188" spans="1:2" ht="15.75" customHeight="1" x14ac:dyDescent="0.25">
      <c r="A1188" s="27" t="s">
        <v>886</v>
      </c>
      <c r="B1188" s="27" t="s">
        <v>887</v>
      </c>
    </row>
    <row r="1189" spans="1:2" ht="15.75" customHeight="1" x14ac:dyDescent="0.25">
      <c r="A1189" s="27" t="s">
        <v>886</v>
      </c>
      <c r="B1189" s="27" t="s">
        <v>887</v>
      </c>
    </row>
    <row r="1190" spans="1:2" ht="15.75" customHeight="1" x14ac:dyDescent="0.25">
      <c r="A1190" s="27" t="s">
        <v>886</v>
      </c>
      <c r="B1190" s="27" t="s">
        <v>887</v>
      </c>
    </row>
    <row r="1191" spans="1:2" ht="15.75" customHeight="1" x14ac:dyDescent="0.25">
      <c r="A1191" s="27" t="s">
        <v>886</v>
      </c>
      <c r="B1191" s="27" t="s">
        <v>887</v>
      </c>
    </row>
    <row r="1192" spans="1:2" ht="15.75" customHeight="1" x14ac:dyDescent="0.25">
      <c r="A1192" s="27" t="s">
        <v>886</v>
      </c>
      <c r="B1192" s="27" t="s">
        <v>887</v>
      </c>
    </row>
    <row r="1193" spans="1:2" ht="15.75" customHeight="1" x14ac:dyDescent="0.25">
      <c r="A1193" s="27" t="s">
        <v>886</v>
      </c>
      <c r="B1193" s="27" t="s">
        <v>887</v>
      </c>
    </row>
    <row r="1194" spans="1:2" ht="15.75" customHeight="1" x14ac:dyDescent="0.25">
      <c r="A1194" s="27" t="s">
        <v>886</v>
      </c>
      <c r="B1194" s="27" t="s">
        <v>887</v>
      </c>
    </row>
    <row r="1195" spans="1:2" ht="15.75" customHeight="1" x14ac:dyDescent="0.25">
      <c r="A1195" s="27" t="s">
        <v>886</v>
      </c>
      <c r="B1195" s="27" t="s">
        <v>887</v>
      </c>
    </row>
    <row r="1196" spans="1:2" ht="15.75" customHeight="1" x14ac:dyDescent="0.25">
      <c r="A1196" s="27" t="s">
        <v>886</v>
      </c>
      <c r="B1196" s="27" t="s">
        <v>887</v>
      </c>
    </row>
    <row r="1197" spans="1:2" ht="15.75" customHeight="1" x14ac:dyDescent="0.25">
      <c r="A1197" s="27" t="s">
        <v>886</v>
      </c>
      <c r="B1197" s="27" t="s">
        <v>887</v>
      </c>
    </row>
    <row r="1198" spans="1:2" ht="15.75" customHeight="1" x14ac:dyDescent="0.25">
      <c r="A1198" s="27" t="s">
        <v>886</v>
      </c>
      <c r="B1198" s="27" t="s">
        <v>887</v>
      </c>
    </row>
    <row r="1199" spans="1:2" ht="15.75" customHeight="1" x14ac:dyDescent="0.25">
      <c r="A1199" s="27" t="s">
        <v>886</v>
      </c>
      <c r="B1199" s="27" t="s">
        <v>887</v>
      </c>
    </row>
    <row r="1200" spans="1:2" ht="15.75" customHeight="1" x14ac:dyDescent="0.25">
      <c r="A1200" s="27" t="s">
        <v>886</v>
      </c>
      <c r="B1200" s="27" t="s">
        <v>887</v>
      </c>
    </row>
    <row r="1201" spans="1:2" ht="15.75" customHeight="1" x14ac:dyDescent="0.25">
      <c r="A1201" s="27" t="s">
        <v>886</v>
      </c>
      <c r="B1201" s="27" t="s">
        <v>887</v>
      </c>
    </row>
    <row r="1202" spans="1:2" ht="15.75" customHeight="1" x14ac:dyDescent="0.25">
      <c r="A1202" s="27" t="s">
        <v>886</v>
      </c>
      <c r="B1202" s="27" t="s">
        <v>887</v>
      </c>
    </row>
    <row r="1203" spans="1:2" ht="15.75" customHeight="1" x14ac:dyDescent="0.25">
      <c r="A1203" s="27" t="s">
        <v>886</v>
      </c>
      <c r="B1203" s="27" t="s">
        <v>887</v>
      </c>
    </row>
    <row r="1204" spans="1:2" ht="15.75" customHeight="1" x14ac:dyDescent="0.25">
      <c r="A1204" s="27" t="s">
        <v>886</v>
      </c>
      <c r="B1204" s="27" t="s">
        <v>887</v>
      </c>
    </row>
    <row r="1205" spans="1:2" ht="15.75" customHeight="1" x14ac:dyDescent="0.25">
      <c r="A1205" s="27" t="s">
        <v>886</v>
      </c>
      <c r="B1205" s="27" t="s">
        <v>887</v>
      </c>
    </row>
    <row r="1206" spans="1:2" ht="15.75" customHeight="1" x14ac:dyDescent="0.25">
      <c r="A1206" s="27" t="s">
        <v>886</v>
      </c>
      <c r="B1206" s="27" t="s">
        <v>887</v>
      </c>
    </row>
    <row r="1207" spans="1:2" ht="15.75" customHeight="1" x14ac:dyDescent="0.25">
      <c r="A1207" s="27" t="s">
        <v>888</v>
      </c>
      <c r="B1207" s="27" t="s">
        <v>887</v>
      </c>
    </row>
    <row r="1208" spans="1:2" ht="15.75" customHeight="1" x14ac:dyDescent="0.25">
      <c r="A1208" s="27" t="s">
        <v>886</v>
      </c>
      <c r="B1208" s="27" t="s">
        <v>887</v>
      </c>
    </row>
    <row r="1209" spans="1:2" ht="15.75" customHeight="1" x14ac:dyDescent="0.25">
      <c r="A1209" s="27" t="s">
        <v>886</v>
      </c>
      <c r="B1209" s="27" t="s">
        <v>887</v>
      </c>
    </row>
    <row r="1210" spans="1:2" ht="15.75" customHeight="1" x14ac:dyDescent="0.25">
      <c r="A1210" s="27" t="s">
        <v>886</v>
      </c>
      <c r="B1210" s="27" t="s">
        <v>887</v>
      </c>
    </row>
    <row r="1211" spans="1:2" ht="15.75" customHeight="1" x14ac:dyDescent="0.25">
      <c r="A1211" s="27" t="s">
        <v>886</v>
      </c>
      <c r="B1211" s="27" t="s">
        <v>887</v>
      </c>
    </row>
    <row r="1212" spans="1:2" ht="15.75" customHeight="1" x14ac:dyDescent="0.25">
      <c r="A1212" s="27" t="s">
        <v>886</v>
      </c>
      <c r="B1212" s="27" t="s">
        <v>887</v>
      </c>
    </row>
    <row r="1213" spans="1:2" ht="15.75" customHeight="1" x14ac:dyDescent="0.25">
      <c r="A1213" s="27" t="s">
        <v>888</v>
      </c>
      <c r="B1213" s="27" t="s">
        <v>887</v>
      </c>
    </row>
    <row r="1214" spans="1:2" ht="15.75" customHeight="1" x14ac:dyDescent="0.25">
      <c r="A1214" s="27" t="s">
        <v>886</v>
      </c>
      <c r="B1214" s="27" t="s">
        <v>887</v>
      </c>
    </row>
    <row r="1215" spans="1:2" ht="15.75" customHeight="1" x14ac:dyDescent="0.25">
      <c r="A1215" s="27" t="s">
        <v>886</v>
      </c>
      <c r="B1215" s="27" t="s">
        <v>887</v>
      </c>
    </row>
    <row r="1216" spans="1:2" ht="15.75" customHeight="1" x14ac:dyDescent="0.25">
      <c r="A1216" s="27" t="s">
        <v>886</v>
      </c>
      <c r="B1216" s="27" t="s">
        <v>887</v>
      </c>
    </row>
    <row r="1217" spans="1:2" ht="15.75" customHeight="1" x14ac:dyDescent="0.25">
      <c r="A1217" s="27" t="s">
        <v>886</v>
      </c>
      <c r="B1217" s="27" t="s">
        <v>887</v>
      </c>
    </row>
    <row r="1218" spans="1:2" ht="15.75" customHeight="1" x14ac:dyDescent="0.25">
      <c r="A1218" s="27" t="s">
        <v>886</v>
      </c>
      <c r="B1218" s="27" t="s">
        <v>887</v>
      </c>
    </row>
    <row r="1219" spans="1:2" ht="15.75" customHeight="1" x14ac:dyDescent="0.25">
      <c r="A1219" s="27" t="s">
        <v>886</v>
      </c>
      <c r="B1219" s="27" t="s">
        <v>887</v>
      </c>
    </row>
    <row r="1220" spans="1:2" ht="15.75" customHeight="1" x14ac:dyDescent="0.25">
      <c r="A1220" s="27" t="s">
        <v>886</v>
      </c>
      <c r="B1220" s="27" t="s">
        <v>887</v>
      </c>
    </row>
    <row r="1221" spans="1:2" ht="15.75" customHeight="1" x14ac:dyDescent="0.25">
      <c r="A1221" s="27" t="s">
        <v>886</v>
      </c>
      <c r="B1221" s="27" t="s">
        <v>887</v>
      </c>
    </row>
    <row r="1222" spans="1:2" ht="15.75" customHeight="1" x14ac:dyDescent="0.25">
      <c r="A1222" s="27" t="s">
        <v>886</v>
      </c>
      <c r="B1222" s="27" t="s">
        <v>887</v>
      </c>
    </row>
    <row r="1223" spans="1:2" ht="15.75" customHeight="1" x14ac:dyDescent="0.25">
      <c r="A1223" s="27" t="s">
        <v>886</v>
      </c>
      <c r="B1223" s="27" t="s">
        <v>887</v>
      </c>
    </row>
    <row r="1224" spans="1:2" ht="15.75" customHeight="1" x14ac:dyDescent="0.25">
      <c r="A1224" s="27" t="s">
        <v>886</v>
      </c>
      <c r="B1224" s="27" t="s">
        <v>887</v>
      </c>
    </row>
    <row r="1225" spans="1:2" ht="15.75" customHeight="1" x14ac:dyDescent="0.25">
      <c r="A1225" s="27" t="s">
        <v>886</v>
      </c>
      <c r="B1225" s="27" t="s">
        <v>887</v>
      </c>
    </row>
    <row r="1226" spans="1:2" ht="15.75" customHeight="1" x14ac:dyDescent="0.25">
      <c r="A1226" s="27" t="s">
        <v>886</v>
      </c>
      <c r="B1226" s="27" t="s">
        <v>887</v>
      </c>
    </row>
    <row r="1227" spans="1:2" ht="15.75" customHeight="1" x14ac:dyDescent="0.25">
      <c r="A1227" s="27" t="s">
        <v>886</v>
      </c>
      <c r="B1227" s="27" t="s">
        <v>887</v>
      </c>
    </row>
    <row r="1228" spans="1:2" ht="15.75" customHeight="1" x14ac:dyDescent="0.25">
      <c r="A1228" s="27" t="s">
        <v>886</v>
      </c>
      <c r="B1228" s="27" t="s">
        <v>887</v>
      </c>
    </row>
    <row r="1229" spans="1:2" ht="15.75" customHeight="1" x14ac:dyDescent="0.25">
      <c r="A1229" s="27" t="s">
        <v>886</v>
      </c>
      <c r="B1229" s="27" t="s">
        <v>887</v>
      </c>
    </row>
    <row r="1230" spans="1:2" ht="15.75" customHeight="1" x14ac:dyDescent="0.25">
      <c r="A1230" s="27" t="s">
        <v>886</v>
      </c>
      <c r="B1230" s="27" t="s">
        <v>887</v>
      </c>
    </row>
    <row r="1231" spans="1:2" ht="15.75" customHeight="1" x14ac:dyDescent="0.25">
      <c r="A1231" s="27" t="s">
        <v>886</v>
      </c>
      <c r="B1231" s="27" t="s">
        <v>887</v>
      </c>
    </row>
    <row r="1232" spans="1:2" ht="15.75" customHeight="1" x14ac:dyDescent="0.25">
      <c r="A1232" s="27" t="s">
        <v>886</v>
      </c>
      <c r="B1232" s="27" t="s">
        <v>887</v>
      </c>
    </row>
    <row r="1233" spans="1:2" ht="15.75" customHeight="1" x14ac:dyDescent="0.25">
      <c r="A1233" s="27" t="s">
        <v>886</v>
      </c>
      <c r="B1233" s="27" t="s">
        <v>887</v>
      </c>
    </row>
    <row r="1234" spans="1:2" ht="15.75" customHeight="1" x14ac:dyDescent="0.25">
      <c r="A1234" s="27" t="s">
        <v>886</v>
      </c>
      <c r="B1234" s="27" t="s">
        <v>887</v>
      </c>
    </row>
    <row r="1235" spans="1:2" ht="15.75" customHeight="1" x14ac:dyDescent="0.25">
      <c r="A1235" s="27" t="s">
        <v>886</v>
      </c>
      <c r="B1235" s="27" t="s">
        <v>887</v>
      </c>
    </row>
    <row r="1236" spans="1:2" ht="15.75" customHeight="1" x14ac:dyDescent="0.25">
      <c r="A1236" s="27" t="s">
        <v>886</v>
      </c>
      <c r="B1236" s="27" t="s">
        <v>887</v>
      </c>
    </row>
    <row r="1237" spans="1:2" ht="15.75" customHeight="1" x14ac:dyDescent="0.25">
      <c r="A1237" s="27" t="s">
        <v>886</v>
      </c>
      <c r="B1237" s="27" t="s">
        <v>887</v>
      </c>
    </row>
    <row r="1238" spans="1:2" ht="15.75" customHeight="1" x14ac:dyDescent="0.25">
      <c r="A1238" s="27" t="s">
        <v>889</v>
      </c>
      <c r="B1238" s="27" t="s">
        <v>890</v>
      </c>
    </row>
    <row r="1239" spans="1:2" ht="15.75" customHeight="1" x14ac:dyDescent="0.25">
      <c r="A1239" s="27" t="s">
        <v>889</v>
      </c>
      <c r="B1239" s="27" t="s">
        <v>890</v>
      </c>
    </row>
    <row r="1240" spans="1:2" ht="15.75" customHeight="1" x14ac:dyDescent="0.25">
      <c r="A1240" s="27" t="s">
        <v>889</v>
      </c>
      <c r="B1240" s="27" t="s">
        <v>890</v>
      </c>
    </row>
    <row r="1241" spans="1:2" ht="15.75" customHeight="1" x14ac:dyDescent="0.25">
      <c r="A1241" s="27" t="s">
        <v>889</v>
      </c>
      <c r="B1241" s="27" t="s">
        <v>890</v>
      </c>
    </row>
    <row r="1242" spans="1:2" ht="15.75" customHeight="1" x14ac:dyDescent="0.25">
      <c r="A1242" s="27" t="s">
        <v>889</v>
      </c>
      <c r="B1242" s="27" t="s">
        <v>890</v>
      </c>
    </row>
    <row r="1243" spans="1:2" ht="15.75" customHeight="1" x14ac:dyDescent="0.25">
      <c r="A1243" s="27" t="s">
        <v>889</v>
      </c>
      <c r="B1243" s="27" t="s">
        <v>890</v>
      </c>
    </row>
    <row r="1244" spans="1:2" ht="15.75" customHeight="1" x14ac:dyDescent="0.25">
      <c r="A1244" s="27" t="s">
        <v>889</v>
      </c>
      <c r="B1244" s="27" t="s">
        <v>890</v>
      </c>
    </row>
    <row r="1245" spans="1:2" ht="15.75" customHeight="1" x14ac:dyDescent="0.25">
      <c r="A1245" s="27" t="s">
        <v>889</v>
      </c>
      <c r="B1245" s="27" t="s">
        <v>890</v>
      </c>
    </row>
    <row r="1246" spans="1:2" ht="15.75" customHeight="1" x14ac:dyDescent="0.25">
      <c r="A1246" s="27" t="s">
        <v>889</v>
      </c>
      <c r="B1246" s="27" t="s">
        <v>890</v>
      </c>
    </row>
    <row r="1247" spans="1:2" ht="15.75" customHeight="1" x14ac:dyDescent="0.25">
      <c r="A1247" s="27" t="s">
        <v>889</v>
      </c>
      <c r="B1247" s="27" t="s">
        <v>890</v>
      </c>
    </row>
    <row r="1248" spans="1:2" ht="15.75" customHeight="1" x14ac:dyDescent="0.25">
      <c r="A1248" s="27" t="s">
        <v>889</v>
      </c>
      <c r="B1248" s="27" t="s">
        <v>890</v>
      </c>
    </row>
    <row r="1249" spans="1:2" ht="15.75" customHeight="1" x14ac:dyDescent="0.25">
      <c r="A1249" s="27" t="s">
        <v>889</v>
      </c>
      <c r="B1249" s="27" t="s">
        <v>890</v>
      </c>
    </row>
    <row r="1250" spans="1:2" ht="15.75" customHeight="1" x14ac:dyDescent="0.25">
      <c r="A1250" s="27" t="s">
        <v>889</v>
      </c>
      <c r="B1250" s="27" t="s">
        <v>890</v>
      </c>
    </row>
    <row r="1251" spans="1:2" ht="15.75" customHeight="1" x14ac:dyDescent="0.25">
      <c r="A1251" s="27" t="s">
        <v>891</v>
      </c>
      <c r="B1251" s="27" t="s">
        <v>892</v>
      </c>
    </row>
    <row r="1252" spans="1:2" ht="15.75" customHeight="1" x14ac:dyDescent="0.25">
      <c r="A1252" s="27" t="s">
        <v>893</v>
      </c>
      <c r="B1252" s="27" t="s">
        <v>894</v>
      </c>
    </row>
    <row r="1253" spans="1:2" ht="15.75" customHeight="1" x14ac:dyDescent="0.25">
      <c r="A1253" s="27" t="s">
        <v>893</v>
      </c>
      <c r="B1253" s="27" t="s">
        <v>894</v>
      </c>
    </row>
    <row r="1254" spans="1:2" ht="15.75" customHeight="1" x14ac:dyDescent="0.25">
      <c r="A1254" s="27" t="s">
        <v>893</v>
      </c>
      <c r="B1254" s="27" t="s">
        <v>894</v>
      </c>
    </row>
    <row r="1255" spans="1:2" ht="15.75" customHeight="1" x14ac:dyDescent="0.25">
      <c r="A1255" s="27" t="s">
        <v>893</v>
      </c>
      <c r="B1255" s="27" t="s">
        <v>894</v>
      </c>
    </row>
    <row r="1256" spans="1:2" ht="15.75" customHeight="1" x14ac:dyDescent="0.25">
      <c r="A1256" s="27" t="s">
        <v>893</v>
      </c>
      <c r="B1256" s="27" t="s">
        <v>894</v>
      </c>
    </row>
    <row r="1257" spans="1:2" ht="15.75" customHeight="1" x14ac:dyDescent="0.25">
      <c r="A1257" s="27" t="s">
        <v>893</v>
      </c>
      <c r="B1257" s="27" t="s">
        <v>894</v>
      </c>
    </row>
    <row r="1258" spans="1:2" ht="15.75" customHeight="1" x14ac:dyDescent="0.25">
      <c r="A1258" s="27" t="s">
        <v>893</v>
      </c>
      <c r="B1258" s="27" t="s">
        <v>894</v>
      </c>
    </row>
    <row r="1259" spans="1:2" ht="15.75" customHeight="1" x14ac:dyDescent="0.25">
      <c r="A1259" s="27" t="s">
        <v>893</v>
      </c>
      <c r="B1259" s="27" t="s">
        <v>894</v>
      </c>
    </row>
    <row r="1260" spans="1:2" ht="15.75" customHeight="1" x14ac:dyDescent="0.25">
      <c r="A1260" s="27" t="s">
        <v>893</v>
      </c>
      <c r="B1260" s="27" t="s">
        <v>894</v>
      </c>
    </row>
    <row r="1261" spans="1:2" ht="15.75" customHeight="1" x14ac:dyDescent="0.25">
      <c r="A1261" s="27" t="s">
        <v>893</v>
      </c>
      <c r="B1261" s="27" t="s">
        <v>894</v>
      </c>
    </row>
    <row r="1262" spans="1:2" ht="15.75" customHeight="1" x14ac:dyDescent="0.25">
      <c r="A1262" s="27" t="s">
        <v>893</v>
      </c>
      <c r="B1262" s="27" t="s">
        <v>894</v>
      </c>
    </row>
    <row r="1263" spans="1:2" ht="15.75" customHeight="1" x14ac:dyDescent="0.25">
      <c r="A1263" s="27" t="s">
        <v>893</v>
      </c>
      <c r="B1263" s="27" t="s">
        <v>894</v>
      </c>
    </row>
    <row r="1264" spans="1:2" ht="15.75" customHeight="1" x14ac:dyDescent="0.25">
      <c r="A1264" s="27" t="s">
        <v>893</v>
      </c>
      <c r="B1264" s="27" t="s">
        <v>894</v>
      </c>
    </row>
    <row r="1265" spans="1:2" ht="15.75" customHeight="1" x14ac:dyDescent="0.25">
      <c r="A1265" s="27" t="s">
        <v>893</v>
      </c>
      <c r="B1265" s="27" t="s">
        <v>894</v>
      </c>
    </row>
    <row r="1266" spans="1:2" ht="15.75" customHeight="1" x14ac:dyDescent="0.25">
      <c r="A1266" s="27" t="s">
        <v>893</v>
      </c>
      <c r="B1266" s="27" t="s">
        <v>894</v>
      </c>
    </row>
    <row r="1267" spans="1:2" ht="15.75" customHeight="1" x14ac:dyDescent="0.25">
      <c r="A1267" s="27" t="s">
        <v>893</v>
      </c>
      <c r="B1267" s="27" t="s">
        <v>894</v>
      </c>
    </row>
    <row r="1268" spans="1:2" ht="15.75" customHeight="1" x14ac:dyDescent="0.25">
      <c r="A1268" s="27" t="s">
        <v>895</v>
      </c>
      <c r="B1268" s="27" t="s">
        <v>896</v>
      </c>
    </row>
    <row r="1269" spans="1:2" ht="15.75" customHeight="1" x14ac:dyDescent="0.25">
      <c r="A1269" s="27" t="s">
        <v>895</v>
      </c>
      <c r="B1269" s="27" t="s">
        <v>896</v>
      </c>
    </row>
    <row r="1270" spans="1:2" ht="15.75" customHeight="1" x14ac:dyDescent="0.25">
      <c r="A1270" s="27" t="s">
        <v>895</v>
      </c>
      <c r="B1270" s="27" t="s">
        <v>896</v>
      </c>
    </row>
    <row r="1271" spans="1:2" ht="15.75" customHeight="1" x14ac:dyDescent="0.25">
      <c r="A1271" s="27" t="s">
        <v>895</v>
      </c>
      <c r="B1271" s="27" t="s">
        <v>896</v>
      </c>
    </row>
    <row r="1272" spans="1:2" ht="15.75" customHeight="1" x14ac:dyDescent="0.25">
      <c r="A1272" s="27" t="s">
        <v>895</v>
      </c>
      <c r="B1272" s="27" t="s">
        <v>896</v>
      </c>
    </row>
    <row r="1273" spans="1:2" ht="15.75" customHeight="1" x14ac:dyDescent="0.25">
      <c r="A1273" s="27" t="s">
        <v>895</v>
      </c>
      <c r="B1273" s="27" t="s">
        <v>896</v>
      </c>
    </row>
    <row r="1274" spans="1:2" ht="15.75" customHeight="1" x14ac:dyDescent="0.25">
      <c r="A1274" s="27" t="s">
        <v>895</v>
      </c>
      <c r="B1274" s="27" t="s">
        <v>896</v>
      </c>
    </row>
    <row r="1275" spans="1:2" ht="15.75" customHeight="1" x14ac:dyDescent="0.25">
      <c r="A1275" s="27" t="s">
        <v>895</v>
      </c>
      <c r="B1275" s="27" t="s">
        <v>896</v>
      </c>
    </row>
    <row r="1276" spans="1:2" ht="15.75" customHeight="1" x14ac:dyDescent="0.25">
      <c r="A1276" s="27" t="s">
        <v>895</v>
      </c>
      <c r="B1276" s="27" t="s">
        <v>896</v>
      </c>
    </row>
    <row r="1277" spans="1:2" ht="15.75" customHeight="1" x14ac:dyDescent="0.25">
      <c r="A1277" s="27" t="s">
        <v>895</v>
      </c>
      <c r="B1277" s="27" t="s">
        <v>896</v>
      </c>
    </row>
    <row r="1278" spans="1:2" ht="15.75" customHeight="1" x14ac:dyDescent="0.25">
      <c r="A1278" s="27" t="s">
        <v>895</v>
      </c>
      <c r="B1278" s="27" t="s">
        <v>896</v>
      </c>
    </row>
    <row r="1279" spans="1:2" ht="15.75" customHeight="1" x14ac:dyDescent="0.25">
      <c r="A1279" s="27" t="s">
        <v>895</v>
      </c>
      <c r="B1279" s="27" t="s">
        <v>896</v>
      </c>
    </row>
    <row r="1280" spans="1:2" ht="15.75" customHeight="1" x14ac:dyDescent="0.25">
      <c r="A1280" s="27" t="s">
        <v>897</v>
      </c>
      <c r="B1280" s="27" t="s">
        <v>898</v>
      </c>
    </row>
    <row r="1281" spans="1:2" ht="15.75" customHeight="1" x14ac:dyDescent="0.25">
      <c r="A1281" s="27" t="s">
        <v>899</v>
      </c>
      <c r="B1281" s="27" t="s">
        <v>900</v>
      </c>
    </row>
    <row r="1282" spans="1:2" ht="15.75" customHeight="1" x14ac:dyDescent="0.25">
      <c r="A1282" s="27" t="s">
        <v>901</v>
      </c>
      <c r="B1282" s="27" t="s">
        <v>902</v>
      </c>
    </row>
    <row r="1283" spans="1:2" ht="15.75" customHeight="1" x14ac:dyDescent="0.25">
      <c r="A1283" s="27" t="s">
        <v>903</v>
      </c>
      <c r="B1283" s="27" t="s">
        <v>904</v>
      </c>
    </row>
    <row r="1284" spans="1:2" ht="15.75" customHeight="1" x14ac:dyDescent="0.25">
      <c r="A1284" s="27" t="s">
        <v>903</v>
      </c>
      <c r="B1284" s="27" t="s">
        <v>904</v>
      </c>
    </row>
    <row r="1285" spans="1:2" ht="15.75" customHeight="1" x14ac:dyDescent="0.25">
      <c r="A1285" s="27" t="s">
        <v>903</v>
      </c>
      <c r="B1285" s="27" t="s">
        <v>904</v>
      </c>
    </row>
    <row r="1286" spans="1:2" ht="15.75" customHeight="1" x14ac:dyDescent="0.25">
      <c r="A1286" s="27" t="s">
        <v>903</v>
      </c>
      <c r="B1286" s="27" t="s">
        <v>904</v>
      </c>
    </row>
    <row r="1287" spans="1:2" ht="15.75" customHeight="1" x14ac:dyDescent="0.25">
      <c r="A1287" s="27" t="s">
        <v>903</v>
      </c>
      <c r="B1287" s="27" t="s">
        <v>904</v>
      </c>
    </row>
    <row r="1288" spans="1:2" ht="15.75" customHeight="1" x14ac:dyDescent="0.25">
      <c r="A1288" s="27" t="s">
        <v>903</v>
      </c>
      <c r="B1288" s="27" t="s">
        <v>904</v>
      </c>
    </row>
    <row r="1289" spans="1:2" ht="15.75" customHeight="1" x14ac:dyDescent="0.25">
      <c r="A1289" s="27" t="s">
        <v>903</v>
      </c>
      <c r="B1289" s="27" t="s">
        <v>904</v>
      </c>
    </row>
    <row r="1290" spans="1:2" ht="15.75" customHeight="1" x14ac:dyDescent="0.25">
      <c r="A1290" s="27" t="s">
        <v>905</v>
      </c>
      <c r="B1290" s="27" t="s">
        <v>906</v>
      </c>
    </row>
    <row r="1291" spans="1:2" ht="15.75" customHeight="1" x14ac:dyDescent="0.25">
      <c r="A1291" s="27" t="s">
        <v>905</v>
      </c>
      <c r="B1291" s="27" t="s">
        <v>906</v>
      </c>
    </row>
    <row r="1292" spans="1:2" ht="15.75" customHeight="1" x14ac:dyDescent="0.25">
      <c r="A1292" s="27" t="s">
        <v>905</v>
      </c>
      <c r="B1292" s="27" t="s">
        <v>906</v>
      </c>
    </row>
    <row r="1293" spans="1:2" ht="15.75" customHeight="1" x14ac:dyDescent="0.25">
      <c r="A1293" s="27" t="s">
        <v>907</v>
      </c>
      <c r="B1293" s="27" t="s">
        <v>908</v>
      </c>
    </row>
    <row r="1294" spans="1:2" ht="15.75" customHeight="1" x14ac:dyDescent="0.25">
      <c r="A1294" s="27" t="s">
        <v>907</v>
      </c>
      <c r="B1294" s="27" t="s">
        <v>908</v>
      </c>
    </row>
    <row r="1295" spans="1:2" ht="15.75" customHeight="1" x14ac:dyDescent="0.25">
      <c r="A1295" s="27" t="s">
        <v>907</v>
      </c>
      <c r="B1295" s="27" t="s">
        <v>908</v>
      </c>
    </row>
    <row r="1296" spans="1:2" ht="15.75" customHeight="1" x14ac:dyDescent="0.25">
      <c r="A1296" s="27" t="s">
        <v>907</v>
      </c>
      <c r="B1296" s="27" t="s">
        <v>908</v>
      </c>
    </row>
    <row r="1297" spans="1:2" ht="15.75" customHeight="1" x14ac:dyDescent="0.25">
      <c r="A1297" s="27" t="s">
        <v>907</v>
      </c>
      <c r="B1297" s="27" t="s">
        <v>908</v>
      </c>
    </row>
    <row r="1298" spans="1:2" ht="15.75" customHeight="1" x14ac:dyDescent="0.25">
      <c r="A1298" s="27" t="s">
        <v>907</v>
      </c>
      <c r="B1298" s="27" t="s">
        <v>908</v>
      </c>
    </row>
    <row r="1299" spans="1:2" ht="15.75" customHeight="1" x14ac:dyDescent="0.25">
      <c r="A1299" s="27" t="s">
        <v>907</v>
      </c>
      <c r="B1299" s="27" t="s">
        <v>908</v>
      </c>
    </row>
    <row r="1300" spans="1:2" ht="15.75" customHeight="1" x14ac:dyDescent="0.25">
      <c r="A1300" s="27" t="s">
        <v>907</v>
      </c>
      <c r="B1300" s="27" t="s">
        <v>908</v>
      </c>
    </row>
    <row r="1301" spans="1:2" ht="15.75" customHeight="1" x14ac:dyDescent="0.25">
      <c r="A1301" s="27" t="s">
        <v>907</v>
      </c>
      <c r="B1301" s="27" t="s">
        <v>908</v>
      </c>
    </row>
    <row r="1302" spans="1:2" ht="15.75" customHeight="1" x14ac:dyDescent="0.25">
      <c r="A1302" s="27" t="s">
        <v>909</v>
      </c>
      <c r="B1302" s="27" t="s">
        <v>910</v>
      </c>
    </row>
    <row r="1303" spans="1:2" ht="15.75" customHeight="1" x14ac:dyDescent="0.25">
      <c r="A1303" s="27" t="s">
        <v>909</v>
      </c>
      <c r="B1303" s="27" t="s">
        <v>910</v>
      </c>
    </row>
    <row r="1304" spans="1:2" ht="15.75" customHeight="1" x14ac:dyDescent="0.25">
      <c r="A1304" s="27" t="s">
        <v>909</v>
      </c>
      <c r="B1304" s="27" t="s">
        <v>910</v>
      </c>
    </row>
    <row r="1305" spans="1:2" ht="15.75" customHeight="1" x14ac:dyDescent="0.25">
      <c r="A1305" s="27" t="s">
        <v>911</v>
      </c>
      <c r="B1305" s="27" t="s">
        <v>912</v>
      </c>
    </row>
    <row r="1306" spans="1:2" ht="15.75" customHeight="1" x14ac:dyDescent="0.25">
      <c r="A1306" s="27" t="s">
        <v>911</v>
      </c>
      <c r="B1306" s="27" t="s">
        <v>912</v>
      </c>
    </row>
    <row r="1307" spans="1:2" ht="15.75" customHeight="1" x14ac:dyDescent="0.25">
      <c r="A1307" s="27" t="s">
        <v>911</v>
      </c>
      <c r="B1307" s="27" t="s">
        <v>912</v>
      </c>
    </row>
    <row r="1308" spans="1:2" ht="15.75" customHeight="1" x14ac:dyDescent="0.25">
      <c r="A1308" s="27" t="s">
        <v>911</v>
      </c>
      <c r="B1308" s="27" t="s">
        <v>912</v>
      </c>
    </row>
    <row r="1309" spans="1:2" ht="15.75" customHeight="1" x14ac:dyDescent="0.25">
      <c r="A1309" s="27" t="s">
        <v>911</v>
      </c>
      <c r="B1309" s="27" t="s">
        <v>912</v>
      </c>
    </row>
    <row r="1310" spans="1:2" ht="15.75" customHeight="1" x14ac:dyDescent="0.25">
      <c r="A1310" s="27" t="s">
        <v>911</v>
      </c>
      <c r="B1310" s="27" t="s">
        <v>912</v>
      </c>
    </row>
    <row r="1311" spans="1:2" ht="15.75" customHeight="1" x14ac:dyDescent="0.25">
      <c r="A1311" s="27" t="s">
        <v>913</v>
      </c>
      <c r="B1311" s="27" t="s">
        <v>914</v>
      </c>
    </row>
    <row r="1312" spans="1:2" ht="15.75" customHeight="1" x14ac:dyDescent="0.25">
      <c r="A1312" s="27" t="s">
        <v>913</v>
      </c>
      <c r="B1312" s="27" t="s">
        <v>914</v>
      </c>
    </row>
    <row r="1313" spans="1:2" ht="15.75" customHeight="1" x14ac:dyDescent="0.25">
      <c r="A1313" s="27" t="s">
        <v>915</v>
      </c>
      <c r="B1313" s="27" t="s">
        <v>916</v>
      </c>
    </row>
    <row r="1314" spans="1:2" ht="15.75" customHeight="1" x14ac:dyDescent="0.25">
      <c r="A1314" s="27" t="s">
        <v>915</v>
      </c>
      <c r="B1314" s="27" t="s">
        <v>916</v>
      </c>
    </row>
    <row r="1315" spans="1:2" ht="15.75" customHeight="1" x14ac:dyDescent="0.25">
      <c r="A1315" s="27" t="s">
        <v>915</v>
      </c>
      <c r="B1315" s="27" t="s">
        <v>916</v>
      </c>
    </row>
    <row r="1316" spans="1:2" ht="15.75" customHeight="1" x14ac:dyDescent="0.25">
      <c r="A1316" s="27" t="s">
        <v>915</v>
      </c>
      <c r="B1316" s="27" t="s">
        <v>916</v>
      </c>
    </row>
    <row r="1317" spans="1:2" ht="15.75" customHeight="1" x14ac:dyDescent="0.25">
      <c r="A1317" s="27" t="s">
        <v>915</v>
      </c>
      <c r="B1317" s="27" t="s">
        <v>916</v>
      </c>
    </row>
    <row r="1318" spans="1:2" ht="15.75" customHeight="1" x14ac:dyDescent="0.25">
      <c r="A1318" s="27" t="s">
        <v>915</v>
      </c>
      <c r="B1318" s="27" t="s">
        <v>916</v>
      </c>
    </row>
    <row r="1319" spans="1:2" ht="15.75" customHeight="1" x14ac:dyDescent="0.25">
      <c r="A1319" s="27" t="s">
        <v>915</v>
      </c>
      <c r="B1319" s="27" t="s">
        <v>916</v>
      </c>
    </row>
    <row r="1320" spans="1:2" ht="15.75" customHeight="1" x14ac:dyDescent="0.25">
      <c r="A1320" s="27" t="s">
        <v>915</v>
      </c>
      <c r="B1320" s="27" t="s">
        <v>916</v>
      </c>
    </row>
    <row r="1321" spans="1:2" ht="15.75" customHeight="1" x14ac:dyDescent="0.25">
      <c r="A1321" s="27" t="s">
        <v>917</v>
      </c>
      <c r="B1321" s="27" t="s">
        <v>918</v>
      </c>
    </row>
    <row r="1322" spans="1:2" ht="15.75" customHeight="1" x14ac:dyDescent="0.25">
      <c r="A1322" s="27" t="s">
        <v>919</v>
      </c>
      <c r="B1322" s="27" t="s">
        <v>920</v>
      </c>
    </row>
    <row r="1323" spans="1:2" ht="15.75" customHeight="1" x14ac:dyDescent="0.25">
      <c r="A1323" s="27" t="s">
        <v>919</v>
      </c>
      <c r="B1323" s="27" t="s">
        <v>920</v>
      </c>
    </row>
    <row r="1324" spans="1:2" ht="15.75" customHeight="1" x14ac:dyDescent="0.25">
      <c r="A1324" s="27" t="s">
        <v>919</v>
      </c>
      <c r="B1324" s="27" t="s">
        <v>920</v>
      </c>
    </row>
    <row r="1325" spans="1:2" ht="15.75" customHeight="1" x14ac:dyDescent="0.25">
      <c r="A1325" s="27" t="s">
        <v>919</v>
      </c>
      <c r="B1325" s="27" t="s">
        <v>920</v>
      </c>
    </row>
    <row r="1326" spans="1:2" ht="15.75" customHeight="1" x14ac:dyDescent="0.25">
      <c r="A1326" s="27" t="s">
        <v>919</v>
      </c>
      <c r="B1326" s="27" t="s">
        <v>920</v>
      </c>
    </row>
    <row r="1327" spans="1:2" ht="15.75" customHeight="1" x14ac:dyDescent="0.25">
      <c r="A1327" s="27" t="s">
        <v>919</v>
      </c>
      <c r="B1327" s="27" t="s">
        <v>920</v>
      </c>
    </row>
    <row r="1328" spans="1:2" ht="15.75" customHeight="1" x14ac:dyDescent="0.25">
      <c r="A1328" s="27" t="s">
        <v>919</v>
      </c>
      <c r="B1328" s="27" t="s">
        <v>920</v>
      </c>
    </row>
    <row r="1329" spans="1:2" ht="15.75" customHeight="1" x14ac:dyDescent="0.25">
      <c r="A1329" s="27" t="s">
        <v>919</v>
      </c>
      <c r="B1329" s="27" t="s">
        <v>920</v>
      </c>
    </row>
    <row r="1330" spans="1:2" ht="15.75" customHeight="1" x14ac:dyDescent="0.25">
      <c r="A1330" s="27" t="s">
        <v>921</v>
      </c>
      <c r="B1330" s="27" t="s">
        <v>922</v>
      </c>
    </row>
    <row r="1331" spans="1:2" ht="15.75" customHeight="1" x14ac:dyDescent="0.25">
      <c r="A1331" s="27" t="s">
        <v>921</v>
      </c>
      <c r="B1331" s="27" t="s">
        <v>922</v>
      </c>
    </row>
    <row r="1332" spans="1:2" ht="15.75" customHeight="1" x14ac:dyDescent="0.25">
      <c r="A1332" s="27" t="s">
        <v>921</v>
      </c>
      <c r="B1332" s="27" t="s">
        <v>922</v>
      </c>
    </row>
    <row r="1333" spans="1:2" ht="15.75" customHeight="1" x14ac:dyDescent="0.25">
      <c r="A1333" s="27" t="s">
        <v>923</v>
      </c>
      <c r="B1333" s="27" t="s">
        <v>924</v>
      </c>
    </row>
    <row r="1334" spans="1:2" ht="15.75" customHeight="1" x14ac:dyDescent="0.25">
      <c r="A1334" s="27" t="s">
        <v>923</v>
      </c>
      <c r="B1334" s="27" t="s">
        <v>924</v>
      </c>
    </row>
    <row r="1335" spans="1:2" ht="15.75" customHeight="1" x14ac:dyDescent="0.25">
      <c r="A1335" s="27" t="s">
        <v>923</v>
      </c>
      <c r="B1335" s="27" t="s">
        <v>924</v>
      </c>
    </row>
    <row r="1336" spans="1:2" ht="15.75" customHeight="1" x14ac:dyDescent="0.25">
      <c r="A1336" s="27" t="s">
        <v>923</v>
      </c>
      <c r="B1336" s="27" t="s">
        <v>924</v>
      </c>
    </row>
    <row r="1337" spans="1:2" ht="15.75" customHeight="1" x14ac:dyDescent="0.25">
      <c r="A1337" s="27" t="s">
        <v>923</v>
      </c>
      <c r="B1337" s="27" t="s">
        <v>924</v>
      </c>
    </row>
    <row r="1338" spans="1:2" ht="15.75" customHeight="1" x14ac:dyDescent="0.25">
      <c r="A1338" s="27" t="s">
        <v>923</v>
      </c>
      <c r="B1338" s="27" t="s">
        <v>924</v>
      </c>
    </row>
    <row r="1339" spans="1:2" ht="15.75" customHeight="1" x14ac:dyDescent="0.25">
      <c r="A1339" s="27" t="s">
        <v>923</v>
      </c>
      <c r="B1339" s="27" t="s">
        <v>924</v>
      </c>
    </row>
    <row r="1340" spans="1:2" ht="15.75" customHeight="1" x14ac:dyDescent="0.25">
      <c r="A1340" s="27" t="s">
        <v>923</v>
      </c>
      <c r="B1340" s="27" t="s">
        <v>924</v>
      </c>
    </row>
    <row r="1341" spans="1:2" ht="15.75" customHeight="1" x14ac:dyDescent="0.25">
      <c r="A1341" s="27" t="s">
        <v>923</v>
      </c>
      <c r="B1341" s="27" t="s">
        <v>924</v>
      </c>
    </row>
    <row r="1342" spans="1:2" ht="15.75" customHeight="1" x14ac:dyDescent="0.25">
      <c r="A1342" s="27" t="s">
        <v>923</v>
      </c>
      <c r="B1342" s="27" t="s">
        <v>924</v>
      </c>
    </row>
    <row r="1343" spans="1:2" ht="15.75" customHeight="1" x14ac:dyDescent="0.25">
      <c r="A1343" s="27" t="s">
        <v>923</v>
      </c>
      <c r="B1343" s="27" t="s">
        <v>924</v>
      </c>
    </row>
    <row r="1344" spans="1:2" ht="15.75" customHeight="1" x14ac:dyDescent="0.25">
      <c r="A1344" s="27" t="s">
        <v>923</v>
      </c>
      <c r="B1344" s="27" t="s">
        <v>924</v>
      </c>
    </row>
    <row r="1345" spans="1:2" ht="15.75" customHeight="1" x14ac:dyDescent="0.25">
      <c r="A1345" s="27" t="s">
        <v>923</v>
      </c>
      <c r="B1345" s="27" t="s">
        <v>924</v>
      </c>
    </row>
    <row r="1346" spans="1:2" ht="15.75" customHeight="1" x14ac:dyDescent="0.25">
      <c r="A1346" s="27" t="s">
        <v>923</v>
      </c>
      <c r="B1346" s="27" t="s">
        <v>924</v>
      </c>
    </row>
    <row r="1347" spans="1:2" ht="15.75" customHeight="1" x14ac:dyDescent="0.25">
      <c r="A1347" s="27" t="s">
        <v>923</v>
      </c>
      <c r="B1347" s="27" t="s">
        <v>924</v>
      </c>
    </row>
    <row r="1348" spans="1:2" ht="15.75" customHeight="1" x14ac:dyDescent="0.25">
      <c r="A1348" s="27" t="s">
        <v>923</v>
      </c>
      <c r="B1348" s="27" t="s">
        <v>924</v>
      </c>
    </row>
    <row r="1349" spans="1:2" ht="15.75" customHeight="1" x14ac:dyDescent="0.25">
      <c r="A1349" s="27" t="s">
        <v>923</v>
      </c>
      <c r="B1349" s="27" t="s">
        <v>924</v>
      </c>
    </row>
    <row r="1350" spans="1:2" ht="15.75" customHeight="1" x14ac:dyDescent="0.25">
      <c r="A1350" s="27" t="s">
        <v>923</v>
      </c>
      <c r="B1350" s="27" t="s">
        <v>924</v>
      </c>
    </row>
    <row r="1351" spans="1:2" ht="15.75" customHeight="1" x14ac:dyDescent="0.25">
      <c r="A1351" s="27" t="s">
        <v>923</v>
      </c>
      <c r="B1351" s="27" t="s">
        <v>924</v>
      </c>
    </row>
    <row r="1352" spans="1:2" ht="15.75" customHeight="1" x14ac:dyDescent="0.25">
      <c r="A1352" s="27" t="s">
        <v>923</v>
      </c>
      <c r="B1352" s="27" t="s">
        <v>924</v>
      </c>
    </row>
    <row r="1353" spans="1:2" ht="15.75" customHeight="1" x14ac:dyDescent="0.25">
      <c r="A1353" s="27" t="s">
        <v>923</v>
      </c>
      <c r="B1353" s="27" t="s">
        <v>924</v>
      </c>
    </row>
    <row r="1354" spans="1:2" ht="15.75" customHeight="1" x14ac:dyDescent="0.25">
      <c r="A1354" s="27" t="s">
        <v>923</v>
      </c>
      <c r="B1354" s="27" t="s">
        <v>924</v>
      </c>
    </row>
    <row r="1355" spans="1:2" ht="15.75" customHeight="1" x14ac:dyDescent="0.25">
      <c r="A1355" s="27" t="s">
        <v>923</v>
      </c>
      <c r="B1355" s="27" t="s">
        <v>924</v>
      </c>
    </row>
    <row r="1356" spans="1:2" ht="15.75" customHeight="1" x14ac:dyDescent="0.25">
      <c r="A1356" s="27" t="s">
        <v>923</v>
      </c>
      <c r="B1356" s="27" t="s">
        <v>924</v>
      </c>
    </row>
    <row r="1357" spans="1:2" ht="15.75" customHeight="1" x14ac:dyDescent="0.25">
      <c r="A1357" s="27" t="s">
        <v>923</v>
      </c>
      <c r="B1357" s="27" t="s">
        <v>924</v>
      </c>
    </row>
    <row r="1358" spans="1:2" ht="15.75" customHeight="1" x14ac:dyDescent="0.25">
      <c r="A1358" s="27" t="s">
        <v>923</v>
      </c>
      <c r="B1358" s="27" t="s">
        <v>924</v>
      </c>
    </row>
    <row r="1359" spans="1:2" ht="15.75" customHeight="1" x14ac:dyDescent="0.25">
      <c r="A1359" s="27" t="s">
        <v>923</v>
      </c>
      <c r="B1359" s="27" t="s">
        <v>924</v>
      </c>
    </row>
    <row r="1360" spans="1:2" ht="15.75" customHeight="1" x14ac:dyDescent="0.25">
      <c r="A1360" s="27" t="s">
        <v>923</v>
      </c>
      <c r="B1360" s="27" t="s">
        <v>924</v>
      </c>
    </row>
    <row r="1361" spans="1:2" ht="15.75" customHeight="1" x14ac:dyDescent="0.25">
      <c r="A1361" s="27" t="s">
        <v>923</v>
      </c>
      <c r="B1361" s="27" t="s">
        <v>924</v>
      </c>
    </row>
    <row r="1362" spans="1:2" ht="15.75" customHeight="1" x14ac:dyDescent="0.25">
      <c r="A1362" s="27" t="s">
        <v>923</v>
      </c>
      <c r="B1362" s="27" t="s">
        <v>924</v>
      </c>
    </row>
    <row r="1363" spans="1:2" ht="15.75" customHeight="1" x14ac:dyDescent="0.25">
      <c r="A1363" s="27" t="s">
        <v>923</v>
      </c>
      <c r="B1363" s="27" t="s">
        <v>924</v>
      </c>
    </row>
    <row r="1364" spans="1:2" ht="15.75" customHeight="1" x14ac:dyDescent="0.25">
      <c r="A1364" s="27" t="s">
        <v>923</v>
      </c>
      <c r="B1364" s="27" t="s">
        <v>924</v>
      </c>
    </row>
    <row r="1365" spans="1:2" ht="15.75" customHeight="1" x14ac:dyDescent="0.25">
      <c r="A1365" s="27" t="s">
        <v>923</v>
      </c>
      <c r="B1365" s="27" t="s">
        <v>924</v>
      </c>
    </row>
    <row r="1366" spans="1:2" ht="15.75" customHeight="1" x14ac:dyDescent="0.25">
      <c r="A1366" s="27" t="s">
        <v>923</v>
      </c>
      <c r="B1366" s="27" t="s">
        <v>924</v>
      </c>
    </row>
    <row r="1367" spans="1:2" ht="15.75" customHeight="1" x14ac:dyDescent="0.25">
      <c r="A1367" s="27" t="s">
        <v>923</v>
      </c>
      <c r="B1367" s="27" t="s">
        <v>924</v>
      </c>
    </row>
    <row r="1368" spans="1:2" ht="15.75" customHeight="1" x14ac:dyDescent="0.25">
      <c r="A1368" s="27" t="s">
        <v>923</v>
      </c>
      <c r="B1368" s="27" t="s">
        <v>924</v>
      </c>
    </row>
    <row r="1369" spans="1:2" ht="15.75" customHeight="1" x14ac:dyDescent="0.25">
      <c r="A1369" s="27" t="s">
        <v>923</v>
      </c>
      <c r="B1369" s="27" t="s">
        <v>924</v>
      </c>
    </row>
    <row r="1370" spans="1:2" ht="15.75" customHeight="1" x14ac:dyDescent="0.25">
      <c r="A1370" s="27" t="s">
        <v>923</v>
      </c>
      <c r="B1370" s="27" t="s">
        <v>924</v>
      </c>
    </row>
    <row r="1371" spans="1:2" ht="15.75" customHeight="1" x14ac:dyDescent="0.25">
      <c r="A1371" s="27" t="s">
        <v>923</v>
      </c>
      <c r="B1371" s="27" t="s">
        <v>924</v>
      </c>
    </row>
    <row r="1372" spans="1:2" ht="15.75" customHeight="1" x14ac:dyDescent="0.25">
      <c r="A1372" s="27" t="s">
        <v>923</v>
      </c>
      <c r="B1372" s="27" t="s">
        <v>924</v>
      </c>
    </row>
    <row r="1373" spans="1:2" ht="15.75" customHeight="1" x14ac:dyDescent="0.25">
      <c r="A1373" s="27" t="s">
        <v>923</v>
      </c>
      <c r="B1373" s="27" t="s">
        <v>924</v>
      </c>
    </row>
    <row r="1374" spans="1:2" ht="15.75" customHeight="1" x14ac:dyDescent="0.25">
      <c r="A1374" s="27" t="s">
        <v>923</v>
      </c>
      <c r="B1374" s="27" t="s">
        <v>924</v>
      </c>
    </row>
    <row r="1375" spans="1:2" ht="15.75" customHeight="1" x14ac:dyDescent="0.25">
      <c r="A1375" s="27" t="s">
        <v>923</v>
      </c>
      <c r="B1375" s="27" t="s">
        <v>924</v>
      </c>
    </row>
    <row r="1376" spans="1:2" ht="15.75" customHeight="1" x14ac:dyDescent="0.25">
      <c r="A1376" s="27" t="s">
        <v>923</v>
      </c>
      <c r="B1376" s="27" t="s">
        <v>924</v>
      </c>
    </row>
    <row r="1377" spans="1:2" ht="15.75" customHeight="1" x14ac:dyDescent="0.25">
      <c r="A1377" s="27" t="s">
        <v>923</v>
      </c>
      <c r="B1377" s="27" t="s">
        <v>924</v>
      </c>
    </row>
    <row r="1378" spans="1:2" ht="15.75" customHeight="1" x14ac:dyDescent="0.25">
      <c r="A1378" s="27" t="s">
        <v>923</v>
      </c>
      <c r="B1378" s="27" t="s">
        <v>924</v>
      </c>
    </row>
    <row r="1379" spans="1:2" ht="15.75" customHeight="1" x14ac:dyDescent="0.25">
      <c r="A1379" s="27" t="s">
        <v>923</v>
      </c>
      <c r="B1379" s="27" t="s">
        <v>924</v>
      </c>
    </row>
    <row r="1380" spans="1:2" ht="15.75" customHeight="1" x14ac:dyDescent="0.25">
      <c r="A1380" s="27" t="s">
        <v>923</v>
      </c>
      <c r="B1380" s="27" t="s">
        <v>924</v>
      </c>
    </row>
    <row r="1381" spans="1:2" ht="15.75" customHeight="1" x14ac:dyDescent="0.25">
      <c r="A1381" s="27" t="s">
        <v>923</v>
      </c>
      <c r="B1381" s="27" t="s">
        <v>924</v>
      </c>
    </row>
    <row r="1382" spans="1:2" ht="15.75" customHeight="1" x14ac:dyDescent="0.25">
      <c r="A1382" s="27" t="s">
        <v>923</v>
      </c>
      <c r="B1382" s="27" t="s">
        <v>924</v>
      </c>
    </row>
    <row r="1383" spans="1:2" ht="15.75" customHeight="1" x14ac:dyDescent="0.25">
      <c r="A1383" s="27" t="s">
        <v>923</v>
      </c>
      <c r="B1383" s="27" t="s">
        <v>924</v>
      </c>
    </row>
    <row r="1384" spans="1:2" ht="15.75" customHeight="1" x14ac:dyDescent="0.25">
      <c r="A1384" s="27" t="s">
        <v>923</v>
      </c>
      <c r="B1384" s="27" t="s">
        <v>924</v>
      </c>
    </row>
    <row r="1385" spans="1:2" ht="15.75" customHeight="1" x14ac:dyDescent="0.25">
      <c r="A1385" s="27" t="s">
        <v>923</v>
      </c>
      <c r="B1385" s="27" t="s">
        <v>924</v>
      </c>
    </row>
    <row r="1386" spans="1:2" ht="15.75" customHeight="1" x14ac:dyDescent="0.25">
      <c r="A1386" s="27" t="s">
        <v>923</v>
      </c>
      <c r="B1386" s="27" t="s">
        <v>924</v>
      </c>
    </row>
    <row r="1387" spans="1:2" ht="15.75" customHeight="1" x14ac:dyDescent="0.25">
      <c r="A1387" s="27" t="s">
        <v>923</v>
      </c>
      <c r="B1387" s="27" t="s">
        <v>924</v>
      </c>
    </row>
    <row r="1388" spans="1:2" ht="15.75" customHeight="1" x14ac:dyDescent="0.25">
      <c r="A1388" s="27" t="s">
        <v>923</v>
      </c>
      <c r="B1388" s="27" t="s">
        <v>924</v>
      </c>
    </row>
    <row r="1389" spans="1:2" ht="15.75" customHeight="1" x14ac:dyDescent="0.25">
      <c r="A1389" s="27" t="s">
        <v>923</v>
      </c>
      <c r="B1389" s="27" t="s">
        <v>924</v>
      </c>
    </row>
    <row r="1390" spans="1:2" ht="15.75" customHeight="1" x14ac:dyDescent="0.25">
      <c r="A1390" s="27" t="s">
        <v>923</v>
      </c>
      <c r="B1390" s="27" t="s">
        <v>924</v>
      </c>
    </row>
    <row r="1391" spans="1:2" ht="15.75" customHeight="1" x14ac:dyDescent="0.25">
      <c r="A1391" s="27" t="s">
        <v>923</v>
      </c>
      <c r="B1391" s="27" t="s">
        <v>924</v>
      </c>
    </row>
    <row r="1392" spans="1:2" ht="15.75" customHeight="1" x14ac:dyDescent="0.25">
      <c r="A1392" s="27" t="s">
        <v>923</v>
      </c>
      <c r="B1392" s="27" t="s">
        <v>924</v>
      </c>
    </row>
    <row r="1393" spans="1:2" ht="15.75" customHeight="1" x14ac:dyDescent="0.25">
      <c r="A1393" s="27" t="s">
        <v>923</v>
      </c>
      <c r="B1393" s="27" t="s">
        <v>924</v>
      </c>
    </row>
    <row r="1394" spans="1:2" ht="15.75" customHeight="1" x14ac:dyDescent="0.25">
      <c r="A1394" s="27" t="s">
        <v>923</v>
      </c>
      <c r="B1394" s="27" t="s">
        <v>924</v>
      </c>
    </row>
    <row r="1395" spans="1:2" ht="15.75" customHeight="1" x14ac:dyDescent="0.25">
      <c r="A1395" s="27" t="s">
        <v>923</v>
      </c>
      <c r="B1395" s="27" t="s">
        <v>924</v>
      </c>
    </row>
    <row r="1396" spans="1:2" ht="15.75" customHeight="1" x14ac:dyDescent="0.25">
      <c r="A1396" s="27" t="s">
        <v>923</v>
      </c>
      <c r="B1396" s="27" t="s">
        <v>924</v>
      </c>
    </row>
    <row r="1397" spans="1:2" ht="15.75" customHeight="1" x14ac:dyDescent="0.25">
      <c r="A1397" s="27" t="s">
        <v>923</v>
      </c>
      <c r="B1397" s="27" t="s">
        <v>924</v>
      </c>
    </row>
    <row r="1398" spans="1:2" ht="15.75" customHeight="1" x14ac:dyDescent="0.25">
      <c r="A1398" s="27" t="s">
        <v>923</v>
      </c>
      <c r="B1398" s="27" t="s">
        <v>924</v>
      </c>
    </row>
    <row r="1399" spans="1:2" ht="15.75" customHeight="1" x14ac:dyDescent="0.25">
      <c r="A1399" s="27" t="s">
        <v>923</v>
      </c>
      <c r="B1399" s="27" t="s">
        <v>924</v>
      </c>
    </row>
    <row r="1400" spans="1:2" ht="15.75" customHeight="1" x14ac:dyDescent="0.25">
      <c r="A1400" s="27" t="s">
        <v>923</v>
      </c>
      <c r="B1400" s="27" t="s">
        <v>924</v>
      </c>
    </row>
    <row r="1401" spans="1:2" ht="15.75" customHeight="1" x14ac:dyDescent="0.25">
      <c r="A1401" s="27" t="s">
        <v>923</v>
      </c>
      <c r="B1401" s="27" t="s">
        <v>924</v>
      </c>
    </row>
    <row r="1402" spans="1:2" ht="15.75" customHeight="1" x14ac:dyDescent="0.25">
      <c r="A1402" s="27" t="s">
        <v>923</v>
      </c>
      <c r="B1402" s="27" t="s">
        <v>924</v>
      </c>
    </row>
    <row r="1403" spans="1:2" ht="15.75" customHeight="1" x14ac:dyDescent="0.25">
      <c r="A1403" s="27" t="s">
        <v>925</v>
      </c>
      <c r="B1403" s="27" t="s">
        <v>926</v>
      </c>
    </row>
    <row r="1404" spans="1:2" ht="15.75" customHeight="1" x14ac:dyDescent="0.25">
      <c r="A1404" s="27" t="s">
        <v>925</v>
      </c>
      <c r="B1404" s="27" t="s">
        <v>926</v>
      </c>
    </row>
    <row r="1405" spans="1:2" ht="15.75" customHeight="1" x14ac:dyDescent="0.25">
      <c r="A1405" s="27" t="s">
        <v>925</v>
      </c>
      <c r="B1405" s="27" t="s">
        <v>926</v>
      </c>
    </row>
    <row r="1406" spans="1:2" ht="15.75" customHeight="1" x14ac:dyDescent="0.25">
      <c r="A1406" s="27" t="s">
        <v>925</v>
      </c>
      <c r="B1406" s="27" t="s">
        <v>926</v>
      </c>
    </row>
    <row r="1407" spans="1:2" ht="15.75" customHeight="1" x14ac:dyDescent="0.25">
      <c r="A1407" s="27" t="s">
        <v>925</v>
      </c>
      <c r="B1407" s="27" t="s">
        <v>926</v>
      </c>
    </row>
    <row r="1408" spans="1:2" ht="15.75" customHeight="1" x14ac:dyDescent="0.25">
      <c r="A1408" s="27" t="s">
        <v>925</v>
      </c>
      <c r="B1408" s="27" t="s">
        <v>926</v>
      </c>
    </row>
    <row r="1409" spans="1:2" ht="15.75" customHeight="1" x14ac:dyDescent="0.25">
      <c r="A1409" s="27" t="s">
        <v>925</v>
      </c>
      <c r="B1409" s="27" t="s">
        <v>926</v>
      </c>
    </row>
    <row r="1410" spans="1:2" ht="15.75" customHeight="1" x14ac:dyDescent="0.25">
      <c r="A1410" s="27" t="s">
        <v>925</v>
      </c>
      <c r="B1410" s="27" t="s">
        <v>926</v>
      </c>
    </row>
    <row r="1411" spans="1:2" ht="15.75" customHeight="1" x14ac:dyDescent="0.25">
      <c r="A1411" s="27" t="s">
        <v>925</v>
      </c>
      <c r="B1411" s="27" t="s">
        <v>926</v>
      </c>
    </row>
    <row r="1412" spans="1:2" ht="15.75" customHeight="1" x14ac:dyDescent="0.25">
      <c r="A1412" s="27" t="s">
        <v>925</v>
      </c>
      <c r="B1412" s="27" t="s">
        <v>926</v>
      </c>
    </row>
    <row r="1413" spans="1:2" ht="15.75" customHeight="1" x14ac:dyDescent="0.25">
      <c r="A1413" s="27" t="s">
        <v>925</v>
      </c>
      <c r="B1413" s="27" t="s">
        <v>926</v>
      </c>
    </row>
    <row r="1414" spans="1:2" ht="15.75" customHeight="1" x14ac:dyDescent="0.25">
      <c r="A1414" s="27" t="s">
        <v>927</v>
      </c>
      <c r="B1414" s="27" t="s">
        <v>928</v>
      </c>
    </row>
    <row r="1415" spans="1:2" ht="15.75" customHeight="1" x14ac:dyDescent="0.25">
      <c r="A1415" s="27" t="s">
        <v>927</v>
      </c>
      <c r="B1415" s="27" t="s">
        <v>928</v>
      </c>
    </row>
    <row r="1416" spans="1:2" ht="15.75" customHeight="1" x14ac:dyDescent="0.25">
      <c r="A1416" s="27" t="s">
        <v>927</v>
      </c>
      <c r="B1416" s="27" t="s">
        <v>928</v>
      </c>
    </row>
    <row r="1417" spans="1:2" ht="15.75" customHeight="1" x14ac:dyDescent="0.25">
      <c r="A1417" s="27" t="s">
        <v>927</v>
      </c>
      <c r="B1417" s="27" t="s">
        <v>928</v>
      </c>
    </row>
    <row r="1418" spans="1:2" ht="15.75" customHeight="1" x14ac:dyDescent="0.25">
      <c r="A1418" s="27" t="s">
        <v>927</v>
      </c>
      <c r="B1418" s="27" t="s">
        <v>928</v>
      </c>
    </row>
    <row r="1419" spans="1:2" ht="15.75" customHeight="1" x14ac:dyDescent="0.25">
      <c r="A1419" s="27" t="s">
        <v>927</v>
      </c>
      <c r="B1419" s="27" t="s">
        <v>928</v>
      </c>
    </row>
    <row r="1420" spans="1:2" ht="15.75" customHeight="1" x14ac:dyDescent="0.25">
      <c r="A1420" s="27" t="s">
        <v>927</v>
      </c>
      <c r="B1420" s="27" t="s">
        <v>928</v>
      </c>
    </row>
    <row r="1421" spans="1:2" ht="15.75" customHeight="1" x14ac:dyDescent="0.25">
      <c r="A1421" s="27" t="s">
        <v>927</v>
      </c>
      <c r="B1421" s="27" t="s">
        <v>928</v>
      </c>
    </row>
    <row r="1422" spans="1:2" ht="15.75" customHeight="1" x14ac:dyDescent="0.25">
      <c r="A1422" s="27" t="s">
        <v>927</v>
      </c>
      <c r="B1422" s="27" t="s">
        <v>928</v>
      </c>
    </row>
    <row r="1423" spans="1:2" ht="15.75" customHeight="1" x14ac:dyDescent="0.25">
      <c r="A1423" s="27" t="s">
        <v>927</v>
      </c>
      <c r="B1423" s="27" t="s">
        <v>928</v>
      </c>
    </row>
    <row r="1424" spans="1:2" ht="15.75" customHeight="1" x14ac:dyDescent="0.25">
      <c r="A1424" s="27" t="s">
        <v>927</v>
      </c>
      <c r="B1424" s="27" t="s">
        <v>928</v>
      </c>
    </row>
    <row r="1425" spans="1:2" ht="15.75" customHeight="1" x14ac:dyDescent="0.25">
      <c r="A1425" s="27" t="s">
        <v>927</v>
      </c>
      <c r="B1425" s="27" t="s">
        <v>928</v>
      </c>
    </row>
    <row r="1426" spans="1:2" ht="15.75" customHeight="1" x14ac:dyDescent="0.25">
      <c r="A1426" s="27" t="s">
        <v>927</v>
      </c>
      <c r="B1426" s="27" t="s">
        <v>928</v>
      </c>
    </row>
    <row r="1427" spans="1:2" ht="15.75" customHeight="1" x14ac:dyDescent="0.25">
      <c r="A1427" s="27" t="s">
        <v>927</v>
      </c>
      <c r="B1427" s="27" t="s">
        <v>928</v>
      </c>
    </row>
    <row r="1428" spans="1:2" ht="15.75" customHeight="1" x14ac:dyDescent="0.25">
      <c r="A1428" s="27" t="s">
        <v>927</v>
      </c>
      <c r="B1428" s="27" t="s">
        <v>928</v>
      </c>
    </row>
    <row r="1429" spans="1:2" ht="15.75" customHeight="1" x14ac:dyDescent="0.25">
      <c r="A1429" s="27" t="s">
        <v>927</v>
      </c>
      <c r="B1429" s="27" t="s">
        <v>928</v>
      </c>
    </row>
    <row r="1430" spans="1:2" ht="15.75" customHeight="1" x14ac:dyDescent="0.25">
      <c r="A1430" s="27" t="s">
        <v>927</v>
      </c>
      <c r="B1430" s="27" t="s">
        <v>928</v>
      </c>
    </row>
    <row r="1431" spans="1:2" ht="15.75" customHeight="1" x14ac:dyDescent="0.25">
      <c r="A1431" s="27" t="s">
        <v>927</v>
      </c>
      <c r="B1431" s="27" t="s">
        <v>928</v>
      </c>
    </row>
    <row r="1432" spans="1:2" ht="15.75" customHeight="1" x14ac:dyDescent="0.25">
      <c r="A1432" s="27" t="s">
        <v>927</v>
      </c>
      <c r="B1432" s="27" t="s">
        <v>928</v>
      </c>
    </row>
    <row r="1433" spans="1:2" ht="15.75" customHeight="1" x14ac:dyDescent="0.25">
      <c r="A1433" s="27" t="s">
        <v>927</v>
      </c>
      <c r="B1433" s="27" t="s">
        <v>928</v>
      </c>
    </row>
    <row r="1434" spans="1:2" ht="15.75" customHeight="1" x14ac:dyDescent="0.25">
      <c r="A1434" s="27" t="s">
        <v>927</v>
      </c>
      <c r="B1434" s="27" t="s">
        <v>928</v>
      </c>
    </row>
    <row r="1435" spans="1:2" ht="15.75" customHeight="1" x14ac:dyDescent="0.25">
      <c r="A1435" s="27" t="s">
        <v>927</v>
      </c>
      <c r="B1435" s="27" t="s">
        <v>928</v>
      </c>
    </row>
    <row r="1436" spans="1:2" ht="15.75" customHeight="1" x14ac:dyDescent="0.25">
      <c r="A1436" s="27" t="s">
        <v>927</v>
      </c>
      <c r="B1436" s="27" t="s">
        <v>928</v>
      </c>
    </row>
    <row r="1437" spans="1:2" ht="15.75" customHeight="1" x14ac:dyDescent="0.25">
      <c r="A1437" s="27" t="s">
        <v>927</v>
      </c>
      <c r="B1437" s="27" t="s">
        <v>928</v>
      </c>
    </row>
    <row r="1438" spans="1:2" ht="15.75" customHeight="1" x14ac:dyDescent="0.25">
      <c r="A1438" s="27" t="s">
        <v>927</v>
      </c>
      <c r="B1438" s="27" t="s">
        <v>928</v>
      </c>
    </row>
    <row r="1439" spans="1:2" ht="15.75" customHeight="1" x14ac:dyDescent="0.25">
      <c r="A1439" s="27" t="s">
        <v>927</v>
      </c>
      <c r="B1439" s="27" t="s">
        <v>928</v>
      </c>
    </row>
    <row r="1440" spans="1:2" ht="15.75" customHeight="1" x14ac:dyDescent="0.25">
      <c r="A1440" s="27" t="s">
        <v>927</v>
      </c>
      <c r="B1440" s="27" t="s">
        <v>928</v>
      </c>
    </row>
    <row r="1441" spans="1:2" ht="15.75" customHeight="1" x14ac:dyDescent="0.25">
      <c r="A1441" s="27" t="s">
        <v>927</v>
      </c>
      <c r="B1441" s="27" t="s">
        <v>928</v>
      </c>
    </row>
    <row r="1442" spans="1:2" ht="15.75" customHeight="1" x14ac:dyDescent="0.25">
      <c r="A1442" s="27" t="s">
        <v>927</v>
      </c>
      <c r="B1442" s="27" t="s">
        <v>928</v>
      </c>
    </row>
    <row r="1443" spans="1:2" ht="15.75" customHeight="1" x14ac:dyDescent="0.25">
      <c r="A1443" s="27" t="s">
        <v>927</v>
      </c>
      <c r="B1443" s="27" t="s">
        <v>928</v>
      </c>
    </row>
    <row r="1444" spans="1:2" ht="15.75" customHeight="1" x14ac:dyDescent="0.25">
      <c r="A1444" s="27" t="s">
        <v>927</v>
      </c>
      <c r="B1444" s="27" t="s">
        <v>928</v>
      </c>
    </row>
    <row r="1445" spans="1:2" ht="15.75" customHeight="1" x14ac:dyDescent="0.25">
      <c r="A1445" s="27" t="s">
        <v>927</v>
      </c>
      <c r="B1445" s="27" t="s">
        <v>928</v>
      </c>
    </row>
    <row r="1446" spans="1:2" ht="15.75" customHeight="1" x14ac:dyDescent="0.25">
      <c r="A1446" s="27" t="s">
        <v>927</v>
      </c>
      <c r="B1446" s="27" t="s">
        <v>928</v>
      </c>
    </row>
    <row r="1447" spans="1:2" ht="15.75" customHeight="1" x14ac:dyDescent="0.25">
      <c r="A1447" s="27" t="s">
        <v>927</v>
      </c>
      <c r="B1447" s="27" t="s">
        <v>928</v>
      </c>
    </row>
    <row r="1448" spans="1:2" ht="15.75" customHeight="1" x14ac:dyDescent="0.25">
      <c r="A1448" s="27" t="s">
        <v>927</v>
      </c>
      <c r="B1448" s="27" t="s">
        <v>928</v>
      </c>
    </row>
    <row r="1449" spans="1:2" ht="15.75" customHeight="1" x14ac:dyDescent="0.25">
      <c r="A1449" s="27" t="s">
        <v>927</v>
      </c>
      <c r="B1449" s="27" t="s">
        <v>928</v>
      </c>
    </row>
    <row r="1450" spans="1:2" ht="15.75" customHeight="1" x14ac:dyDescent="0.25">
      <c r="A1450" s="27" t="s">
        <v>927</v>
      </c>
      <c r="B1450" s="27" t="s">
        <v>928</v>
      </c>
    </row>
    <row r="1451" spans="1:2" ht="15.75" customHeight="1" x14ac:dyDescent="0.25">
      <c r="A1451" s="27" t="s">
        <v>927</v>
      </c>
      <c r="B1451" s="27" t="s">
        <v>928</v>
      </c>
    </row>
    <row r="1452" spans="1:2" ht="15.75" customHeight="1" x14ac:dyDescent="0.25">
      <c r="A1452" s="27" t="s">
        <v>927</v>
      </c>
      <c r="B1452" s="27" t="s">
        <v>928</v>
      </c>
    </row>
    <row r="1453" spans="1:2" ht="15.75" customHeight="1" x14ac:dyDescent="0.25">
      <c r="A1453" s="27" t="s">
        <v>927</v>
      </c>
      <c r="B1453" s="27" t="s">
        <v>928</v>
      </c>
    </row>
    <row r="1454" spans="1:2" ht="15.75" customHeight="1" x14ac:dyDescent="0.25">
      <c r="A1454" s="27" t="s">
        <v>927</v>
      </c>
      <c r="B1454" s="27" t="s">
        <v>928</v>
      </c>
    </row>
    <row r="1455" spans="1:2" ht="15.75" customHeight="1" x14ac:dyDescent="0.25">
      <c r="A1455" s="27" t="s">
        <v>927</v>
      </c>
      <c r="B1455" s="27" t="s">
        <v>928</v>
      </c>
    </row>
    <row r="1456" spans="1:2" ht="15.75" customHeight="1" x14ac:dyDescent="0.25">
      <c r="A1456" s="27" t="s">
        <v>927</v>
      </c>
      <c r="B1456" s="27" t="s">
        <v>928</v>
      </c>
    </row>
    <row r="1457" spans="1:2" ht="15.75" customHeight="1" x14ac:dyDescent="0.25">
      <c r="A1457" s="27" t="s">
        <v>927</v>
      </c>
      <c r="B1457" s="27" t="s">
        <v>928</v>
      </c>
    </row>
    <row r="1458" spans="1:2" ht="15.75" customHeight="1" x14ac:dyDescent="0.25">
      <c r="A1458" s="27" t="s">
        <v>927</v>
      </c>
      <c r="B1458" s="27" t="s">
        <v>928</v>
      </c>
    </row>
    <row r="1459" spans="1:2" ht="15.75" customHeight="1" x14ac:dyDescent="0.25">
      <c r="A1459" s="27" t="s">
        <v>927</v>
      </c>
      <c r="B1459" s="27" t="s">
        <v>928</v>
      </c>
    </row>
    <row r="1460" spans="1:2" ht="15.75" customHeight="1" x14ac:dyDescent="0.25">
      <c r="A1460" s="27" t="s">
        <v>927</v>
      </c>
      <c r="B1460" s="27" t="s">
        <v>928</v>
      </c>
    </row>
    <row r="1461" spans="1:2" ht="15.75" customHeight="1" x14ac:dyDescent="0.25">
      <c r="A1461" s="27" t="s">
        <v>927</v>
      </c>
      <c r="B1461" s="27" t="s">
        <v>928</v>
      </c>
    </row>
    <row r="1462" spans="1:2" ht="15.75" customHeight="1" x14ac:dyDescent="0.25">
      <c r="A1462" s="27" t="s">
        <v>927</v>
      </c>
      <c r="B1462" s="27" t="s">
        <v>928</v>
      </c>
    </row>
    <row r="1463" spans="1:2" ht="15.75" customHeight="1" x14ac:dyDescent="0.25">
      <c r="A1463" s="27" t="s">
        <v>927</v>
      </c>
      <c r="B1463" s="27" t="s">
        <v>928</v>
      </c>
    </row>
    <row r="1464" spans="1:2" ht="15.75" customHeight="1" x14ac:dyDescent="0.25">
      <c r="A1464" s="27" t="s">
        <v>927</v>
      </c>
      <c r="B1464" s="27" t="s">
        <v>928</v>
      </c>
    </row>
    <row r="1465" spans="1:2" ht="15.75" customHeight="1" x14ac:dyDescent="0.25">
      <c r="A1465" s="27" t="s">
        <v>927</v>
      </c>
      <c r="B1465" s="27" t="s">
        <v>928</v>
      </c>
    </row>
    <row r="1466" spans="1:2" ht="15.75" customHeight="1" x14ac:dyDescent="0.25">
      <c r="A1466" s="27" t="s">
        <v>927</v>
      </c>
      <c r="B1466" s="27" t="s">
        <v>928</v>
      </c>
    </row>
    <row r="1467" spans="1:2" ht="15.75" customHeight="1" x14ac:dyDescent="0.25">
      <c r="A1467" s="27" t="s">
        <v>927</v>
      </c>
      <c r="B1467" s="27" t="s">
        <v>928</v>
      </c>
    </row>
    <row r="1468" spans="1:2" ht="15.75" customHeight="1" x14ac:dyDescent="0.25">
      <c r="A1468" s="27" t="s">
        <v>927</v>
      </c>
      <c r="B1468" s="27" t="s">
        <v>928</v>
      </c>
    </row>
    <row r="1469" spans="1:2" ht="15.75" customHeight="1" x14ac:dyDescent="0.25">
      <c r="A1469" s="27" t="s">
        <v>927</v>
      </c>
      <c r="B1469" s="27" t="s">
        <v>928</v>
      </c>
    </row>
    <row r="1470" spans="1:2" ht="15.75" customHeight="1" x14ac:dyDescent="0.25">
      <c r="A1470" s="27" t="s">
        <v>927</v>
      </c>
      <c r="B1470" s="27" t="s">
        <v>928</v>
      </c>
    </row>
    <row r="1471" spans="1:2" ht="15.75" customHeight="1" x14ac:dyDescent="0.25">
      <c r="A1471" s="27" t="s">
        <v>927</v>
      </c>
      <c r="B1471" s="27" t="s">
        <v>928</v>
      </c>
    </row>
    <row r="1472" spans="1:2" ht="15.75" customHeight="1" x14ac:dyDescent="0.25">
      <c r="A1472" s="27" t="s">
        <v>927</v>
      </c>
      <c r="B1472" s="27" t="s">
        <v>928</v>
      </c>
    </row>
    <row r="1473" spans="1:2" ht="15.75" customHeight="1" x14ac:dyDescent="0.25">
      <c r="A1473" s="27" t="s">
        <v>927</v>
      </c>
      <c r="B1473" s="27" t="s">
        <v>928</v>
      </c>
    </row>
    <row r="1474" spans="1:2" ht="15.75" customHeight="1" x14ac:dyDescent="0.25">
      <c r="A1474" s="27" t="s">
        <v>927</v>
      </c>
      <c r="B1474" s="27" t="s">
        <v>928</v>
      </c>
    </row>
    <row r="1475" spans="1:2" ht="15.75" customHeight="1" x14ac:dyDescent="0.25">
      <c r="A1475" s="27" t="s">
        <v>927</v>
      </c>
      <c r="B1475" s="27" t="s">
        <v>928</v>
      </c>
    </row>
    <row r="1476" spans="1:2" ht="15.75" customHeight="1" x14ac:dyDescent="0.25">
      <c r="A1476" s="27" t="s">
        <v>927</v>
      </c>
      <c r="B1476" s="27" t="s">
        <v>928</v>
      </c>
    </row>
    <row r="1477" spans="1:2" ht="15.75" customHeight="1" x14ac:dyDescent="0.25">
      <c r="A1477" s="27" t="s">
        <v>927</v>
      </c>
      <c r="B1477" s="27" t="s">
        <v>928</v>
      </c>
    </row>
    <row r="1478" spans="1:2" ht="15.75" customHeight="1" x14ac:dyDescent="0.25">
      <c r="A1478" s="27" t="s">
        <v>927</v>
      </c>
      <c r="B1478" s="27" t="s">
        <v>928</v>
      </c>
    </row>
    <row r="1479" spans="1:2" ht="15.75" customHeight="1" x14ac:dyDescent="0.25">
      <c r="A1479" s="27" t="s">
        <v>927</v>
      </c>
      <c r="B1479" s="27" t="s">
        <v>928</v>
      </c>
    </row>
    <row r="1480" spans="1:2" ht="15.75" customHeight="1" x14ac:dyDescent="0.25">
      <c r="A1480" s="27" t="s">
        <v>927</v>
      </c>
      <c r="B1480" s="27" t="s">
        <v>928</v>
      </c>
    </row>
    <row r="1481" spans="1:2" ht="15.75" customHeight="1" x14ac:dyDescent="0.25">
      <c r="A1481" s="27" t="s">
        <v>927</v>
      </c>
      <c r="B1481" s="27" t="s">
        <v>928</v>
      </c>
    </row>
    <row r="1482" spans="1:2" ht="15.75" customHeight="1" x14ac:dyDescent="0.25">
      <c r="A1482" s="27" t="s">
        <v>927</v>
      </c>
      <c r="B1482" s="27" t="s">
        <v>928</v>
      </c>
    </row>
    <row r="1483" spans="1:2" ht="15.75" customHeight="1" x14ac:dyDescent="0.25">
      <c r="A1483" s="27" t="s">
        <v>927</v>
      </c>
      <c r="B1483" s="27" t="s">
        <v>928</v>
      </c>
    </row>
    <row r="1484" spans="1:2" ht="15.75" customHeight="1" x14ac:dyDescent="0.25">
      <c r="A1484" s="27" t="s">
        <v>927</v>
      </c>
      <c r="B1484" s="27" t="s">
        <v>928</v>
      </c>
    </row>
    <row r="1485" spans="1:2" ht="15.75" customHeight="1" x14ac:dyDescent="0.25">
      <c r="A1485" s="27" t="s">
        <v>927</v>
      </c>
      <c r="B1485" s="27" t="s">
        <v>928</v>
      </c>
    </row>
    <row r="1486" spans="1:2" ht="15.75" customHeight="1" x14ac:dyDescent="0.25">
      <c r="A1486" s="27" t="s">
        <v>927</v>
      </c>
      <c r="B1486" s="27" t="s">
        <v>928</v>
      </c>
    </row>
    <row r="1487" spans="1:2" ht="15.75" customHeight="1" x14ac:dyDescent="0.25">
      <c r="A1487" s="27" t="s">
        <v>927</v>
      </c>
      <c r="B1487" s="27" t="s">
        <v>928</v>
      </c>
    </row>
    <row r="1488" spans="1:2" ht="15.75" customHeight="1" x14ac:dyDescent="0.25">
      <c r="A1488" s="27" t="s">
        <v>927</v>
      </c>
      <c r="B1488" s="27" t="s">
        <v>928</v>
      </c>
    </row>
    <row r="1489" spans="1:2" ht="15.75" customHeight="1" x14ac:dyDescent="0.25">
      <c r="A1489" s="27" t="s">
        <v>927</v>
      </c>
      <c r="B1489" s="27" t="s">
        <v>928</v>
      </c>
    </row>
    <row r="1490" spans="1:2" ht="15.75" customHeight="1" x14ac:dyDescent="0.25">
      <c r="A1490" s="27" t="s">
        <v>927</v>
      </c>
      <c r="B1490" s="27" t="s">
        <v>928</v>
      </c>
    </row>
    <row r="1491" spans="1:2" ht="15.75" customHeight="1" x14ac:dyDescent="0.25">
      <c r="A1491" s="27" t="s">
        <v>927</v>
      </c>
      <c r="B1491" s="27" t="s">
        <v>928</v>
      </c>
    </row>
    <row r="1492" spans="1:2" ht="15.75" customHeight="1" x14ac:dyDescent="0.25">
      <c r="A1492" s="27" t="s">
        <v>927</v>
      </c>
      <c r="B1492" s="27" t="s">
        <v>928</v>
      </c>
    </row>
    <row r="1493" spans="1:2" ht="15.75" customHeight="1" x14ac:dyDescent="0.25">
      <c r="A1493" s="27" t="s">
        <v>927</v>
      </c>
      <c r="B1493" s="27" t="s">
        <v>928</v>
      </c>
    </row>
    <row r="1494" spans="1:2" ht="15.75" customHeight="1" x14ac:dyDescent="0.25">
      <c r="A1494" s="27" t="s">
        <v>927</v>
      </c>
      <c r="B1494" s="27" t="s">
        <v>928</v>
      </c>
    </row>
    <row r="1495" spans="1:2" ht="15.75" customHeight="1" x14ac:dyDescent="0.25">
      <c r="A1495" s="27" t="s">
        <v>927</v>
      </c>
      <c r="B1495" s="27" t="s">
        <v>928</v>
      </c>
    </row>
    <row r="1496" spans="1:2" ht="15.75" customHeight="1" x14ac:dyDescent="0.25">
      <c r="A1496" s="27" t="s">
        <v>927</v>
      </c>
      <c r="B1496" s="27" t="s">
        <v>928</v>
      </c>
    </row>
    <row r="1497" spans="1:2" ht="15.75" customHeight="1" x14ac:dyDescent="0.25">
      <c r="A1497" s="27" t="s">
        <v>927</v>
      </c>
      <c r="B1497" s="27" t="s">
        <v>928</v>
      </c>
    </row>
    <row r="1498" spans="1:2" ht="15.75" customHeight="1" x14ac:dyDescent="0.25">
      <c r="A1498" s="27" t="s">
        <v>927</v>
      </c>
      <c r="B1498" s="27" t="s">
        <v>928</v>
      </c>
    </row>
    <row r="1499" spans="1:2" ht="15.75" customHeight="1" x14ac:dyDescent="0.25">
      <c r="A1499" s="27" t="s">
        <v>927</v>
      </c>
      <c r="B1499" s="27" t="s">
        <v>928</v>
      </c>
    </row>
    <row r="1500" spans="1:2" ht="15.75" customHeight="1" x14ac:dyDescent="0.25">
      <c r="A1500" s="27" t="s">
        <v>927</v>
      </c>
      <c r="B1500" s="27" t="s">
        <v>928</v>
      </c>
    </row>
    <row r="1501" spans="1:2" ht="15.75" customHeight="1" x14ac:dyDescent="0.25">
      <c r="A1501" s="27" t="s">
        <v>927</v>
      </c>
      <c r="B1501" s="27" t="s">
        <v>928</v>
      </c>
    </row>
    <row r="1502" spans="1:2" ht="15.75" customHeight="1" x14ac:dyDescent="0.25">
      <c r="A1502" s="27" t="s">
        <v>927</v>
      </c>
      <c r="B1502" s="27" t="s">
        <v>928</v>
      </c>
    </row>
    <row r="1503" spans="1:2" ht="15.75" customHeight="1" x14ac:dyDescent="0.25">
      <c r="A1503" s="27" t="s">
        <v>927</v>
      </c>
      <c r="B1503" s="27" t="s">
        <v>928</v>
      </c>
    </row>
    <row r="1504" spans="1:2" ht="15.75" customHeight="1" x14ac:dyDescent="0.25">
      <c r="A1504" s="27" t="s">
        <v>927</v>
      </c>
      <c r="B1504" s="27" t="s">
        <v>928</v>
      </c>
    </row>
    <row r="1505" spans="1:2" ht="15.75" customHeight="1" x14ac:dyDescent="0.25">
      <c r="A1505" s="27" t="s">
        <v>927</v>
      </c>
      <c r="B1505" s="27" t="s">
        <v>928</v>
      </c>
    </row>
    <row r="1506" spans="1:2" ht="15.75" customHeight="1" x14ac:dyDescent="0.25">
      <c r="A1506" s="27" t="s">
        <v>927</v>
      </c>
      <c r="B1506" s="27" t="s">
        <v>928</v>
      </c>
    </row>
    <row r="1507" spans="1:2" ht="15.75" customHeight="1" x14ac:dyDescent="0.25">
      <c r="A1507" s="27" t="s">
        <v>927</v>
      </c>
      <c r="B1507" s="27" t="s">
        <v>928</v>
      </c>
    </row>
    <row r="1508" spans="1:2" ht="15.75" customHeight="1" x14ac:dyDescent="0.25">
      <c r="A1508" s="27" t="s">
        <v>927</v>
      </c>
      <c r="B1508" s="27" t="s">
        <v>928</v>
      </c>
    </row>
    <row r="1509" spans="1:2" ht="15.75" customHeight="1" x14ac:dyDescent="0.25">
      <c r="A1509" s="27" t="s">
        <v>927</v>
      </c>
      <c r="B1509" s="27" t="s">
        <v>928</v>
      </c>
    </row>
    <row r="1510" spans="1:2" ht="15.75" customHeight="1" x14ac:dyDescent="0.25">
      <c r="A1510" s="27" t="s">
        <v>927</v>
      </c>
      <c r="B1510" s="27" t="s">
        <v>928</v>
      </c>
    </row>
    <row r="1511" spans="1:2" ht="15.75" customHeight="1" x14ac:dyDescent="0.25">
      <c r="A1511" s="27" t="s">
        <v>927</v>
      </c>
      <c r="B1511" s="27" t="s">
        <v>928</v>
      </c>
    </row>
    <row r="1512" spans="1:2" ht="15.75" customHeight="1" x14ac:dyDescent="0.25">
      <c r="A1512" s="27" t="s">
        <v>927</v>
      </c>
      <c r="B1512" s="27" t="s">
        <v>928</v>
      </c>
    </row>
    <row r="1513" spans="1:2" ht="15.75" customHeight="1" x14ac:dyDescent="0.25">
      <c r="A1513" s="27" t="s">
        <v>927</v>
      </c>
      <c r="B1513" s="27" t="s">
        <v>928</v>
      </c>
    </row>
    <row r="1514" spans="1:2" ht="15.75" customHeight="1" x14ac:dyDescent="0.25">
      <c r="A1514" s="27" t="s">
        <v>927</v>
      </c>
      <c r="B1514" s="27" t="s">
        <v>928</v>
      </c>
    </row>
    <row r="1515" spans="1:2" ht="15.75" customHeight="1" x14ac:dyDescent="0.25">
      <c r="A1515" s="27" t="s">
        <v>927</v>
      </c>
      <c r="B1515" s="27" t="s">
        <v>928</v>
      </c>
    </row>
    <row r="1516" spans="1:2" ht="15.75" customHeight="1" x14ac:dyDescent="0.25">
      <c r="A1516" s="27" t="s">
        <v>927</v>
      </c>
      <c r="B1516" s="27" t="s">
        <v>928</v>
      </c>
    </row>
    <row r="1517" spans="1:2" ht="15.75" customHeight="1" x14ac:dyDescent="0.25">
      <c r="A1517" s="27" t="s">
        <v>927</v>
      </c>
      <c r="B1517" s="27" t="s">
        <v>928</v>
      </c>
    </row>
    <row r="1518" spans="1:2" ht="15.75" customHeight="1" x14ac:dyDescent="0.25">
      <c r="A1518" s="27" t="s">
        <v>927</v>
      </c>
      <c r="B1518" s="27" t="s">
        <v>928</v>
      </c>
    </row>
    <row r="1519" spans="1:2" ht="15.75" customHeight="1" x14ac:dyDescent="0.25">
      <c r="A1519" s="27" t="s">
        <v>927</v>
      </c>
      <c r="B1519" s="27" t="s">
        <v>928</v>
      </c>
    </row>
    <row r="1520" spans="1:2" ht="15.75" customHeight="1" x14ac:dyDescent="0.25">
      <c r="A1520" s="27" t="s">
        <v>927</v>
      </c>
      <c r="B1520" s="27" t="s">
        <v>928</v>
      </c>
    </row>
    <row r="1521" spans="1:2" ht="15.75" customHeight="1" x14ac:dyDescent="0.25">
      <c r="A1521" s="27" t="s">
        <v>927</v>
      </c>
      <c r="B1521" s="27" t="s">
        <v>928</v>
      </c>
    </row>
    <row r="1522" spans="1:2" ht="15.75" customHeight="1" x14ac:dyDescent="0.25">
      <c r="A1522" s="27" t="s">
        <v>927</v>
      </c>
      <c r="B1522" s="27" t="s">
        <v>928</v>
      </c>
    </row>
    <row r="1523" spans="1:2" ht="15.75" customHeight="1" x14ac:dyDescent="0.25">
      <c r="A1523" s="27" t="s">
        <v>927</v>
      </c>
      <c r="B1523" s="27" t="s">
        <v>928</v>
      </c>
    </row>
    <row r="1524" spans="1:2" ht="15.75" customHeight="1" x14ac:dyDescent="0.25">
      <c r="A1524" s="27" t="s">
        <v>927</v>
      </c>
      <c r="B1524" s="27" t="s">
        <v>928</v>
      </c>
    </row>
    <row r="1525" spans="1:2" ht="15.75" customHeight="1" x14ac:dyDescent="0.25">
      <c r="A1525" s="27" t="s">
        <v>927</v>
      </c>
      <c r="B1525" s="27" t="s">
        <v>928</v>
      </c>
    </row>
    <row r="1526" spans="1:2" ht="15.75" customHeight="1" x14ac:dyDescent="0.25">
      <c r="A1526" s="27" t="s">
        <v>927</v>
      </c>
      <c r="B1526" s="27" t="s">
        <v>928</v>
      </c>
    </row>
    <row r="1527" spans="1:2" ht="15.75" customHeight="1" x14ac:dyDescent="0.25">
      <c r="A1527" s="27" t="s">
        <v>927</v>
      </c>
      <c r="B1527" s="27" t="s">
        <v>928</v>
      </c>
    </row>
    <row r="1528" spans="1:2" ht="15.75" customHeight="1" x14ac:dyDescent="0.25">
      <c r="A1528" s="27" t="s">
        <v>927</v>
      </c>
      <c r="B1528" s="27" t="s">
        <v>928</v>
      </c>
    </row>
    <row r="1529" spans="1:2" ht="15.75" customHeight="1" x14ac:dyDescent="0.25">
      <c r="A1529" s="27" t="s">
        <v>927</v>
      </c>
      <c r="B1529" s="27" t="s">
        <v>928</v>
      </c>
    </row>
    <row r="1530" spans="1:2" ht="15.75" customHeight="1" x14ac:dyDescent="0.25">
      <c r="A1530" s="27" t="s">
        <v>927</v>
      </c>
      <c r="B1530" s="27" t="s">
        <v>928</v>
      </c>
    </row>
    <row r="1531" spans="1:2" ht="15.75" customHeight="1" x14ac:dyDescent="0.25">
      <c r="A1531" s="27" t="s">
        <v>927</v>
      </c>
      <c r="B1531" s="27" t="s">
        <v>928</v>
      </c>
    </row>
    <row r="1532" spans="1:2" ht="15.75" customHeight="1" x14ac:dyDescent="0.25">
      <c r="A1532" s="27" t="s">
        <v>927</v>
      </c>
      <c r="B1532" s="27" t="s">
        <v>928</v>
      </c>
    </row>
    <row r="1533" spans="1:2" ht="15.75" customHeight="1" x14ac:dyDescent="0.25">
      <c r="A1533" s="27" t="s">
        <v>927</v>
      </c>
      <c r="B1533" s="27" t="s">
        <v>928</v>
      </c>
    </row>
    <row r="1534" spans="1:2" ht="15.75" customHeight="1" x14ac:dyDescent="0.25">
      <c r="A1534" s="27" t="s">
        <v>927</v>
      </c>
      <c r="B1534" s="27" t="s">
        <v>928</v>
      </c>
    </row>
    <row r="1535" spans="1:2" ht="15.75" customHeight="1" x14ac:dyDescent="0.25">
      <c r="A1535" s="27" t="s">
        <v>927</v>
      </c>
      <c r="B1535" s="27" t="s">
        <v>928</v>
      </c>
    </row>
    <row r="1536" spans="1:2" ht="15.75" customHeight="1" x14ac:dyDescent="0.25">
      <c r="A1536" s="27" t="s">
        <v>927</v>
      </c>
      <c r="B1536" s="27" t="s">
        <v>928</v>
      </c>
    </row>
    <row r="1537" spans="1:2" ht="15.75" customHeight="1" x14ac:dyDescent="0.25">
      <c r="A1537" s="27" t="s">
        <v>927</v>
      </c>
      <c r="B1537" s="27" t="s">
        <v>928</v>
      </c>
    </row>
    <row r="1538" spans="1:2" ht="15.75" customHeight="1" x14ac:dyDescent="0.25">
      <c r="A1538" s="27" t="s">
        <v>927</v>
      </c>
      <c r="B1538" s="27" t="s">
        <v>928</v>
      </c>
    </row>
    <row r="1539" spans="1:2" ht="15.75" customHeight="1" x14ac:dyDescent="0.25">
      <c r="A1539" s="27" t="s">
        <v>927</v>
      </c>
      <c r="B1539" s="27" t="s">
        <v>928</v>
      </c>
    </row>
    <row r="1540" spans="1:2" ht="15.75" customHeight="1" x14ac:dyDescent="0.25">
      <c r="A1540" s="27" t="s">
        <v>927</v>
      </c>
      <c r="B1540" s="27" t="s">
        <v>928</v>
      </c>
    </row>
    <row r="1541" spans="1:2" ht="15.75" customHeight="1" x14ac:dyDescent="0.25">
      <c r="A1541" s="27" t="s">
        <v>927</v>
      </c>
      <c r="B1541" s="27" t="s">
        <v>928</v>
      </c>
    </row>
    <row r="1542" spans="1:2" ht="15.75" customHeight="1" x14ac:dyDescent="0.25">
      <c r="A1542" s="27" t="s">
        <v>927</v>
      </c>
      <c r="B1542" s="27" t="s">
        <v>928</v>
      </c>
    </row>
    <row r="1543" spans="1:2" ht="15.75" customHeight="1" x14ac:dyDescent="0.25">
      <c r="A1543" s="27" t="s">
        <v>927</v>
      </c>
      <c r="B1543" s="27" t="s">
        <v>928</v>
      </c>
    </row>
    <row r="1544" spans="1:2" ht="15.75" customHeight="1" x14ac:dyDescent="0.25">
      <c r="A1544" s="27" t="s">
        <v>927</v>
      </c>
      <c r="B1544" s="27" t="s">
        <v>928</v>
      </c>
    </row>
    <row r="1545" spans="1:2" ht="15.75" customHeight="1" x14ac:dyDescent="0.25">
      <c r="A1545" s="27" t="s">
        <v>927</v>
      </c>
      <c r="B1545" s="27" t="s">
        <v>928</v>
      </c>
    </row>
    <row r="1546" spans="1:2" ht="15.75" customHeight="1" x14ac:dyDescent="0.25">
      <c r="A1546" s="27" t="s">
        <v>927</v>
      </c>
      <c r="B1546" s="27" t="s">
        <v>928</v>
      </c>
    </row>
    <row r="1547" spans="1:2" ht="15.75" customHeight="1" x14ac:dyDescent="0.25">
      <c r="A1547" s="27" t="s">
        <v>927</v>
      </c>
      <c r="B1547" s="27" t="s">
        <v>928</v>
      </c>
    </row>
    <row r="1548" spans="1:2" ht="15.75" customHeight="1" x14ac:dyDescent="0.25">
      <c r="A1548" s="27" t="s">
        <v>927</v>
      </c>
      <c r="B1548" s="27" t="s">
        <v>928</v>
      </c>
    </row>
    <row r="1549" spans="1:2" ht="15.75" customHeight="1" x14ac:dyDescent="0.25">
      <c r="A1549" s="27" t="s">
        <v>927</v>
      </c>
      <c r="B1549" s="27" t="s">
        <v>928</v>
      </c>
    </row>
    <row r="1550" spans="1:2" ht="15.75" customHeight="1" x14ac:dyDescent="0.25">
      <c r="A1550" s="27" t="s">
        <v>927</v>
      </c>
      <c r="B1550" s="27" t="s">
        <v>928</v>
      </c>
    </row>
    <row r="1551" spans="1:2" ht="15.75" customHeight="1" x14ac:dyDescent="0.25">
      <c r="A1551" s="27" t="s">
        <v>927</v>
      </c>
      <c r="B1551" s="27" t="s">
        <v>928</v>
      </c>
    </row>
    <row r="1552" spans="1:2" ht="15.75" customHeight="1" x14ac:dyDescent="0.25">
      <c r="A1552" s="27" t="s">
        <v>927</v>
      </c>
      <c r="B1552" s="27" t="s">
        <v>928</v>
      </c>
    </row>
    <row r="1553" spans="1:2" ht="15.75" customHeight="1" x14ac:dyDescent="0.25">
      <c r="A1553" s="27" t="s">
        <v>927</v>
      </c>
      <c r="B1553" s="27" t="s">
        <v>928</v>
      </c>
    </row>
    <row r="1554" spans="1:2" ht="15.75" customHeight="1" x14ac:dyDescent="0.25">
      <c r="A1554" s="27" t="s">
        <v>927</v>
      </c>
      <c r="B1554" s="27" t="s">
        <v>928</v>
      </c>
    </row>
    <row r="1555" spans="1:2" ht="15.75" customHeight="1" x14ac:dyDescent="0.25">
      <c r="A1555" s="27" t="s">
        <v>927</v>
      </c>
      <c r="B1555" s="27" t="s">
        <v>928</v>
      </c>
    </row>
    <row r="1556" spans="1:2" ht="15.75" customHeight="1" x14ac:dyDescent="0.25">
      <c r="A1556" s="27" t="s">
        <v>927</v>
      </c>
      <c r="B1556" s="27" t="s">
        <v>928</v>
      </c>
    </row>
    <row r="1557" spans="1:2" ht="15.75" customHeight="1" x14ac:dyDescent="0.25">
      <c r="A1557" s="27" t="s">
        <v>927</v>
      </c>
      <c r="B1557" s="27" t="s">
        <v>928</v>
      </c>
    </row>
    <row r="1558" spans="1:2" ht="15.75" customHeight="1" x14ac:dyDescent="0.25">
      <c r="A1558" s="27" t="s">
        <v>927</v>
      </c>
      <c r="B1558" s="27" t="s">
        <v>928</v>
      </c>
    </row>
    <row r="1559" spans="1:2" ht="15.75" customHeight="1" x14ac:dyDescent="0.25">
      <c r="A1559" s="27" t="s">
        <v>927</v>
      </c>
      <c r="B1559" s="27" t="s">
        <v>928</v>
      </c>
    </row>
    <row r="1560" spans="1:2" ht="15.75" customHeight="1" x14ac:dyDescent="0.25">
      <c r="A1560" s="27" t="s">
        <v>927</v>
      </c>
      <c r="B1560" s="27" t="s">
        <v>928</v>
      </c>
    </row>
    <row r="1561" spans="1:2" ht="15.75" customHeight="1" x14ac:dyDescent="0.25">
      <c r="A1561" s="27" t="s">
        <v>927</v>
      </c>
      <c r="B1561" s="27" t="s">
        <v>928</v>
      </c>
    </row>
    <row r="1562" spans="1:2" ht="15.75" customHeight="1" x14ac:dyDescent="0.25">
      <c r="A1562" s="27" t="s">
        <v>927</v>
      </c>
      <c r="B1562" s="27" t="s">
        <v>928</v>
      </c>
    </row>
    <row r="1563" spans="1:2" ht="15.75" customHeight="1" x14ac:dyDescent="0.25">
      <c r="A1563" s="27" t="s">
        <v>927</v>
      </c>
      <c r="B1563" s="27" t="s">
        <v>928</v>
      </c>
    </row>
    <row r="1564" spans="1:2" ht="15.75" customHeight="1" x14ac:dyDescent="0.25">
      <c r="A1564" s="27" t="s">
        <v>927</v>
      </c>
      <c r="B1564" s="27" t="s">
        <v>928</v>
      </c>
    </row>
    <row r="1565" spans="1:2" ht="15.75" customHeight="1" x14ac:dyDescent="0.25">
      <c r="A1565" s="27" t="s">
        <v>927</v>
      </c>
      <c r="B1565" s="27" t="s">
        <v>928</v>
      </c>
    </row>
    <row r="1566" spans="1:2" ht="15.75" customHeight="1" x14ac:dyDescent="0.25">
      <c r="A1566" s="27" t="s">
        <v>927</v>
      </c>
      <c r="B1566" s="27" t="s">
        <v>928</v>
      </c>
    </row>
    <row r="1567" spans="1:2" ht="15.75" customHeight="1" x14ac:dyDescent="0.25">
      <c r="A1567" s="27" t="s">
        <v>927</v>
      </c>
      <c r="B1567" s="27" t="s">
        <v>928</v>
      </c>
    </row>
    <row r="1568" spans="1:2" ht="15.75" customHeight="1" x14ac:dyDescent="0.25">
      <c r="A1568" s="27" t="s">
        <v>927</v>
      </c>
      <c r="B1568" s="27" t="s">
        <v>928</v>
      </c>
    </row>
    <row r="1569" spans="1:2" ht="15.75" customHeight="1" x14ac:dyDescent="0.25">
      <c r="A1569" s="27" t="s">
        <v>927</v>
      </c>
      <c r="B1569" s="27" t="s">
        <v>928</v>
      </c>
    </row>
    <row r="1570" spans="1:2" ht="15.75" customHeight="1" x14ac:dyDescent="0.25">
      <c r="A1570" s="27" t="s">
        <v>927</v>
      </c>
      <c r="B1570" s="27" t="s">
        <v>928</v>
      </c>
    </row>
    <row r="1571" spans="1:2" ht="15.75" customHeight="1" x14ac:dyDescent="0.25">
      <c r="A1571" s="27" t="s">
        <v>927</v>
      </c>
      <c r="B1571" s="27" t="s">
        <v>928</v>
      </c>
    </row>
    <row r="1572" spans="1:2" ht="15.75" customHeight="1" x14ac:dyDescent="0.25">
      <c r="A1572" s="27" t="s">
        <v>927</v>
      </c>
      <c r="B1572" s="27" t="s">
        <v>928</v>
      </c>
    </row>
    <row r="1573" spans="1:2" ht="15.75" customHeight="1" x14ac:dyDescent="0.25">
      <c r="A1573" s="27" t="s">
        <v>927</v>
      </c>
      <c r="B1573" s="27" t="s">
        <v>928</v>
      </c>
    </row>
    <row r="1574" spans="1:2" ht="15.75" customHeight="1" x14ac:dyDescent="0.25">
      <c r="A1574" s="27" t="s">
        <v>927</v>
      </c>
      <c r="B1574" s="27" t="s">
        <v>928</v>
      </c>
    </row>
    <row r="1575" spans="1:2" ht="15.75" customHeight="1" x14ac:dyDescent="0.25">
      <c r="A1575" s="27" t="s">
        <v>927</v>
      </c>
      <c r="B1575" s="27" t="s">
        <v>928</v>
      </c>
    </row>
    <row r="1576" spans="1:2" ht="15.75" customHeight="1" x14ac:dyDescent="0.25">
      <c r="A1576" s="27" t="s">
        <v>927</v>
      </c>
      <c r="B1576" s="27" t="s">
        <v>928</v>
      </c>
    </row>
    <row r="1577" spans="1:2" ht="15.75" customHeight="1" x14ac:dyDescent="0.25">
      <c r="A1577" s="27" t="s">
        <v>927</v>
      </c>
      <c r="B1577" s="27" t="s">
        <v>928</v>
      </c>
    </row>
    <row r="1578" spans="1:2" ht="15.75" customHeight="1" x14ac:dyDescent="0.25">
      <c r="A1578" s="27" t="s">
        <v>927</v>
      </c>
      <c r="B1578" s="27" t="s">
        <v>928</v>
      </c>
    </row>
    <row r="1579" spans="1:2" ht="15.75" customHeight="1" x14ac:dyDescent="0.25">
      <c r="A1579" s="27" t="s">
        <v>927</v>
      </c>
      <c r="B1579" s="27" t="s">
        <v>928</v>
      </c>
    </row>
    <row r="1580" spans="1:2" ht="15.75" customHeight="1" x14ac:dyDescent="0.25">
      <c r="A1580" s="27" t="s">
        <v>927</v>
      </c>
      <c r="B1580" s="27" t="s">
        <v>928</v>
      </c>
    </row>
    <row r="1581" spans="1:2" ht="15.75" customHeight="1" x14ac:dyDescent="0.25">
      <c r="A1581" s="27" t="s">
        <v>927</v>
      </c>
      <c r="B1581" s="27" t="s">
        <v>928</v>
      </c>
    </row>
    <row r="1582" spans="1:2" ht="15.75" customHeight="1" x14ac:dyDescent="0.25">
      <c r="A1582" s="27" t="s">
        <v>927</v>
      </c>
      <c r="B1582" s="27" t="s">
        <v>928</v>
      </c>
    </row>
    <row r="1583" spans="1:2" ht="15.75" customHeight="1" x14ac:dyDescent="0.25">
      <c r="A1583" s="27" t="s">
        <v>927</v>
      </c>
      <c r="B1583" s="27" t="s">
        <v>928</v>
      </c>
    </row>
    <row r="1584" spans="1:2" ht="15.75" customHeight="1" x14ac:dyDescent="0.25">
      <c r="A1584" s="27" t="s">
        <v>927</v>
      </c>
      <c r="B1584" s="27" t="s">
        <v>928</v>
      </c>
    </row>
    <row r="1585" spans="1:2" ht="15.75" customHeight="1" x14ac:dyDescent="0.25">
      <c r="A1585" s="27" t="s">
        <v>927</v>
      </c>
      <c r="B1585" s="27" t="s">
        <v>928</v>
      </c>
    </row>
    <row r="1586" spans="1:2" ht="15.75" customHeight="1" x14ac:dyDescent="0.25">
      <c r="A1586" s="27" t="s">
        <v>927</v>
      </c>
      <c r="B1586" s="27" t="s">
        <v>928</v>
      </c>
    </row>
    <row r="1587" spans="1:2" ht="15.75" customHeight="1" x14ac:dyDescent="0.25">
      <c r="A1587" s="27" t="s">
        <v>927</v>
      </c>
      <c r="B1587" s="27" t="s">
        <v>928</v>
      </c>
    </row>
    <row r="1588" spans="1:2" ht="15.75" customHeight="1" x14ac:dyDescent="0.25">
      <c r="A1588" s="27" t="s">
        <v>927</v>
      </c>
      <c r="B1588" s="27" t="s">
        <v>928</v>
      </c>
    </row>
    <row r="1589" spans="1:2" ht="15.75" customHeight="1" x14ac:dyDescent="0.25">
      <c r="A1589" s="27" t="s">
        <v>927</v>
      </c>
      <c r="B1589" s="27" t="s">
        <v>928</v>
      </c>
    </row>
    <row r="1590" spans="1:2" ht="15.75" customHeight="1" x14ac:dyDescent="0.25">
      <c r="A1590" s="27" t="s">
        <v>927</v>
      </c>
      <c r="B1590" s="27" t="s">
        <v>928</v>
      </c>
    </row>
    <row r="1591" spans="1:2" ht="15.75" customHeight="1" x14ac:dyDescent="0.25">
      <c r="A1591" s="27" t="s">
        <v>927</v>
      </c>
      <c r="B1591" s="27" t="s">
        <v>928</v>
      </c>
    </row>
    <row r="1592" spans="1:2" ht="15.75" customHeight="1" x14ac:dyDescent="0.25">
      <c r="A1592" s="27" t="s">
        <v>927</v>
      </c>
      <c r="B1592" s="27" t="s">
        <v>928</v>
      </c>
    </row>
    <row r="1593" spans="1:2" ht="15.75" customHeight="1" x14ac:dyDescent="0.25">
      <c r="A1593" s="27" t="s">
        <v>927</v>
      </c>
      <c r="B1593" s="27" t="s">
        <v>928</v>
      </c>
    </row>
    <row r="1594" spans="1:2" ht="15.75" customHeight="1" x14ac:dyDescent="0.25">
      <c r="A1594" s="27" t="s">
        <v>927</v>
      </c>
      <c r="B1594" s="27" t="s">
        <v>928</v>
      </c>
    </row>
    <row r="1595" spans="1:2" ht="15.75" customHeight="1" x14ac:dyDescent="0.25">
      <c r="A1595" s="27" t="s">
        <v>927</v>
      </c>
      <c r="B1595" s="27" t="s">
        <v>928</v>
      </c>
    </row>
    <row r="1596" spans="1:2" ht="15.75" customHeight="1" x14ac:dyDescent="0.25">
      <c r="A1596" s="27" t="s">
        <v>927</v>
      </c>
      <c r="B1596" s="27" t="s">
        <v>928</v>
      </c>
    </row>
    <row r="1597" spans="1:2" ht="15.75" customHeight="1" x14ac:dyDescent="0.25">
      <c r="A1597" s="27" t="s">
        <v>927</v>
      </c>
      <c r="B1597" s="27" t="s">
        <v>928</v>
      </c>
    </row>
    <row r="1598" spans="1:2" ht="15.75" customHeight="1" x14ac:dyDescent="0.25">
      <c r="A1598" s="27" t="s">
        <v>927</v>
      </c>
      <c r="B1598" s="27" t="s">
        <v>928</v>
      </c>
    </row>
    <row r="1599" spans="1:2" ht="15.75" customHeight="1" x14ac:dyDescent="0.25">
      <c r="A1599" s="27" t="s">
        <v>927</v>
      </c>
      <c r="B1599" s="27" t="s">
        <v>928</v>
      </c>
    </row>
    <row r="1600" spans="1:2" ht="15.75" customHeight="1" x14ac:dyDescent="0.25">
      <c r="A1600" s="27" t="s">
        <v>927</v>
      </c>
      <c r="B1600" s="27" t="s">
        <v>928</v>
      </c>
    </row>
    <row r="1601" spans="1:2" ht="15.75" customHeight="1" x14ac:dyDescent="0.25">
      <c r="A1601" s="27" t="s">
        <v>927</v>
      </c>
      <c r="B1601" s="27" t="s">
        <v>928</v>
      </c>
    </row>
    <row r="1602" spans="1:2" ht="15.75" customHeight="1" x14ac:dyDescent="0.25">
      <c r="A1602" s="27" t="s">
        <v>927</v>
      </c>
      <c r="B1602" s="27" t="s">
        <v>928</v>
      </c>
    </row>
    <row r="1603" spans="1:2" ht="15.75" customHeight="1" x14ac:dyDescent="0.25">
      <c r="A1603" s="27" t="s">
        <v>927</v>
      </c>
      <c r="B1603" s="27" t="s">
        <v>928</v>
      </c>
    </row>
    <row r="1604" spans="1:2" ht="15.75" customHeight="1" x14ac:dyDescent="0.25">
      <c r="A1604" s="27" t="s">
        <v>927</v>
      </c>
      <c r="B1604" s="27" t="s">
        <v>928</v>
      </c>
    </row>
    <row r="1605" spans="1:2" ht="15.75" customHeight="1" x14ac:dyDescent="0.25">
      <c r="A1605" s="27" t="s">
        <v>927</v>
      </c>
      <c r="B1605" s="27" t="s">
        <v>928</v>
      </c>
    </row>
    <row r="1606" spans="1:2" ht="15.75" customHeight="1" x14ac:dyDescent="0.25">
      <c r="A1606" s="27" t="s">
        <v>927</v>
      </c>
      <c r="B1606" s="27" t="s">
        <v>928</v>
      </c>
    </row>
    <row r="1607" spans="1:2" ht="15.75" customHeight="1" x14ac:dyDescent="0.25">
      <c r="A1607" s="27" t="s">
        <v>927</v>
      </c>
      <c r="B1607" s="27" t="s">
        <v>928</v>
      </c>
    </row>
    <row r="1608" spans="1:2" ht="15.75" customHeight="1" x14ac:dyDescent="0.25">
      <c r="A1608" s="27" t="s">
        <v>927</v>
      </c>
      <c r="B1608" s="27" t="s">
        <v>928</v>
      </c>
    </row>
    <row r="1609" spans="1:2" ht="15.75" customHeight="1" x14ac:dyDescent="0.25">
      <c r="A1609" s="27" t="s">
        <v>927</v>
      </c>
      <c r="B1609" s="27" t="s">
        <v>928</v>
      </c>
    </row>
    <row r="1610" spans="1:2" ht="15.75" customHeight="1" x14ac:dyDescent="0.25">
      <c r="A1610" s="27" t="s">
        <v>927</v>
      </c>
      <c r="B1610" s="27" t="s">
        <v>928</v>
      </c>
    </row>
    <row r="1611" spans="1:2" ht="15.75" customHeight="1" x14ac:dyDescent="0.25">
      <c r="A1611" s="27" t="s">
        <v>927</v>
      </c>
      <c r="B1611" s="27" t="s">
        <v>928</v>
      </c>
    </row>
    <row r="1612" spans="1:2" ht="15.75" customHeight="1" x14ac:dyDescent="0.25">
      <c r="A1612" s="27" t="s">
        <v>927</v>
      </c>
      <c r="B1612" s="27" t="s">
        <v>928</v>
      </c>
    </row>
    <row r="1613" spans="1:2" ht="15.75" customHeight="1" x14ac:dyDescent="0.25">
      <c r="A1613" s="27" t="s">
        <v>927</v>
      </c>
      <c r="B1613" s="27" t="s">
        <v>928</v>
      </c>
    </row>
    <row r="1614" spans="1:2" ht="15.75" customHeight="1" x14ac:dyDescent="0.25">
      <c r="A1614" s="27" t="s">
        <v>927</v>
      </c>
      <c r="B1614" s="27" t="s">
        <v>928</v>
      </c>
    </row>
    <row r="1615" spans="1:2" ht="15.75" customHeight="1" x14ac:dyDescent="0.25">
      <c r="A1615" s="27" t="s">
        <v>927</v>
      </c>
      <c r="B1615" s="27" t="s">
        <v>928</v>
      </c>
    </row>
    <row r="1616" spans="1:2" ht="15.75" customHeight="1" x14ac:dyDescent="0.25">
      <c r="A1616" s="27" t="s">
        <v>927</v>
      </c>
      <c r="B1616" s="27" t="s">
        <v>928</v>
      </c>
    </row>
    <row r="1617" spans="1:2" ht="15.75" customHeight="1" x14ac:dyDescent="0.25">
      <c r="A1617" s="27" t="s">
        <v>927</v>
      </c>
      <c r="B1617" s="27" t="s">
        <v>928</v>
      </c>
    </row>
    <row r="1618" spans="1:2" ht="15.75" customHeight="1" x14ac:dyDescent="0.25">
      <c r="A1618" s="27" t="s">
        <v>927</v>
      </c>
      <c r="B1618" s="27" t="s">
        <v>928</v>
      </c>
    </row>
    <row r="1619" spans="1:2" ht="15.75" customHeight="1" x14ac:dyDescent="0.25">
      <c r="A1619" s="27" t="s">
        <v>927</v>
      </c>
      <c r="B1619" s="27" t="s">
        <v>928</v>
      </c>
    </row>
    <row r="1620" spans="1:2" ht="15.75" customHeight="1" x14ac:dyDescent="0.25">
      <c r="A1620" s="27" t="s">
        <v>927</v>
      </c>
      <c r="B1620" s="27" t="s">
        <v>928</v>
      </c>
    </row>
    <row r="1621" spans="1:2" ht="15.75" customHeight="1" x14ac:dyDescent="0.25">
      <c r="A1621" s="27" t="s">
        <v>927</v>
      </c>
      <c r="B1621" s="27" t="s">
        <v>928</v>
      </c>
    </row>
    <row r="1622" spans="1:2" ht="15.75" customHeight="1" x14ac:dyDescent="0.25">
      <c r="A1622" s="27" t="s">
        <v>927</v>
      </c>
      <c r="B1622" s="27" t="s">
        <v>928</v>
      </c>
    </row>
    <row r="1623" spans="1:2" ht="15.75" customHeight="1" x14ac:dyDescent="0.25">
      <c r="A1623" s="27" t="s">
        <v>927</v>
      </c>
      <c r="B1623" s="27" t="s">
        <v>928</v>
      </c>
    </row>
    <row r="1624" spans="1:2" ht="15.75" customHeight="1" x14ac:dyDescent="0.25">
      <c r="A1624" s="27" t="s">
        <v>927</v>
      </c>
      <c r="B1624" s="27" t="s">
        <v>928</v>
      </c>
    </row>
    <row r="1625" spans="1:2" ht="15.75" customHeight="1" x14ac:dyDescent="0.25">
      <c r="A1625" s="27" t="s">
        <v>927</v>
      </c>
      <c r="B1625" s="27" t="s">
        <v>928</v>
      </c>
    </row>
    <row r="1626" spans="1:2" ht="15.75" customHeight="1" x14ac:dyDescent="0.25">
      <c r="A1626" s="27" t="s">
        <v>927</v>
      </c>
      <c r="B1626" s="27" t="s">
        <v>928</v>
      </c>
    </row>
    <row r="1627" spans="1:2" ht="15.75" customHeight="1" x14ac:dyDescent="0.25">
      <c r="A1627" s="27" t="s">
        <v>927</v>
      </c>
      <c r="B1627" s="27" t="s">
        <v>928</v>
      </c>
    </row>
    <row r="1628" spans="1:2" ht="15.75" customHeight="1" x14ac:dyDescent="0.25">
      <c r="A1628" s="27" t="s">
        <v>927</v>
      </c>
      <c r="B1628" s="27" t="s">
        <v>928</v>
      </c>
    </row>
    <row r="1629" spans="1:2" ht="15.75" customHeight="1" x14ac:dyDescent="0.25">
      <c r="A1629" s="27" t="s">
        <v>927</v>
      </c>
      <c r="B1629" s="27" t="s">
        <v>928</v>
      </c>
    </row>
    <row r="1630" spans="1:2" ht="15.75" customHeight="1" x14ac:dyDescent="0.25">
      <c r="A1630" s="27" t="s">
        <v>927</v>
      </c>
      <c r="B1630" s="27" t="s">
        <v>928</v>
      </c>
    </row>
    <row r="1631" spans="1:2" ht="15.75" customHeight="1" x14ac:dyDescent="0.25">
      <c r="A1631" s="27" t="s">
        <v>927</v>
      </c>
      <c r="B1631" s="27" t="s">
        <v>928</v>
      </c>
    </row>
    <row r="1632" spans="1:2" ht="15.75" customHeight="1" x14ac:dyDescent="0.25">
      <c r="A1632" s="27" t="s">
        <v>927</v>
      </c>
      <c r="B1632" s="27" t="s">
        <v>928</v>
      </c>
    </row>
    <row r="1633" spans="1:2" ht="15.75" customHeight="1" x14ac:dyDescent="0.25">
      <c r="A1633" s="27" t="s">
        <v>927</v>
      </c>
      <c r="B1633" s="27" t="s">
        <v>928</v>
      </c>
    </row>
    <row r="1634" spans="1:2" ht="15.75" customHeight="1" x14ac:dyDescent="0.25">
      <c r="A1634" s="27" t="s">
        <v>927</v>
      </c>
      <c r="B1634" s="27" t="s">
        <v>928</v>
      </c>
    </row>
    <row r="1635" spans="1:2" ht="15.75" customHeight="1" x14ac:dyDescent="0.25">
      <c r="A1635" s="27" t="s">
        <v>927</v>
      </c>
      <c r="B1635" s="27" t="s">
        <v>928</v>
      </c>
    </row>
    <row r="1636" spans="1:2" ht="15.75" customHeight="1" x14ac:dyDescent="0.25">
      <c r="A1636" s="27" t="s">
        <v>927</v>
      </c>
      <c r="B1636" s="27" t="s">
        <v>928</v>
      </c>
    </row>
    <row r="1637" spans="1:2" ht="15.75" customHeight="1" x14ac:dyDescent="0.25">
      <c r="A1637" s="27" t="s">
        <v>927</v>
      </c>
      <c r="B1637" s="27" t="s">
        <v>928</v>
      </c>
    </row>
    <row r="1638" spans="1:2" ht="15.75" customHeight="1" x14ac:dyDescent="0.25">
      <c r="A1638" s="27" t="s">
        <v>927</v>
      </c>
      <c r="B1638" s="27" t="s">
        <v>928</v>
      </c>
    </row>
    <row r="1639" spans="1:2" ht="15.75" customHeight="1" x14ac:dyDescent="0.25">
      <c r="A1639" s="27" t="s">
        <v>927</v>
      </c>
      <c r="B1639" s="27" t="s">
        <v>928</v>
      </c>
    </row>
    <row r="1640" spans="1:2" ht="15.75" customHeight="1" x14ac:dyDescent="0.25">
      <c r="A1640" s="27" t="s">
        <v>927</v>
      </c>
      <c r="B1640" s="27" t="s">
        <v>928</v>
      </c>
    </row>
    <row r="1641" spans="1:2" ht="15.75" customHeight="1" x14ac:dyDescent="0.25">
      <c r="A1641" s="27" t="s">
        <v>927</v>
      </c>
      <c r="B1641" s="27" t="s">
        <v>928</v>
      </c>
    </row>
    <row r="1642" spans="1:2" ht="15.75" customHeight="1" x14ac:dyDescent="0.25">
      <c r="A1642" s="27" t="s">
        <v>927</v>
      </c>
      <c r="B1642" s="27" t="s">
        <v>928</v>
      </c>
    </row>
    <row r="1643" spans="1:2" ht="15.75" customHeight="1" x14ac:dyDescent="0.25">
      <c r="A1643" s="27" t="s">
        <v>927</v>
      </c>
      <c r="B1643" s="27" t="s">
        <v>928</v>
      </c>
    </row>
    <row r="1644" spans="1:2" ht="15.75" customHeight="1" x14ac:dyDescent="0.25">
      <c r="A1644" s="27" t="s">
        <v>927</v>
      </c>
      <c r="B1644" s="27" t="s">
        <v>928</v>
      </c>
    </row>
    <row r="1645" spans="1:2" ht="15.75" customHeight="1" x14ac:dyDescent="0.25">
      <c r="A1645" s="27" t="s">
        <v>927</v>
      </c>
      <c r="B1645" s="27" t="s">
        <v>928</v>
      </c>
    </row>
    <row r="1646" spans="1:2" ht="15.75" customHeight="1" x14ac:dyDescent="0.25">
      <c r="A1646" s="27" t="s">
        <v>927</v>
      </c>
      <c r="B1646" s="27" t="s">
        <v>928</v>
      </c>
    </row>
    <row r="1647" spans="1:2" ht="15.75" customHeight="1" x14ac:dyDescent="0.25">
      <c r="A1647" s="27" t="s">
        <v>927</v>
      </c>
      <c r="B1647" s="27" t="s">
        <v>928</v>
      </c>
    </row>
    <row r="1648" spans="1:2" ht="15.75" customHeight="1" x14ac:dyDescent="0.25">
      <c r="A1648" s="27" t="s">
        <v>927</v>
      </c>
      <c r="B1648" s="27" t="s">
        <v>928</v>
      </c>
    </row>
    <row r="1649" spans="1:2" ht="15.75" customHeight="1" x14ac:dyDescent="0.25">
      <c r="A1649" s="27" t="s">
        <v>927</v>
      </c>
      <c r="B1649" s="27" t="s">
        <v>928</v>
      </c>
    </row>
    <row r="1650" spans="1:2" ht="15.75" customHeight="1" x14ac:dyDescent="0.25">
      <c r="A1650" s="27" t="s">
        <v>927</v>
      </c>
      <c r="B1650" s="27" t="s">
        <v>928</v>
      </c>
    </row>
    <row r="1651" spans="1:2" ht="15.75" customHeight="1" x14ac:dyDescent="0.25">
      <c r="A1651" s="27" t="s">
        <v>927</v>
      </c>
      <c r="B1651" s="27" t="s">
        <v>928</v>
      </c>
    </row>
    <row r="1652" spans="1:2" ht="15.75" customHeight="1" x14ac:dyDescent="0.25">
      <c r="A1652" s="27" t="s">
        <v>927</v>
      </c>
      <c r="B1652" s="27" t="s">
        <v>928</v>
      </c>
    </row>
    <row r="1653" spans="1:2" ht="15.75" customHeight="1" x14ac:dyDescent="0.25">
      <c r="A1653" s="27" t="s">
        <v>927</v>
      </c>
      <c r="B1653" s="27" t="s">
        <v>928</v>
      </c>
    </row>
    <row r="1654" spans="1:2" ht="15.75" customHeight="1" x14ac:dyDescent="0.25">
      <c r="A1654" s="27" t="s">
        <v>927</v>
      </c>
      <c r="B1654" s="27" t="s">
        <v>928</v>
      </c>
    </row>
    <row r="1655" spans="1:2" ht="15.75" customHeight="1" x14ac:dyDescent="0.25">
      <c r="A1655" s="27" t="s">
        <v>927</v>
      </c>
      <c r="B1655" s="27" t="s">
        <v>928</v>
      </c>
    </row>
    <row r="1656" spans="1:2" ht="15.75" customHeight="1" x14ac:dyDescent="0.25">
      <c r="A1656" s="27" t="s">
        <v>927</v>
      </c>
      <c r="B1656" s="27" t="s">
        <v>928</v>
      </c>
    </row>
    <row r="1657" spans="1:2" ht="15.75" customHeight="1" x14ac:dyDescent="0.25">
      <c r="A1657" s="27" t="s">
        <v>927</v>
      </c>
      <c r="B1657" s="27" t="s">
        <v>928</v>
      </c>
    </row>
    <row r="1658" spans="1:2" ht="15.75" customHeight="1" x14ac:dyDescent="0.25">
      <c r="A1658" s="27" t="s">
        <v>927</v>
      </c>
      <c r="B1658" s="27" t="s">
        <v>928</v>
      </c>
    </row>
    <row r="1659" spans="1:2" ht="15.75" customHeight="1" x14ac:dyDescent="0.25">
      <c r="A1659" s="27" t="s">
        <v>927</v>
      </c>
      <c r="B1659" s="27" t="s">
        <v>928</v>
      </c>
    </row>
    <row r="1660" spans="1:2" ht="15.75" customHeight="1" x14ac:dyDescent="0.25">
      <c r="A1660" s="27" t="s">
        <v>927</v>
      </c>
      <c r="B1660" s="27" t="s">
        <v>928</v>
      </c>
    </row>
    <row r="1661" spans="1:2" ht="15.75" customHeight="1" x14ac:dyDescent="0.25">
      <c r="A1661" s="27" t="s">
        <v>927</v>
      </c>
      <c r="B1661" s="27" t="s">
        <v>928</v>
      </c>
    </row>
    <row r="1662" spans="1:2" ht="15.75" customHeight="1" x14ac:dyDescent="0.25">
      <c r="A1662" s="27" t="s">
        <v>927</v>
      </c>
      <c r="B1662" s="27" t="s">
        <v>928</v>
      </c>
    </row>
    <row r="1663" spans="1:2" ht="15.75" customHeight="1" x14ac:dyDescent="0.25">
      <c r="A1663" s="27" t="s">
        <v>927</v>
      </c>
      <c r="B1663" s="27" t="s">
        <v>928</v>
      </c>
    </row>
    <row r="1664" spans="1:2" ht="15.75" customHeight="1" x14ac:dyDescent="0.25">
      <c r="A1664" s="27" t="s">
        <v>927</v>
      </c>
      <c r="B1664" s="27" t="s">
        <v>928</v>
      </c>
    </row>
    <row r="1665" spans="1:2" ht="15.75" customHeight="1" x14ac:dyDescent="0.25">
      <c r="A1665" s="27" t="s">
        <v>927</v>
      </c>
      <c r="B1665" s="27" t="s">
        <v>928</v>
      </c>
    </row>
    <row r="1666" spans="1:2" ht="15.75" customHeight="1" x14ac:dyDescent="0.25">
      <c r="A1666" s="27" t="s">
        <v>927</v>
      </c>
      <c r="B1666" s="27" t="s">
        <v>928</v>
      </c>
    </row>
    <row r="1667" spans="1:2" ht="15.75" customHeight="1" x14ac:dyDescent="0.25">
      <c r="A1667" s="27" t="s">
        <v>927</v>
      </c>
      <c r="B1667" s="27" t="s">
        <v>928</v>
      </c>
    </row>
    <row r="1668" spans="1:2" ht="15.75" customHeight="1" x14ac:dyDescent="0.25">
      <c r="A1668" s="27" t="s">
        <v>927</v>
      </c>
      <c r="B1668" s="27" t="s">
        <v>928</v>
      </c>
    </row>
    <row r="1669" spans="1:2" ht="15.75" customHeight="1" x14ac:dyDescent="0.25">
      <c r="A1669" s="27" t="s">
        <v>927</v>
      </c>
      <c r="B1669" s="27" t="s">
        <v>928</v>
      </c>
    </row>
    <row r="1670" spans="1:2" ht="15.75" customHeight="1" x14ac:dyDescent="0.25">
      <c r="A1670" s="27" t="s">
        <v>927</v>
      </c>
      <c r="B1670" s="27" t="s">
        <v>928</v>
      </c>
    </row>
    <row r="1671" spans="1:2" ht="15.75" customHeight="1" x14ac:dyDescent="0.25">
      <c r="A1671" s="27" t="s">
        <v>927</v>
      </c>
      <c r="B1671" s="27" t="s">
        <v>928</v>
      </c>
    </row>
    <row r="1672" spans="1:2" ht="15.75" customHeight="1" x14ac:dyDescent="0.25">
      <c r="A1672" s="27" t="s">
        <v>927</v>
      </c>
      <c r="B1672" s="27" t="s">
        <v>928</v>
      </c>
    </row>
    <row r="1673" spans="1:2" ht="15.75" customHeight="1" x14ac:dyDescent="0.25">
      <c r="A1673" s="27" t="s">
        <v>927</v>
      </c>
      <c r="B1673" s="27" t="s">
        <v>928</v>
      </c>
    </row>
    <row r="1674" spans="1:2" ht="15.75" customHeight="1" x14ac:dyDescent="0.25">
      <c r="A1674" s="27" t="s">
        <v>927</v>
      </c>
      <c r="B1674" s="27" t="s">
        <v>928</v>
      </c>
    </row>
    <row r="1675" spans="1:2" ht="15.75" customHeight="1" x14ac:dyDescent="0.25">
      <c r="A1675" s="27" t="s">
        <v>927</v>
      </c>
      <c r="B1675" s="27" t="s">
        <v>928</v>
      </c>
    </row>
    <row r="1676" spans="1:2" ht="15.75" customHeight="1" x14ac:dyDescent="0.25">
      <c r="A1676" s="27" t="s">
        <v>927</v>
      </c>
      <c r="B1676" s="27" t="s">
        <v>928</v>
      </c>
    </row>
    <row r="1677" spans="1:2" ht="15.75" customHeight="1" x14ac:dyDescent="0.25">
      <c r="A1677" s="27" t="s">
        <v>927</v>
      </c>
      <c r="B1677" s="27" t="s">
        <v>928</v>
      </c>
    </row>
    <row r="1678" spans="1:2" ht="15.75" customHeight="1" x14ac:dyDescent="0.25">
      <c r="A1678" s="27" t="s">
        <v>927</v>
      </c>
      <c r="B1678" s="27" t="s">
        <v>928</v>
      </c>
    </row>
    <row r="1679" spans="1:2" ht="15.75" customHeight="1" x14ac:dyDescent="0.25">
      <c r="A1679" s="27" t="s">
        <v>927</v>
      </c>
      <c r="B1679" s="27" t="s">
        <v>928</v>
      </c>
    </row>
    <row r="1680" spans="1:2" ht="15.75" customHeight="1" x14ac:dyDescent="0.25">
      <c r="A1680" s="27" t="s">
        <v>927</v>
      </c>
      <c r="B1680" s="27" t="s">
        <v>928</v>
      </c>
    </row>
    <row r="1681" spans="1:2" ht="15.75" customHeight="1" x14ac:dyDescent="0.25">
      <c r="A1681" s="27" t="s">
        <v>927</v>
      </c>
      <c r="B1681" s="27" t="s">
        <v>928</v>
      </c>
    </row>
    <row r="1682" spans="1:2" ht="15.75" customHeight="1" x14ac:dyDescent="0.25">
      <c r="A1682" s="27" t="s">
        <v>927</v>
      </c>
      <c r="B1682" s="27" t="s">
        <v>928</v>
      </c>
    </row>
    <row r="1683" spans="1:2" ht="15.75" customHeight="1" x14ac:dyDescent="0.25">
      <c r="A1683" s="27" t="s">
        <v>927</v>
      </c>
      <c r="B1683" s="27" t="s">
        <v>928</v>
      </c>
    </row>
    <row r="1684" spans="1:2" ht="15.75" customHeight="1" x14ac:dyDescent="0.25">
      <c r="A1684" s="27" t="s">
        <v>927</v>
      </c>
      <c r="B1684" s="27" t="s">
        <v>928</v>
      </c>
    </row>
    <row r="1685" spans="1:2" ht="15.75" customHeight="1" x14ac:dyDescent="0.25">
      <c r="A1685" s="27" t="s">
        <v>927</v>
      </c>
      <c r="B1685" s="27" t="s">
        <v>928</v>
      </c>
    </row>
    <row r="1686" spans="1:2" ht="15.75" customHeight="1" x14ac:dyDescent="0.25">
      <c r="A1686" s="27" t="s">
        <v>927</v>
      </c>
      <c r="B1686" s="27" t="s">
        <v>928</v>
      </c>
    </row>
    <row r="1687" spans="1:2" ht="15.75" customHeight="1" x14ac:dyDescent="0.25">
      <c r="A1687" s="27" t="s">
        <v>927</v>
      </c>
      <c r="B1687" s="27" t="s">
        <v>928</v>
      </c>
    </row>
    <row r="1688" spans="1:2" ht="15.75" customHeight="1" x14ac:dyDescent="0.25">
      <c r="A1688" s="27" t="s">
        <v>927</v>
      </c>
      <c r="B1688" s="27" t="s">
        <v>928</v>
      </c>
    </row>
    <row r="1689" spans="1:2" ht="15.75" customHeight="1" x14ac:dyDescent="0.25">
      <c r="A1689" s="27" t="s">
        <v>927</v>
      </c>
      <c r="B1689" s="27" t="s">
        <v>928</v>
      </c>
    </row>
    <row r="1690" spans="1:2" ht="15.75" customHeight="1" x14ac:dyDescent="0.25">
      <c r="A1690" s="27" t="s">
        <v>927</v>
      </c>
      <c r="B1690" s="27" t="s">
        <v>928</v>
      </c>
    </row>
    <row r="1691" spans="1:2" ht="15.75" customHeight="1" x14ac:dyDescent="0.25">
      <c r="A1691" s="27" t="s">
        <v>927</v>
      </c>
      <c r="B1691" s="27" t="s">
        <v>928</v>
      </c>
    </row>
    <row r="1692" spans="1:2" ht="15.75" customHeight="1" x14ac:dyDescent="0.25">
      <c r="A1692" s="27" t="s">
        <v>927</v>
      </c>
      <c r="B1692" s="27" t="s">
        <v>928</v>
      </c>
    </row>
    <row r="1693" spans="1:2" ht="15.75" customHeight="1" x14ac:dyDescent="0.25">
      <c r="A1693" s="27" t="s">
        <v>927</v>
      </c>
      <c r="B1693" s="27" t="s">
        <v>928</v>
      </c>
    </row>
    <row r="1694" spans="1:2" ht="15.75" customHeight="1" x14ac:dyDescent="0.25">
      <c r="A1694" s="27" t="s">
        <v>927</v>
      </c>
      <c r="B1694" s="27" t="s">
        <v>928</v>
      </c>
    </row>
    <row r="1695" spans="1:2" ht="15.75" customHeight="1" x14ac:dyDescent="0.25">
      <c r="A1695" s="27" t="s">
        <v>927</v>
      </c>
      <c r="B1695" s="27" t="s">
        <v>928</v>
      </c>
    </row>
    <row r="1696" spans="1:2" ht="15.75" customHeight="1" x14ac:dyDescent="0.25">
      <c r="A1696" s="27" t="s">
        <v>927</v>
      </c>
      <c r="B1696" s="27" t="s">
        <v>928</v>
      </c>
    </row>
    <row r="1697" spans="1:2" ht="15.75" customHeight="1" x14ac:dyDescent="0.25">
      <c r="A1697" s="27" t="s">
        <v>927</v>
      </c>
      <c r="B1697" s="27" t="s">
        <v>928</v>
      </c>
    </row>
    <row r="1698" spans="1:2" ht="15.75" customHeight="1" x14ac:dyDescent="0.25">
      <c r="A1698" s="27" t="s">
        <v>927</v>
      </c>
      <c r="B1698" s="27" t="s">
        <v>928</v>
      </c>
    </row>
    <row r="1699" spans="1:2" ht="15.75" customHeight="1" x14ac:dyDescent="0.25">
      <c r="A1699" s="27" t="s">
        <v>927</v>
      </c>
      <c r="B1699" s="27" t="s">
        <v>928</v>
      </c>
    </row>
    <row r="1700" spans="1:2" ht="15.75" customHeight="1" x14ac:dyDescent="0.25">
      <c r="A1700" s="27" t="s">
        <v>927</v>
      </c>
      <c r="B1700" s="27" t="s">
        <v>928</v>
      </c>
    </row>
    <row r="1701" spans="1:2" ht="15.75" customHeight="1" x14ac:dyDescent="0.25">
      <c r="A1701" s="27" t="s">
        <v>927</v>
      </c>
      <c r="B1701" s="27" t="s">
        <v>928</v>
      </c>
    </row>
    <row r="1702" spans="1:2" ht="15.75" customHeight="1" x14ac:dyDescent="0.25">
      <c r="A1702" s="27" t="s">
        <v>927</v>
      </c>
      <c r="B1702" s="27" t="s">
        <v>928</v>
      </c>
    </row>
    <row r="1703" spans="1:2" ht="15.75" customHeight="1" x14ac:dyDescent="0.25">
      <c r="A1703" s="27" t="s">
        <v>927</v>
      </c>
      <c r="B1703" s="27" t="s">
        <v>928</v>
      </c>
    </row>
    <row r="1704" spans="1:2" ht="15.75" customHeight="1" x14ac:dyDescent="0.25">
      <c r="A1704" s="27" t="s">
        <v>927</v>
      </c>
      <c r="B1704" s="27" t="s">
        <v>928</v>
      </c>
    </row>
    <row r="1705" spans="1:2" ht="15.75" customHeight="1" x14ac:dyDescent="0.25">
      <c r="A1705" s="27" t="s">
        <v>927</v>
      </c>
      <c r="B1705" s="27" t="s">
        <v>928</v>
      </c>
    </row>
    <row r="1706" spans="1:2" ht="15.75" customHeight="1" x14ac:dyDescent="0.25">
      <c r="A1706" s="27" t="s">
        <v>927</v>
      </c>
      <c r="B1706" s="27" t="s">
        <v>928</v>
      </c>
    </row>
    <row r="1707" spans="1:2" ht="15.75" customHeight="1" x14ac:dyDescent="0.25">
      <c r="A1707" s="27" t="s">
        <v>927</v>
      </c>
      <c r="B1707" s="27" t="s">
        <v>928</v>
      </c>
    </row>
    <row r="1708" spans="1:2" ht="15.75" customHeight="1" x14ac:dyDescent="0.25">
      <c r="A1708" s="27" t="s">
        <v>927</v>
      </c>
      <c r="B1708" s="27" t="s">
        <v>928</v>
      </c>
    </row>
    <row r="1709" spans="1:2" ht="15.75" customHeight="1" x14ac:dyDescent="0.25">
      <c r="A1709" s="27" t="s">
        <v>927</v>
      </c>
      <c r="B1709" s="27" t="s">
        <v>928</v>
      </c>
    </row>
    <row r="1710" spans="1:2" ht="15.75" customHeight="1" x14ac:dyDescent="0.25">
      <c r="A1710" s="27" t="s">
        <v>927</v>
      </c>
      <c r="B1710" s="27" t="s">
        <v>928</v>
      </c>
    </row>
    <row r="1711" spans="1:2" ht="15.75" customHeight="1" x14ac:dyDescent="0.25">
      <c r="A1711" s="27" t="s">
        <v>927</v>
      </c>
      <c r="B1711" s="27" t="s">
        <v>928</v>
      </c>
    </row>
    <row r="1712" spans="1:2" ht="15.75" customHeight="1" x14ac:dyDescent="0.25">
      <c r="A1712" s="27" t="s">
        <v>927</v>
      </c>
      <c r="B1712" s="27" t="s">
        <v>928</v>
      </c>
    </row>
    <row r="1713" spans="1:2" ht="15.75" customHeight="1" x14ac:dyDescent="0.25">
      <c r="A1713" s="27" t="s">
        <v>927</v>
      </c>
      <c r="B1713" s="27" t="s">
        <v>928</v>
      </c>
    </row>
    <row r="1714" spans="1:2" ht="15.75" customHeight="1" x14ac:dyDescent="0.25">
      <c r="A1714" s="27" t="s">
        <v>927</v>
      </c>
      <c r="B1714" s="27" t="s">
        <v>928</v>
      </c>
    </row>
    <row r="1715" spans="1:2" ht="15.75" customHeight="1" x14ac:dyDescent="0.25">
      <c r="A1715" s="27" t="s">
        <v>927</v>
      </c>
      <c r="B1715" s="27" t="s">
        <v>928</v>
      </c>
    </row>
    <row r="1716" spans="1:2" ht="15.75" customHeight="1" x14ac:dyDescent="0.25">
      <c r="A1716" s="27" t="s">
        <v>927</v>
      </c>
      <c r="B1716" s="27" t="s">
        <v>928</v>
      </c>
    </row>
    <row r="1717" spans="1:2" ht="15.75" customHeight="1" x14ac:dyDescent="0.25">
      <c r="A1717" s="27" t="s">
        <v>929</v>
      </c>
      <c r="B1717" s="27" t="s">
        <v>930</v>
      </c>
    </row>
    <row r="1718" spans="1:2" ht="15.75" customHeight="1" x14ac:dyDescent="0.25">
      <c r="A1718" s="27" t="s">
        <v>929</v>
      </c>
      <c r="B1718" s="27" t="s">
        <v>930</v>
      </c>
    </row>
    <row r="1719" spans="1:2" ht="15.75" customHeight="1" x14ac:dyDescent="0.25">
      <c r="A1719" s="27" t="s">
        <v>931</v>
      </c>
      <c r="B1719" s="27" t="s">
        <v>932</v>
      </c>
    </row>
    <row r="1720" spans="1:2" ht="15.75" customHeight="1" x14ac:dyDescent="0.25">
      <c r="A1720" s="27" t="s">
        <v>931</v>
      </c>
      <c r="B1720" s="27" t="s">
        <v>932</v>
      </c>
    </row>
    <row r="1721" spans="1:2" ht="15.75" customHeight="1" x14ac:dyDescent="0.25">
      <c r="A1721" s="27" t="s">
        <v>931</v>
      </c>
      <c r="B1721" s="27" t="s">
        <v>932</v>
      </c>
    </row>
    <row r="1722" spans="1:2" ht="15.75" customHeight="1" x14ac:dyDescent="0.25">
      <c r="A1722" s="27" t="s">
        <v>931</v>
      </c>
      <c r="B1722" s="27" t="s">
        <v>932</v>
      </c>
    </row>
    <row r="1723" spans="1:2" ht="15.75" customHeight="1" x14ac:dyDescent="0.25">
      <c r="A1723" s="27" t="s">
        <v>931</v>
      </c>
      <c r="B1723" s="27" t="s">
        <v>932</v>
      </c>
    </row>
    <row r="1724" spans="1:2" ht="15.75" customHeight="1" x14ac:dyDescent="0.25">
      <c r="A1724" s="27" t="s">
        <v>933</v>
      </c>
      <c r="B1724" s="27" t="s">
        <v>934</v>
      </c>
    </row>
    <row r="1725" spans="1:2" ht="15.75" customHeight="1" x14ac:dyDescent="0.25">
      <c r="A1725" s="27" t="s">
        <v>933</v>
      </c>
      <c r="B1725" s="27" t="s">
        <v>934</v>
      </c>
    </row>
    <row r="1726" spans="1:2" ht="15.75" customHeight="1" x14ac:dyDescent="0.25">
      <c r="A1726" s="27" t="s">
        <v>933</v>
      </c>
      <c r="B1726" s="27" t="s">
        <v>934</v>
      </c>
    </row>
    <row r="1727" spans="1:2" ht="15.75" customHeight="1" x14ac:dyDescent="0.25">
      <c r="A1727" s="27" t="s">
        <v>933</v>
      </c>
      <c r="B1727" s="27" t="s">
        <v>934</v>
      </c>
    </row>
    <row r="1728" spans="1:2" ht="15.75" customHeight="1" x14ac:dyDescent="0.25">
      <c r="A1728" s="27" t="s">
        <v>935</v>
      </c>
      <c r="B1728" s="27" t="s">
        <v>936</v>
      </c>
    </row>
    <row r="1729" spans="1:2" ht="15.75" customHeight="1" x14ac:dyDescent="0.25">
      <c r="A1729" s="27" t="s">
        <v>935</v>
      </c>
      <c r="B1729" s="27" t="s">
        <v>936</v>
      </c>
    </row>
    <row r="1730" spans="1:2" ht="15.75" customHeight="1" x14ac:dyDescent="0.25">
      <c r="A1730" s="27" t="s">
        <v>935</v>
      </c>
      <c r="B1730" s="27" t="s">
        <v>936</v>
      </c>
    </row>
    <row r="1731" spans="1:2" ht="15.75" customHeight="1" x14ac:dyDescent="0.25">
      <c r="A1731" s="27" t="s">
        <v>935</v>
      </c>
      <c r="B1731" s="27" t="s">
        <v>936</v>
      </c>
    </row>
    <row r="1732" spans="1:2" ht="15.75" customHeight="1" x14ac:dyDescent="0.25">
      <c r="A1732" s="27" t="s">
        <v>935</v>
      </c>
      <c r="B1732" s="27" t="s">
        <v>936</v>
      </c>
    </row>
    <row r="1733" spans="1:2" ht="15.75" customHeight="1" x14ac:dyDescent="0.25">
      <c r="A1733" s="27" t="s">
        <v>935</v>
      </c>
      <c r="B1733" s="27" t="s">
        <v>936</v>
      </c>
    </row>
    <row r="1734" spans="1:2" ht="15.75" customHeight="1" x14ac:dyDescent="0.25">
      <c r="A1734" s="27" t="s">
        <v>937</v>
      </c>
      <c r="B1734" s="27" t="s">
        <v>938</v>
      </c>
    </row>
    <row r="1735" spans="1:2" ht="15.75" customHeight="1" x14ac:dyDescent="0.25">
      <c r="A1735" s="27" t="s">
        <v>937</v>
      </c>
      <c r="B1735" s="27" t="s">
        <v>938</v>
      </c>
    </row>
    <row r="1736" spans="1:2" ht="15.75" customHeight="1" x14ac:dyDescent="0.25">
      <c r="A1736" s="27" t="s">
        <v>939</v>
      </c>
      <c r="B1736" s="27" t="s">
        <v>940</v>
      </c>
    </row>
    <row r="1737" spans="1:2" ht="15.75" customHeight="1" x14ac:dyDescent="0.25">
      <c r="A1737" s="27" t="s">
        <v>939</v>
      </c>
      <c r="B1737" s="27" t="s">
        <v>940</v>
      </c>
    </row>
    <row r="1738" spans="1:2" ht="15.75" customHeight="1" x14ac:dyDescent="0.25">
      <c r="A1738" s="27" t="s">
        <v>939</v>
      </c>
      <c r="B1738" s="27" t="s">
        <v>940</v>
      </c>
    </row>
    <row r="1739" spans="1:2" ht="15.75" customHeight="1" x14ac:dyDescent="0.25">
      <c r="A1739" s="27" t="s">
        <v>941</v>
      </c>
      <c r="B1739" s="27" t="s">
        <v>942</v>
      </c>
    </row>
    <row r="1740" spans="1:2" ht="15.75" customHeight="1" x14ac:dyDescent="0.25">
      <c r="A1740" s="27" t="s">
        <v>941</v>
      </c>
      <c r="B1740" s="27" t="s">
        <v>942</v>
      </c>
    </row>
    <row r="1741" spans="1:2" ht="15.75" customHeight="1" x14ac:dyDescent="0.25">
      <c r="A1741" s="27" t="s">
        <v>941</v>
      </c>
      <c r="B1741" s="27" t="s">
        <v>942</v>
      </c>
    </row>
    <row r="1742" spans="1:2" ht="15.75" customHeight="1" x14ac:dyDescent="0.25">
      <c r="A1742" s="27" t="s">
        <v>941</v>
      </c>
      <c r="B1742" s="27" t="s">
        <v>942</v>
      </c>
    </row>
    <row r="1743" spans="1:2" ht="15.75" customHeight="1" x14ac:dyDescent="0.25">
      <c r="A1743" s="27" t="s">
        <v>941</v>
      </c>
      <c r="B1743" s="27" t="s">
        <v>942</v>
      </c>
    </row>
    <row r="1744" spans="1:2" ht="15.75" customHeight="1" x14ac:dyDescent="0.25">
      <c r="A1744" s="27" t="s">
        <v>941</v>
      </c>
      <c r="B1744" s="27" t="s">
        <v>942</v>
      </c>
    </row>
    <row r="1745" spans="1:2" ht="15.75" customHeight="1" x14ac:dyDescent="0.25">
      <c r="A1745" s="27" t="s">
        <v>941</v>
      </c>
      <c r="B1745" s="27" t="s">
        <v>942</v>
      </c>
    </row>
    <row r="1746" spans="1:2" ht="15.75" customHeight="1" x14ac:dyDescent="0.25">
      <c r="A1746" s="27" t="s">
        <v>941</v>
      </c>
      <c r="B1746" s="27" t="s">
        <v>942</v>
      </c>
    </row>
    <row r="1747" spans="1:2" ht="15.75" customHeight="1" x14ac:dyDescent="0.25">
      <c r="A1747" s="27" t="s">
        <v>941</v>
      </c>
      <c r="B1747" s="27" t="s">
        <v>942</v>
      </c>
    </row>
    <row r="1748" spans="1:2" ht="15.75" customHeight="1" x14ac:dyDescent="0.25">
      <c r="A1748" s="27" t="s">
        <v>941</v>
      </c>
      <c r="B1748" s="27" t="s">
        <v>942</v>
      </c>
    </row>
    <row r="1749" spans="1:2" ht="15.75" customHeight="1" x14ac:dyDescent="0.25">
      <c r="A1749" s="27" t="s">
        <v>941</v>
      </c>
      <c r="B1749" s="27" t="s">
        <v>942</v>
      </c>
    </row>
    <row r="1750" spans="1:2" ht="15.75" customHeight="1" x14ac:dyDescent="0.25">
      <c r="A1750" s="27" t="s">
        <v>941</v>
      </c>
      <c r="B1750" s="27" t="s">
        <v>942</v>
      </c>
    </row>
    <row r="1751" spans="1:2" ht="15.75" customHeight="1" x14ac:dyDescent="0.25">
      <c r="A1751" s="27" t="s">
        <v>941</v>
      </c>
      <c r="B1751" s="27" t="s">
        <v>942</v>
      </c>
    </row>
    <row r="1752" spans="1:2" ht="15.75" customHeight="1" x14ac:dyDescent="0.25">
      <c r="A1752" s="27" t="s">
        <v>941</v>
      </c>
      <c r="B1752" s="27" t="s">
        <v>942</v>
      </c>
    </row>
    <row r="1753" spans="1:2" ht="15.75" customHeight="1" x14ac:dyDescent="0.25">
      <c r="A1753" s="27" t="s">
        <v>941</v>
      </c>
      <c r="B1753" s="27" t="s">
        <v>942</v>
      </c>
    </row>
    <row r="1754" spans="1:2" ht="15.75" customHeight="1" x14ac:dyDescent="0.25">
      <c r="A1754" s="27" t="s">
        <v>941</v>
      </c>
      <c r="B1754" s="27" t="s">
        <v>942</v>
      </c>
    </row>
    <row r="1755" spans="1:2" ht="15.75" customHeight="1" x14ac:dyDescent="0.25">
      <c r="A1755" s="27" t="s">
        <v>941</v>
      </c>
      <c r="B1755" s="27" t="s">
        <v>942</v>
      </c>
    </row>
    <row r="1756" spans="1:2" ht="15.75" customHeight="1" x14ac:dyDescent="0.25">
      <c r="A1756" s="27" t="s">
        <v>941</v>
      </c>
      <c r="B1756" s="27" t="s">
        <v>942</v>
      </c>
    </row>
    <row r="1757" spans="1:2" ht="15.75" customHeight="1" x14ac:dyDescent="0.25">
      <c r="A1757" s="27" t="s">
        <v>941</v>
      </c>
      <c r="B1757" s="27" t="s">
        <v>942</v>
      </c>
    </row>
    <row r="1758" spans="1:2" ht="15.75" customHeight="1" x14ac:dyDescent="0.25">
      <c r="A1758" s="27" t="s">
        <v>941</v>
      </c>
      <c r="B1758" s="27" t="s">
        <v>942</v>
      </c>
    </row>
    <row r="1759" spans="1:2" ht="15.75" customHeight="1" x14ac:dyDescent="0.25">
      <c r="A1759" s="27" t="s">
        <v>941</v>
      </c>
      <c r="B1759" s="27" t="s">
        <v>942</v>
      </c>
    </row>
    <row r="1760" spans="1:2" ht="15.75" customHeight="1" x14ac:dyDescent="0.25">
      <c r="A1760" s="27" t="s">
        <v>941</v>
      </c>
      <c r="B1760" s="27" t="s">
        <v>942</v>
      </c>
    </row>
    <row r="1761" spans="1:2" ht="15.75" customHeight="1" x14ac:dyDescent="0.25">
      <c r="A1761" s="27" t="s">
        <v>941</v>
      </c>
      <c r="B1761" s="27" t="s">
        <v>942</v>
      </c>
    </row>
    <row r="1762" spans="1:2" ht="15.75" customHeight="1" x14ac:dyDescent="0.25">
      <c r="A1762" s="27" t="s">
        <v>941</v>
      </c>
      <c r="B1762" s="27" t="s">
        <v>942</v>
      </c>
    </row>
    <row r="1763" spans="1:2" ht="15.75" customHeight="1" x14ac:dyDescent="0.25">
      <c r="A1763" s="27" t="s">
        <v>941</v>
      </c>
      <c r="B1763" s="27" t="s">
        <v>942</v>
      </c>
    </row>
    <row r="1764" spans="1:2" ht="15.75" customHeight="1" x14ac:dyDescent="0.25">
      <c r="A1764" s="27" t="s">
        <v>941</v>
      </c>
      <c r="B1764" s="27" t="s">
        <v>942</v>
      </c>
    </row>
    <row r="1765" spans="1:2" ht="15.75" customHeight="1" x14ac:dyDescent="0.25">
      <c r="A1765" s="27" t="s">
        <v>941</v>
      </c>
      <c r="B1765" s="27" t="s">
        <v>942</v>
      </c>
    </row>
    <row r="1766" spans="1:2" ht="15.75" customHeight="1" x14ac:dyDescent="0.25">
      <c r="A1766" s="27" t="s">
        <v>941</v>
      </c>
      <c r="B1766" s="27" t="s">
        <v>942</v>
      </c>
    </row>
    <row r="1767" spans="1:2" ht="15.75" customHeight="1" x14ac:dyDescent="0.25">
      <c r="A1767" s="27" t="s">
        <v>941</v>
      </c>
      <c r="B1767" s="27" t="s">
        <v>942</v>
      </c>
    </row>
    <row r="1768" spans="1:2" ht="15.75" customHeight="1" x14ac:dyDescent="0.25">
      <c r="A1768" s="27" t="s">
        <v>941</v>
      </c>
      <c r="B1768" s="27" t="s">
        <v>942</v>
      </c>
    </row>
    <row r="1769" spans="1:2" ht="15.75" customHeight="1" x14ac:dyDescent="0.25">
      <c r="A1769" s="27" t="s">
        <v>941</v>
      </c>
      <c r="B1769" s="27" t="s">
        <v>942</v>
      </c>
    </row>
    <row r="1770" spans="1:2" ht="15.75" customHeight="1" x14ac:dyDescent="0.25">
      <c r="A1770" s="27" t="s">
        <v>941</v>
      </c>
      <c r="B1770" s="27" t="s">
        <v>942</v>
      </c>
    </row>
    <row r="1771" spans="1:2" ht="15.75" customHeight="1" x14ac:dyDescent="0.25">
      <c r="A1771" s="27" t="s">
        <v>941</v>
      </c>
      <c r="B1771" s="27" t="s">
        <v>942</v>
      </c>
    </row>
    <row r="1772" spans="1:2" ht="15.75" customHeight="1" x14ac:dyDescent="0.25">
      <c r="A1772" s="27" t="s">
        <v>941</v>
      </c>
      <c r="B1772" s="27" t="s">
        <v>942</v>
      </c>
    </row>
    <row r="1773" spans="1:2" ht="15.75" customHeight="1" x14ac:dyDescent="0.25">
      <c r="A1773" s="27" t="s">
        <v>941</v>
      </c>
      <c r="B1773" s="27" t="s">
        <v>942</v>
      </c>
    </row>
    <row r="1774" spans="1:2" ht="15.75" customHeight="1" x14ac:dyDescent="0.25">
      <c r="A1774" s="27" t="s">
        <v>941</v>
      </c>
      <c r="B1774" s="27" t="s">
        <v>942</v>
      </c>
    </row>
    <row r="1775" spans="1:2" ht="15.75" customHeight="1" x14ac:dyDescent="0.25">
      <c r="A1775" s="27" t="s">
        <v>941</v>
      </c>
      <c r="B1775" s="27" t="s">
        <v>942</v>
      </c>
    </row>
    <row r="1776" spans="1:2" ht="15.75" customHeight="1" x14ac:dyDescent="0.25">
      <c r="A1776" s="27" t="s">
        <v>941</v>
      </c>
      <c r="B1776" s="27" t="s">
        <v>942</v>
      </c>
    </row>
    <row r="1777" spans="1:2" ht="15.75" customHeight="1" x14ac:dyDescent="0.25">
      <c r="A1777" s="27" t="s">
        <v>941</v>
      </c>
      <c r="B1777" s="27" t="s">
        <v>942</v>
      </c>
    </row>
    <row r="1778" spans="1:2" ht="15.75" customHeight="1" x14ac:dyDescent="0.25">
      <c r="A1778" s="27" t="s">
        <v>941</v>
      </c>
      <c r="B1778" s="27" t="s">
        <v>942</v>
      </c>
    </row>
    <row r="1779" spans="1:2" ht="15.75" customHeight="1" x14ac:dyDescent="0.25">
      <c r="A1779" s="27" t="s">
        <v>941</v>
      </c>
      <c r="B1779" s="27" t="s">
        <v>942</v>
      </c>
    </row>
    <row r="1780" spans="1:2" ht="15.75" customHeight="1" x14ac:dyDescent="0.25">
      <c r="A1780" s="27" t="s">
        <v>941</v>
      </c>
      <c r="B1780" s="27" t="s">
        <v>942</v>
      </c>
    </row>
    <row r="1781" spans="1:2" ht="15.75" customHeight="1" x14ac:dyDescent="0.25">
      <c r="A1781" s="27" t="s">
        <v>941</v>
      </c>
      <c r="B1781" s="27" t="s">
        <v>942</v>
      </c>
    </row>
    <row r="1782" spans="1:2" ht="15.75" customHeight="1" x14ac:dyDescent="0.25">
      <c r="A1782" s="27" t="s">
        <v>941</v>
      </c>
      <c r="B1782" s="27" t="s">
        <v>942</v>
      </c>
    </row>
    <row r="1783" spans="1:2" ht="15.75" customHeight="1" x14ac:dyDescent="0.25">
      <c r="A1783" s="27" t="s">
        <v>941</v>
      </c>
      <c r="B1783" s="27" t="s">
        <v>942</v>
      </c>
    </row>
    <row r="1784" spans="1:2" ht="15.75" customHeight="1" x14ac:dyDescent="0.25">
      <c r="A1784" s="27" t="s">
        <v>941</v>
      </c>
      <c r="B1784" s="27" t="s">
        <v>942</v>
      </c>
    </row>
    <row r="1785" spans="1:2" ht="15.75" customHeight="1" x14ac:dyDescent="0.25">
      <c r="A1785" s="27" t="s">
        <v>941</v>
      </c>
      <c r="B1785" s="27" t="s">
        <v>942</v>
      </c>
    </row>
    <row r="1786" spans="1:2" ht="15.75" customHeight="1" x14ac:dyDescent="0.25">
      <c r="A1786" s="27" t="s">
        <v>941</v>
      </c>
      <c r="B1786" s="27" t="s">
        <v>942</v>
      </c>
    </row>
    <row r="1787" spans="1:2" ht="15.75" customHeight="1" x14ac:dyDescent="0.25">
      <c r="A1787" s="27" t="s">
        <v>941</v>
      </c>
      <c r="B1787" s="27" t="s">
        <v>942</v>
      </c>
    </row>
    <row r="1788" spans="1:2" ht="15.75" customHeight="1" x14ac:dyDescent="0.25">
      <c r="A1788" s="27" t="s">
        <v>941</v>
      </c>
      <c r="B1788" s="27" t="s">
        <v>942</v>
      </c>
    </row>
    <row r="1789" spans="1:2" ht="15.75" customHeight="1" x14ac:dyDescent="0.25">
      <c r="A1789" s="27" t="s">
        <v>941</v>
      </c>
      <c r="B1789" s="27" t="s">
        <v>942</v>
      </c>
    </row>
    <row r="1790" spans="1:2" ht="15.75" customHeight="1" x14ac:dyDescent="0.25">
      <c r="A1790" s="27" t="s">
        <v>941</v>
      </c>
      <c r="B1790" s="27" t="s">
        <v>942</v>
      </c>
    </row>
    <row r="1791" spans="1:2" ht="15.75" customHeight="1" x14ac:dyDescent="0.25">
      <c r="A1791" s="27" t="s">
        <v>941</v>
      </c>
      <c r="B1791" s="27" t="s">
        <v>942</v>
      </c>
    </row>
    <row r="1792" spans="1:2" ht="15.75" customHeight="1" x14ac:dyDescent="0.25">
      <c r="A1792" s="27" t="s">
        <v>941</v>
      </c>
      <c r="B1792" s="27" t="s">
        <v>942</v>
      </c>
    </row>
    <row r="1793" spans="1:2" ht="15.75" customHeight="1" x14ac:dyDescent="0.25">
      <c r="A1793" s="27" t="s">
        <v>941</v>
      </c>
      <c r="B1793" s="27" t="s">
        <v>942</v>
      </c>
    </row>
    <row r="1794" spans="1:2" ht="15.75" customHeight="1" x14ac:dyDescent="0.25">
      <c r="A1794" s="27" t="s">
        <v>941</v>
      </c>
      <c r="B1794" s="27" t="s">
        <v>942</v>
      </c>
    </row>
    <row r="1795" spans="1:2" ht="15.75" customHeight="1" x14ac:dyDescent="0.25">
      <c r="A1795" s="27" t="s">
        <v>941</v>
      </c>
      <c r="B1795" s="27" t="s">
        <v>942</v>
      </c>
    </row>
    <row r="1796" spans="1:2" ht="15.75" customHeight="1" x14ac:dyDescent="0.25">
      <c r="A1796" s="27" t="s">
        <v>941</v>
      </c>
      <c r="B1796" s="27" t="s">
        <v>942</v>
      </c>
    </row>
    <row r="1797" spans="1:2" ht="15.75" customHeight="1" x14ac:dyDescent="0.25">
      <c r="A1797" s="27" t="s">
        <v>941</v>
      </c>
      <c r="B1797" s="27" t="s">
        <v>942</v>
      </c>
    </row>
    <row r="1798" spans="1:2" ht="15.75" customHeight="1" x14ac:dyDescent="0.25">
      <c r="A1798" s="27" t="s">
        <v>941</v>
      </c>
      <c r="B1798" s="27" t="s">
        <v>942</v>
      </c>
    </row>
    <row r="1799" spans="1:2" ht="15.75" customHeight="1" x14ac:dyDescent="0.25">
      <c r="A1799" s="27" t="s">
        <v>941</v>
      </c>
      <c r="B1799" s="27" t="s">
        <v>942</v>
      </c>
    </row>
    <row r="1800" spans="1:2" ht="15.75" customHeight="1" x14ac:dyDescent="0.25">
      <c r="A1800" s="27" t="s">
        <v>941</v>
      </c>
      <c r="B1800" s="27" t="s">
        <v>942</v>
      </c>
    </row>
    <row r="1801" spans="1:2" ht="15.75" customHeight="1" x14ac:dyDescent="0.25">
      <c r="A1801" s="27" t="s">
        <v>941</v>
      </c>
      <c r="B1801" s="27" t="s">
        <v>942</v>
      </c>
    </row>
    <row r="1802" spans="1:2" ht="15.75" customHeight="1" x14ac:dyDescent="0.25">
      <c r="A1802" s="27" t="s">
        <v>941</v>
      </c>
      <c r="B1802" s="27" t="s">
        <v>942</v>
      </c>
    </row>
    <row r="1803" spans="1:2" ht="15.75" customHeight="1" x14ac:dyDescent="0.25">
      <c r="A1803" s="27" t="s">
        <v>941</v>
      </c>
      <c r="B1803" s="27" t="s">
        <v>942</v>
      </c>
    </row>
    <row r="1804" spans="1:2" ht="15.75" customHeight="1" x14ac:dyDescent="0.25">
      <c r="A1804" s="27" t="s">
        <v>941</v>
      </c>
      <c r="B1804" s="27" t="s">
        <v>942</v>
      </c>
    </row>
    <row r="1805" spans="1:2" ht="15.75" customHeight="1" x14ac:dyDescent="0.25">
      <c r="A1805" s="27" t="s">
        <v>941</v>
      </c>
      <c r="B1805" s="27" t="s">
        <v>942</v>
      </c>
    </row>
    <row r="1806" spans="1:2" ht="15.75" customHeight="1" x14ac:dyDescent="0.25">
      <c r="A1806" s="27" t="s">
        <v>941</v>
      </c>
      <c r="B1806" s="27" t="s">
        <v>942</v>
      </c>
    </row>
    <row r="1807" spans="1:2" ht="15.75" customHeight="1" x14ac:dyDescent="0.25">
      <c r="A1807" s="27" t="s">
        <v>941</v>
      </c>
      <c r="B1807" s="27" t="s">
        <v>942</v>
      </c>
    </row>
    <row r="1808" spans="1:2" ht="15.75" customHeight="1" x14ac:dyDescent="0.25">
      <c r="A1808" s="27" t="s">
        <v>941</v>
      </c>
      <c r="B1808" s="27" t="s">
        <v>942</v>
      </c>
    </row>
    <row r="1809" spans="1:2" ht="15.75" customHeight="1" x14ac:dyDescent="0.25">
      <c r="A1809" s="27" t="s">
        <v>941</v>
      </c>
      <c r="B1809" s="27" t="s">
        <v>942</v>
      </c>
    </row>
    <row r="1810" spans="1:2" ht="15.75" customHeight="1" x14ac:dyDescent="0.25">
      <c r="A1810" s="27" t="s">
        <v>941</v>
      </c>
      <c r="B1810" s="27" t="s">
        <v>942</v>
      </c>
    </row>
    <row r="1811" spans="1:2" ht="15.75" customHeight="1" x14ac:dyDescent="0.25">
      <c r="A1811" s="27" t="s">
        <v>941</v>
      </c>
      <c r="B1811" s="27" t="s">
        <v>942</v>
      </c>
    </row>
    <row r="1812" spans="1:2" ht="15.75" customHeight="1" x14ac:dyDescent="0.25">
      <c r="A1812" s="27" t="s">
        <v>941</v>
      </c>
      <c r="B1812" s="27" t="s">
        <v>942</v>
      </c>
    </row>
    <row r="1813" spans="1:2" ht="15.75" customHeight="1" x14ac:dyDescent="0.25">
      <c r="A1813" s="27" t="s">
        <v>941</v>
      </c>
      <c r="B1813" s="27" t="s">
        <v>942</v>
      </c>
    </row>
    <row r="1814" spans="1:2" ht="15.75" customHeight="1" x14ac:dyDescent="0.25">
      <c r="A1814" s="27" t="s">
        <v>941</v>
      </c>
      <c r="B1814" s="27" t="s">
        <v>942</v>
      </c>
    </row>
    <row r="1815" spans="1:2" ht="15.75" customHeight="1" x14ac:dyDescent="0.25">
      <c r="A1815" s="27" t="s">
        <v>941</v>
      </c>
      <c r="B1815" s="27" t="s">
        <v>942</v>
      </c>
    </row>
    <row r="1816" spans="1:2" ht="15.75" customHeight="1" x14ac:dyDescent="0.25">
      <c r="A1816" s="27" t="s">
        <v>941</v>
      </c>
      <c r="B1816" s="27" t="s">
        <v>942</v>
      </c>
    </row>
    <row r="1817" spans="1:2" ht="15.75" customHeight="1" x14ac:dyDescent="0.25">
      <c r="A1817" s="27" t="s">
        <v>941</v>
      </c>
      <c r="B1817" s="27" t="s">
        <v>942</v>
      </c>
    </row>
    <row r="1818" spans="1:2" ht="15.75" customHeight="1" x14ac:dyDescent="0.25">
      <c r="A1818" s="27" t="s">
        <v>941</v>
      </c>
      <c r="B1818" s="27" t="s">
        <v>942</v>
      </c>
    </row>
    <row r="1819" spans="1:2" ht="15.75" customHeight="1" x14ac:dyDescent="0.25">
      <c r="A1819" s="27" t="s">
        <v>941</v>
      </c>
      <c r="B1819" s="27" t="s">
        <v>942</v>
      </c>
    </row>
    <row r="1820" spans="1:2" ht="15.75" customHeight="1" x14ac:dyDescent="0.25">
      <c r="A1820" s="27" t="s">
        <v>941</v>
      </c>
      <c r="B1820" s="27" t="s">
        <v>942</v>
      </c>
    </row>
    <row r="1821" spans="1:2" ht="15.75" customHeight="1" x14ac:dyDescent="0.25">
      <c r="A1821" s="27" t="s">
        <v>941</v>
      </c>
      <c r="B1821" s="27" t="s">
        <v>942</v>
      </c>
    </row>
    <row r="1822" spans="1:2" ht="15.75" customHeight="1" x14ac:dyDescent="0.25">
      <c r="A1822" s="27" t="s">
        <v>941</v>
      </c>
      <c r="B1822" s="27" t="s">
        <v>942</v>
      </c>
    </row>
    <row r="1823" spans="1:2" ht="15.75" customHeight="1" x14ac:dyDescent="0.25">
      <c r="A1823" s="27" t="s">
        <v>941</v>
      </c>
      <c r="B1823" s="27" t="s">
        <v>942</v>
      </c>
    </row>
    <row r="1824" spans="1:2" ht="15.75" customHeight="1" x14ac:dyDescent="0.25">
      <c r="A1824" s="27" t="s">
        <v>941</v>
      </c>
      <c r="B1824" s="27" t="s">
        <v>942</v>
      </c>
    </row>
    <row r="1825" spans="1:2" ht="15.75" customHeight="1" x14ac:dyDescent="0.25">
      <c r="A1825" s="27" t="s">
        <v>941</v>
      </c>
      <c r="B1825" s="27" t="s">
        <v>942</v>
      </c>
    </row>
    <row r="1826" spans="1:2" ht="15.75" customHeight="1" x14ac:dyDescent="0.25">
      <c r="A1826" s="27" t="s">
        <v>941</v>
      </c>
      <c r="B1826" s="27" t="s">
        <v>942</v>
      </c>
    </row>
    <row r="1827" spans="1:2" ht="15.75" customHeight="1" x14ac:dyDescent="0.25">
      <c r="A1827" s="27" t="s">
        <v>941</v>
      </c>
      <c r="B1827" s="27" t="s">
        <v>942</v>
      </c>
    </row>
    <row r="1828" spans="1:2" ht="15.75" customHeight="1" x14ac:dyDescent="0.25">
      <c r="A1828" s="27" t="s">
        <v>941</v>
      </c>
      <c r="B1828" s="27" t="s">
        <v>942</v>
      </c>
    </row>
    <row r="1829" spans="1:2" ht="15.75" customHeight="1" x14ac:dyDescent="0.25">
      <c r="A1829" s="27" t="s">
        <v>941</v>
      </c>
      <c r="B1829" s="27" t="s">
        <v>942</v>
      </c>
    </row>
    <row r="1830" spans="1:2" ht="15.75" customHeight="1" x14ac:dyDescent="0.25">
      <c r="A1830" s="27" t="s">
        <v>941</v>
      </c>
      <c r="B1830" s="27" t="s">
        <v>942</v>
      </c>
    </row>
    <row r="1831" spans="1:2" ht="15.75" customHeight="1" x14ac:dyDescent="0.25">
      <c r="A1831" s="27" t="s">
        <v>941</v>
      </c>
      <c r="B1831" s="27" t="s">
        <v>942</v>
      </c>
    </row>
    <row r="1832" spans="1:2" ht="15.75" customHeight="1" x14ac:dyDescent="0.25">
      <c r="A1832" s="27" t="s">
        <v>941</v>
      </c>
      <c r="B1832" s="27" t="s">
        <v>942</v>
      </c>
    </row>
    <row r="1833" spans="1:2" ht="15.75" customHeight="1" x14ac:dyDescent="0.25">
      <c r="A1833" s="27" t="s">
        <v>941</v>
      </c>
      <c r="B1833" s="27" t="s">
        <v>942</v>
      </c>
    </row>
    <row r="1834" spans="1:2" ht="15.75" customHeight="1" x14ac:dyDescent="0.25">
      <c r="A1834" s="27" t="s">
        <v>941</v>
      </c>
      <c r="B1834" s="27" t="s">
        <v>942</v>
      </c>
    </row>
    <row r="1835" spans="1:2" ht="15.75" customHeight="1" x14ac:dyDescent="0.25">
      <c r="A1835" s="27" t="s">
        <v>941</v>
      </c>
      <c r="B1835" s="27" t="s">
        <v>942</v>
      </c>
    </row>
    <row r="1836" spans="1:2" ht="15.75" customHeight="1" x14ac:dyDescent="0.25">
      <c r="A1836" s="27" t="s">
        <v>941</v>
      </c>
      <c r="B1836" s="27" t="s">
        <v>942</v>
      </c>
    </row>
    <row r="1837" spans="1:2" ht="15.75" customHeight="1" x14ac:dyDescent="0.25">
      <c r="A1837" s="27" t="s">
        <v>941</v>
      </c>
      <c r="B1837" s="27" t="s">
        <v>942</v>
      </c>
    </row>
    <row r="1838" spans="1:2" ht="15.75" customHeight="1" x14ac:dyDescent="0.25">
      <c r="A1838" s="27" t="s">
        <v>941</v>
      </c>
      <c r="B1838" s="27" t="s">
        <v>942</v>
      </c>
    </row>
    <row r="1839" spans="1:2" ht="15.75" customHeight="1" x14ac:dyDescent="0.25">
      <c r="A1839" s="27" t="s">
        <v>941</v>
      </c>
      <c r="B1839" s="27" t="s">
        <v>942</v>
      </c>
    </row>
    <row r="1840" spans="1:2" ht="15.75" customHeight="1" x14ac:dyDescent="0.25">
      <c r="A1840" s="27" t="s">
        <v>941</v>
      </c>
      <c r="B1840" s="27" t="s">
        <v>942</v>
      </c>
    </row>
    <row r="1841" spans="1:2" ht="15.75" customHeight="1" x14ac:dyDescent="0.25">
      <c r="A1841" s="27" t="s">
        <v>941</v>
      </c>
      <c r="B1841" s="27" t="s">
        <v>942</v>
      </c>
    </row>
    <row r="1842" spans="1:2" ht="15.75" customHeight="1" x14ac:dyDescent="0.25">
      <c r="A1842" s="27" t="s">
        <v>941</v>
      </c>
      <c r="B1842" s="27" t="s">
        <v>942</v>
      </c>
    </row>
    <row r="1843" spans="1:2" ht="15.75" customHeight="1" x14ac:dyDescent="0.25">
      <c r="A1843" s="27" t="s">
        <v>941</v>
      </c>
      <c r="B1843" s="27" t="s">
        <v>942</v>
      </c>
    </row>
    <row r="1844" spans="1:2" ht="15.75" customHeight="1" x14ac:dyDescent="0.25">
      <c r="A1844" s="27" t="s">
        <v>941</v>
      </c>
      <c r="B1844" s="27" t="s">
        <v>942</v>
      </c>
    </row>
    <row r="1845" spans="1:2" ht="15.75" customHeight="1" x14ac:dyDescent="0.25">
      <c r="A1845" s="27" t="s">
        <v>941</v>
      </c>
      <c r="B1845" s="27" t="s">
        <v>942</v>
      </c>
    </row>
    <row r="1846" spans="1:2" ht="15.75" customHeight="1" x14ac:dyDescent="0.25">
      <c r="A1846" s="27" t="s">
        <v>941</v>
      </c>
      <c r="B1846" s="27" t="s">
        <v>942</v>
      </c>
    </row>
    <row r="1847" spans="1:2" ht="15.75" customHeight="1" x14ac:dyDescent="0.25">
      <c r="A1847" s="27" t="s">
        <v>941</v>
      </c>
      <c r="B1847" s="27" t="s">
        <v>942</v>
      </c>
    </row>
    <row r="1848" spans="1:2" ht="15.75" customHeight="1" x14ac:dyDescent="0.25">
      <c r="A1848" s="27" t="s">
        <v>941</v>
      </c>
      <c r="B1848" s="27" t="s">
        <v>942</v>
      </c>
    </row>
    <row r="1849" spans="1:2" ht="15.75" customHeight="1" x14ac:dyDescent="0.25">
      <c r="A1849" s="27" t="s">
        <v>941</v>
      </c>
      <c r="B1849" s="27" t="s">
        <v>942</v>
      </c>
    </row>
    <row r="1850" spans="1:2" ht="15.75" customHeight="1" x14ac:dyDescent="0.25">
      <c r="A1850" s="27" t="s">
        <v>941</v>
      </c>
      <c r="B1850" s="27" t="s">
        <v>942</v>
      </c>
    </row>
    <row r="1851" spans="1:2" ht="15.75" customHeight="1" x14ac:dyDescent="0.25">
      <c r="A1851" s="27" t="s">
        <v>941</v>
      </c>
      <c r="B1851" s="27" t="s">
        <v>942</v>
      </c>
    </row>
    <row r="1852" spans="1:2" ht="15.75" customHeight="1" x14ac:dyDescent="0.25">
      <c r="A1852" s="27" t="s">
        <v>941</v>
      </c>
      <c r="B1852" s="27" t="s">
        <v>942</v>
      </c>
    </row>
    <row r="1853" spans="1:2" ht="15.75" customHeight="1" x14ac:dyDescent="0.25">
      <c r="A1853" s="27" t="s">
        <v>941</v>
      </c>
      <c r="B1853" s="27" t="s">
        <v>942</v>
      </c>
    </row>
    <row r="1854" spans="1:2" ht="15.75" customHeight="1" x14ac:dyDescent="0.25">
      <c r="A1854" s="27" t="s">
        <v>941</v>
      </c>
      <c r="B1854" s="27" t="s">
        <v>942</v>
      </c>
    </row>
    <row r="1855" spans="1:2" ht="15.75" customHeight="1" x14ac:dyDescent="0.25">
      <c r="A1855" s="27" t="s">
        <v>941</v>
      </c>
      <c r="B1855" s="27" t="s">
        <v>942</v>
      </c>
    </row>
    <row r="1856" spans="1:2" ht="15.75" customHeight="1" x14ac:dyDescent="0.25">
      <c r="A1856" s="27" t="s">
        <v>941</v>
      </c>
      <c r="B1856" s="27" t="s">
        <v>942</v>
      </c>
    </row>
    <row r="1857" spans="1:2" ht="15.75" customHeight="1" x14ac:dyDescent="0.25">
      <c r="A1857" s="27" t="s">
        <v>941</v>
      </c>
      <c r="B1857" s="27" t="s">
        <v>942</v>
      </c>
    </row>
    <row r="1858" spans="1:2" ht="15.75" customHeight="1" x14ac:dyDescent="0.25">
      <c r="A1858" s="27" t="s">
        <v>941</v>
      </c>
      <c r="B1858" s="27" t="s">
        <v>942</v>
      </c>
    </row>
    <row r="1859" spans="1:2" ht="15.75" customHeight="1" x14ac:dyDescent="0.25">
      <c r="A1859" s="27" t="s">
        <v>941</v>
      </c>
      <c r="B1859" s="27" t="s">
        <v>942</v>
      </c>
    </row>
    <row r="1860" spans="1:2" ht="15.75" customHeight="1" x14ac:dyDescent="0.25">
      <c r="A1860" s="27" t="s">
        <v>941</v>
      </c>
      <c r="B1860" s="27" t="s">
        <v>942</v>
      </c>
    </row>
    <row r="1861" spans="1:2" ht="15.75" customHeight="1" x14ac:dyDescent="0.25">
      <c r="A1861" s="27" t="s">
        <v>941</v>
      </c>
      <c r="B1861" s="27" t="s">
        <v>942</v>
      </c>
    </row>
    <row r="1862" spans="1:2" ht="15.75" customHeight="1" x14ac:dyDescent="0.25">
      <c r="A1862" s="27" t="s">
        <v>941</v>
      </c>
      <c r="B1862" s="27" t="s">
        <v>942</v>
      </c>
    </row>
    <row r="1863" spans="1:2" ht="15.75" customHeight="1" x14ac:dyDescent="0.25">
      <c r="A1863" s="27" t="s">
        <v>941</v>
      </c>
      <c r="B1863" s="27" t="s">
        <v>942</v>
      </c>
    </row>
    <row r="1864" spans="1:2" ht="15.75" customHeight="1" x14ac:dyDescent="0.25">
      <c r="A1864" s="27" t="s">
        <v>941</v>
      </c>
      <c r="B1864" s="27" t="s">
        <v>942</v>
      </c>
    </row>
    <row r="1865" spans="1:2" ht="15.75" customHeight="1" x14ac:dyDescent="0.25">
      <c r="A1865" s="27" t="s">
        <v>941</v>
      </c>
      <c r="B1865" s="27" t="s">
        <v>942</v>
      </c>
    </row>
    <row r="1866" spans="1:2" ht="15.75" customHeight="1" x14ac:dyDescent="0.25">
      <c r="A1866" s="27" t="s">
        <v>941</v>
      </c>
      <c r="B1866" s="27" t="s">
        <v>942</v>
      </c>
    </row>
    <row r="1867" spans="1:2" ht="15.75" customHeight="1" x14ac:dyDescent="0.25">
      <c r="A1867" s="27" t="s">
        <v>941</v>
      </c>
      <c r="B1867" s="27" t="s">
        <v>942</v>
      </c>
    </row>
    <row r="1868" spans="1:2" ht="15.75" customHeight="1" x14ac:dyDescent="0.25">
      <c r="A1868" s="27" t="s">
        <v>941</v>
      </c>
      <c r="B1868" s="27" t="s">
        <v>942</v>
      </c>
    </row>
    <row r="1869" spans="1:2" ht="15.75" customHeight="1" x14ac:dyDescent="0.25">
      <c r="A1869" s="27" t="s">
        <v>941</v>
      </c>
      <c r="B1869" s="27" t="s">
        <v>942</v>
      </c>
    </row>
    <row r="1870" spans="1:2" ht="15.75" customHeight="1" x14ac:dyDescent="0.25">
      <c r="A1870" s="27" t="s">
        <v>941</v>
      </c>
      <c r="B1870" s="27" t="s">
        <v>942</v>
      </c>
    </row>
    <row r="1871" spans="1:2" ht="15.75" customHeight="1" x14ac:dyDescent="0.25">
      <c r="A1871" s="27" t="s">
        <v>941</v>
      </c>
      <c r="B1871" s="27" t="s">
        <v>942</v>
      </c>
    </row>
    <row r="1872" spans="1:2" ht="15.75" customHeight="1" x14ac:dyDescent="0.25">
      <c r="A1872" s="27" t="s">
        <v>941</v>
      </c>
      <c r="B1872" s="27" t="s">
        <v>942</v>
      </c>
    </row>
    <row r="1873" spans="1:2" ht="15.75" customHeight="1" x14ac:dyDescent="0.25">
      <c r="A1873" s="27" t="s">
        <v>941</v>
      </c>
      <c r="B1873" s="27" t="s">
        <v>942</v>
      </c>
    </row>
    <row r="1874" spans="1:2" ht="15.75" customHeight="1" x14ac:dyDescent="0.25">
      <c r="A1874" s="27" t="s">
        <v>941</v>
      </c>
      <c r="B1874" s="27" t="s">
        <v>942</v>
      </c>
    </row>
    <row r="1875" spans="1:2" ht="15.75" customHeight="1" x14ac:dyDescent="0.25">
      <c r="A1875" s="27" t="s">
        <v>941</v>
      </c>
      <c r="B1875" s="27" t="s">
        <v>942</v>
      </c>
    </row>
    <row r="1876" spans="1:2" ht="15.75" customHeight="1" x14ac:dyDescent="0.25">
      <c r="A1876" s="27" t="s">
        <v>941</v>
      </c>
      <c r="B1876" s="27" t="s">
        <v>942</v>
      </c>
    </row>
    <row r="1877" spans="1:2" ht="15.75" customHeight="1" x14ac:dyDescent="0.25">
      <c r="A1877" s="27" t="s">
        <v>941</v>
      </c>
      <c r="B1877" s="27" t="s">
        <v>942</v>
      </c>
    </row>
    <row r="1878" spans="1:2" ht="15.75" customHeight="1" x14ac:dyDescent="0.25">
      <c r="A1878" s="27" t="s">
        <v>941</v>
      </c>
      <c r="B1878" s="27" t="s">
        <v>942</v>
      </c>
    </row>
    <row r="1879" spans="1:2" ht="15.75" customHeight="1" x14ac:dyDescent="0.25">
      <c r="A1879" s="27" t="s">
        <v>941</v>
      </c>
      <c r="B1879" s="27" t="s">
        <v>942</v>
      </c>
    </row>
    <row r="1880" spans="1:2" ht="15.75" customHeight="1" x14ac:dyDescent="0.25">
      <c r="A1880" s="27" t="s">
        <v>941</v>
      </c>
      <c r="B1880" s="27" t="s">
        <v>942</v>
      </c>
    </row>
    <row r="1881" spans="1:2" ht="15.75" customHeight="1" x14ac:dyDescent="0.25">
      <c r="A1881" s="27" t="s">
        <v>941</v>
      </c>
      <c r="B1881" s="27" t="s">
        <v>942</v>
      </c>
    </row>
    <row r="1882" spans="1:2" ht="15.75" customHeight="1" x14ac:dyDescent="0.25">
      <c r="A1882" s="27" t="s">
        <v>941</v>
      </c>
      <c r="B1882" s="27" t="s">
        <v>942</v>
      </c>
    </row>
    <row r="1883" spans="1:2" ht="15.75" customHeight="1" x14ac:dyDescent="0.25">
      <c r="A1883" s="27" t="s">
        <v>943</v>
      </c>
      <c r="B1883" s="27" t="s">
        <v>944</v>
      </c>
    </row>
    <row r="1884" spans="1:2" ht="15.75" customHeight="1" x14ac:dyDescent="0.25">
      <c r="A1884" s="27" t="s">
        <v>943</v>
      </c>
      <c r="B1884" s="27" t="s">
        <v>944</v>
      </c>
    </row>
    <row r="1885" spans="1:2" ht="15.75" customHeight="1" x14ac:dyDescent="0.25">
      <c r="A1885" s="27" t="s">
        <v>943</v>
      </c>
      <c r="B1885" s="27" t="s">
        <v>944</v>
      </c>
    </row>
    <row r="1886" spans="1:2" ht="15.75" customHeight="1" x14ac:dyDescent="0.25">
      <c r="A1886" s="27" t="s">
        <v>943</v>
      </c>
      <c r="B1886" s="27" t="s">
        <v>944</v>
      </c>
    </row>
    <row r="1887" spans="1:2" ht="15.75" customHeight="1" x14ac:dyDescent="0.25">
      <c r="A1887" s="27" t="s">
        <v>945</v>
      </c>
      <c r="B1887" s="27" t="s">
        <v>946</v>
      </c>
    </row>
    <row r="1888" spans="1:2" ht="15.75" customHeight="1" x14ac:dyDescent="0.25">
      <c r="A1888" s="27" t="s">
        <v>945</v>
      </c>
      <c r="B1888" s="27" t="s">
        <v>946</v>
      </c>
    </row>
    <row r="1889" spans="1:2" ht="15.75" customHeight="1" x14ac:dyDescent="0.25">
      <c r="A1889" s="27" t="s">
        <v>945</v>
      </c>
      <c r="B1889" s="27" t="s">
        <v>946</v>
      </c>
    </row>
    <row r="1890" spans="1:2" ht="15.75" customHeight="1" x14ac:dyDescent="0.25">
      <c r="A1890" s="27" t="s">
        <v>945</v>
      </c>
      <c r="B1890" s="27" t="s">
        <v>946</v>
      </c>
    </row>
    <row r="1891" spans="1:2" ht="15.75" customHeight="1" x14ac:dyDescent="0.25">
      <c r="A1891" s="27" t="s">
        <v>945</v>
      </c>
      <c r="B1891" s="27" t="s">
        <v>946</v>
      </c>
    </row>
    <row r="1892" spans="1:2" ht="15.75" customHeight="1" x14ac:dyDescent="0.25">
      <c r="A1892" s="27" t="s">
        <v>945</v>
      </c>
      <c r="B1892" s="27" t="s">
        <v>946</v>
      </c>
    </row>
    <row r="1893" spans="1:2" ht="15.75" customHeight="1" x14ac:dyDescent="0.25">
      <c r="A1893" s="27" t="s">
        <v>945</v>
      </c>
      <c r="B1893" s="27" t="s">
        <v>946</v>
      </c>
    </row>
    <row r="1894" spans="1:2" ht="15.75" customHeight="1" x14ac:dyDescent="0.25">
      <c r="A1894" s="27" t="s">
        <v>945</v>
      </c>
      <c r="B1894" s="27" t="s">
        <v>946</v>
      </c>
    </row>
    <row r="1895" spans="1:2" ht="15.75" customHeight="1" x14ac:dyDescent="0.25">
      <c r="A1895" s="27" t="s">
        <v>945</v>
      </c>
      <c r="B1895" s="27" t="s">
        <v>946</v>
      </c>
    </row>
    <row r="1896" spans="1:2" ht="15.75" customHeight="1" x14ac:dyDescent="0.25">
      <c r="A1896" s="27" t="s">
        <v>947</v>
      </c>
      <c r="B1896" s="27" t="s">
        <v>948</v>
      </c>
    </row>
    <row r="1897" spans="1:2" ht="15.75" customHeight="1" x14ac:dyDescent="0.25">
      <c r="A1897" s="27" t="s">
        <v>947</v>
      </c>
      <c r="B1897" s="27" t="s">
        <v>948</v>
      </c>
    </row>
    <row r="1898" spans="1:2" ht="15.75" customHeight="1" x14ac:dyDescent="0.25">
      <c r="A1898" s="27" t="s">
        <v>949</v>
      </c>
      <c r="B1898" s="27" t="s">
        <v>950</v>
      </c>
    </row>
    <row r="1899" spans="1:2" ht="15.75" customHeight="1" x14ac:dyDescent="0.25">
      <c r="A1899" s="27" t="s">
        <v>951</v>
      </c>
      <c r="B1899" s="27" t="s">
        <v>952</v>
      </c>
    </row>
    <row r="1900" spans="1:2" ht="15.75" customHeight="1" x14ac:dyDescent="0.25">
      <c r="A1900" s="27" t="s">
        <v>953</v>
      </c>
      <c r="B1900" s="27" t="s">
        <v>954</v>
      </c>
    </row>
    <row r="1901" spans="1:2" ht="15.75" customHeight="1" x14ac:dyDescent="0.25">
      <c r="A1901" s="27" t="s">
        <v>955</v>
      </c>
      <c r="B1901" s="27" t="s">
        <v>956</v>
      </c>
    </row>
    <row r="1902" spans="1:2" ht="15.75" customHeight="1" x14ac:dyDescent="0.25">
      <c r="A1902" s="27" t="s">
        <v>955</v>
      </c>
      <c r="B1902" s="27" t="s">
        <v>956</v>
      </c>
    </row>
    <row r="1903" spans="1:2" ht="15.75" customHeight="1" x14ac:dyDescent="0.25">
      <c r="A1903" s="27" t="s">
        <v>957</v>
      </c>
      <c r="B1903" s="27" t="s">
        <v>958</v>
      </c>
    </row>
    <row r="1904" spans="1:2" ht="15.75" customHeight="1" x14ac:dyDescent="0.25">
      <c r="A1904" s="27" t="s">
        <v>957</v>
      </c>
      <c r="B1904" s="27" t="s">
        <v>958</v>
      </c>
    </row>
    <row r="1905" spans="1:2" ht="15.75" customHeight="1" x14ac:dyDescent="0.25">
      <c r="A1905" s="27" t="s">
        <v>957</v>
      </c>
      <c r="B1905" s="27" t="s">
        <v>958</v>
      </c>
    </row>
    <row r="1906" spans="1:2" ht="15.75" customHeight="1" x14ac:dyDescent="0.25">
      <c r="A1906" s="27" t="s">
        <v>959</v>
      </c>
      <c r="B1906" s="27" t="s">
        <v>960</v>
      </c>
    </row>
    <row r="1907" spans="1:2" ht="15.75" customHeight="1" x14ac:dyDescent="0.25">
      <c r="A1907" s="27" t="s">
        <v>959</v>
      </c>
      <c r="B1907" s="27" t="s">
        <v>960</v>
      </c>
    </row>
    <row r="1908" spans="1:2" ht="15.75" customHeight="1" x14ac:dyDescent="0.25">
      <c r="A1908" s="27" t="s">
        <v>959</v>
      </c>
      <c r="B1908" s="27" t="s">
        <v>960</v>
      </c>
    </row>
    <row r="1909" spans="1:2" ht="15.75" customHeight="1" x14ac:dyDescent="0.25">
      <c r="A1909" s="27" t="s">
        <v>959</v>
      </c>
      <c r="B1909" s="27" t="s">
        <v>960</v>
      </c>
    </row>
    <row r="1910" spans="1:2" ht="15.75" customHeight="1" x14ac:dyDescent="0.25">
      <c r="A1910" s="27" t="s">
        <v>959</v>
      </c>
      <c r="B1910" s="27" t="s">
        <v>960</v>
      </c>
    </row>
    <row r="1911" spans="1:2" ht="15.75" customHeight="1" x14ac:dyDescent="0.25">
      <c r="A1911" s="27" t="s">
        <v>959</v>
      </c>
      <c r="B1911" s="27" t="s">
        <v>960</v>
      </c>
    </row>
    <row r="1912" spans="1:2" ht="15.75" customHeight="1" x14ac:dyDescent="0.25">
      <c r="A1912" s="27" t="s">
        <v>959</v>
      </c>
      <c r="B1912" s="27" t="s">
        <v>960</v>
      </c>
    </row>
    <row r="1913" spans="1:2" ht="15.75" customHeight="1" x14ac:dyDescent="0.25">
      <c r="A1913" s="27" t="s">
        <v>959</v>
      </c>
      <c r="B1913" s="27" t="s">
        <v>960</v>
      </c>
    </row>
    <row r="1914" spans="1:2" ht="15.75" customHeight="1" x14ac:dyDescent="0.25">
      <c r="A1914" s="27" t="s">
        <v>959</v>
      </c>
      <c r="B1914" s="27" t="s">
        <v>960</v>
      </c>
    </row>
    <row r="1915" spans="1:2" ht="15.75" customHeight="1" x14ac:dyDescent="0.25">
      <c r="A1915" s="27" t="s">
        <v>959</v>
      </c>
      <c r="B1915" s="27" t="s">
        <v>960</v>
      </c>
    </row>
    <row r="1916" spans="1:2" ht="15.75" customHeight="1" x14ac:dyDescent="0.25">
      <c r="A1916" s="27" t="s">
        <v>959</v>
      </c>
      <c r="B1916" s="27" t="s">
        <v>960</v>
      </c>
    </row>
    <row r="1917" spans="1:2" ht="15.75" customHeight="1" x14ac:dyDescent="0.25">
      <c r="A1917" s="27" t="s">
        <v>961</v>
      </c>
      <c r="B1917" s="27" t="s">
        <v>962</v>
      </c>
    </row>
    <row r="1918" spans="1:2" ht="15.75" customHeight="1" x14ac:dyDescent="0.25">
      <c r="A1918" s="27" t="s">
        <v>963</v>
      </c>
      <c r="B1918" s="27" t="s">
        <v>964</v>
      </c>
    </row>
    <row r="1919" spans="1:2" ht="15.75" customHeight="1" x14ac:dyDescent="0.25">
      <c r="A1919" s="27" t="s">
        <v>963</v>
      </c>
      <c r="B1919" s="27" t="s">
        <v>964</v>
      </c>
    </row>
    <row r="1920" spans="1:2" ht="15.75" customHeight="1" x14ac:dyDescent="0.25">
      <c r="A1920" s="27" t="s">
        <v>963</v>
      </c>
      <c r="B1920" s="27" t="s">
        <v>964</v>
      </c>
    </row>
    <row r="1921" spans="1:2" ht="15.75" customHeight="1" x14ac:dyDescent="0.25">
      <c r="A1921" s="27" t="s">
        <v>963</v>
      </c>
      <c r="B1921" s="27" t="s">
        <v>964</v>
      </c>
    </row>
    <row r="1922" spans="1:2" ht="15.75" customHeight="1" x14ac:dyDescent="0.25">
      <c r="A1922" s="27" t="s">
        <v>963</v>
      </c>
      <c r="B1922" s="27" t="s">
        <v>964</v>
      </c>
    </row>
    <row r="1923" spans="1:2" ht="15.75" customHeight="1" x14ac:dyDescent="0.25">
      <c r="A1923" s="27" t="s">
        <v>963</v>
      </c>
      <c r="B1923" s="27" t="s">
        <v>964</v>
      </c>
    </row>
    <row r="1924" spans="1:2" ht="15.75" customHeight="1" x14ac:dyDescent="0.25">
      <c r="A1924" s="27" t="s">
        <v>963</v>
      </c>
      <c r="B1924" s="27" t="s">
        <v>964</v>
      </c>
    </row>
    <row r="1925" spans="1:2" ht="15.75" customHeight="1" x14ac:dyDescent="0.25">
      <c r="A1925" s="27" t="s">
        <v>965</v>
      </c>
      <c r="B1925" s="27" t="s">
        <v>966</v>
      </c>
    </row>
    <row r="1926" spans="1:2" ht="15.75" customHeight="1" x14ac:dyDescent="0.25">
      <c r="A1926" s="27" t="s">
        <v>965</v>
      </c>
      <c r="B1926" s="27" t="s">
        <v>966</v>
      </c>
    </row>
    <row r="1927" spans="1:2" ht="15.75" customHeight="1" x14ac:dyDescent="0.25">
      <c r="A1927" s="27" t="s">
        <v>965</v>
      </c>
      <c r="B1927" s="27" t="s">
        <v>966</v>
      </c>
    </row>
    <row r="1928" spans="1:2" ht="15.75" customHeight="1" x14ac:dyDescent="0.25">
      <c r="A1928" s="27" t="s">
        <v>965</v>
      </c>
      <c r="B1928" s="27" t="s">
        <v>966</v>
      </c>
    </row>
    <row r="1929" spans="1:2" ht="15.75" customHeight="1" x14ac:dyDescent="0.25">
      <c r="A1929" s="27" t="s">
        <v>965</v>
      </c>
      <c r="B1929" s="27" t="s">
        <v>966</v>
      </c>
    </row>
    <row r="1930" spans="1:2" ht="15.75" customHeight="1" x14ac:dyDescent="0.25">
      <c r="A1930" s="27" t="s">
        <v>965</v>
      </c>
      <c r="B1930" s="27" t="s">
        <v>966</v>
      </c>
    </row>
    <row r="1931" spans="1:2" ht="15.75" customHeight="1" x14ac:dyDescent="0.25">
      <c r="A1931" s="27" t="s">
        <v>965</v>
      </c>
      <c r="B1931" s="27" t="s">
        <v>966</v>
      </c>
    </row>
    <row r="1932" spans="1:2" ht="15.75" customHeight="1" x14ac:dyDescent="0.25">
      <c r="A1932" s="27" t="s">
        <v>965</v>
      </c>
      <c r="B1932" s="27" t="s">
        <v>966</v>
      </c>
    </row>
    <row r="1933" spans="1:2" ht="15.75" customHeight="1" x14ac:dyDescent="0.25">
      <c r="A1933" s="27" t="s">
        <v>967</v>
      </c>
      <c r="B1933" s="27" t="s">
        <v>968</v>
      </c>
    </row>
    <row r="1934" spans="1:2" ht="15.75" customHeight="1" x14ac:dyDescent="0.25">
      <c r="A1934" s="27" t="s">
        <v>969</v>
      </c>
      <c r="B1934" s="27" t="s">
        <v>970</v>
      </c>
    </row>
    <row r="1935" spans="1:2" ht="15.75" customHeight="1" x14ac:dyDescent="0.25">
      <c r="A1935" s="27" t="s">
        <v>969</v>
      </c>
      <c r="B1935" s="27" t="s">
        <v>970</v>
      </c>
    </row>
    <row r="1936" spans="1:2" ht="15.75" customHeight="1" x14ac:dyDescent="0.25">
      <c r="A1936" s="27" t="s">
        <v>969</v>
      </c>
      <c r="B1936" s="27" t="s">
        <v>970</v>
      </c>
    </row>
    <row r="1937" spans="1:2" ht="15.75" customHeight="1" x14ac:dyDescent="0.25">
      <c r="A1937" s="27" t="s">
        <v>969</v>
      </c>
      <c r="B1937" s="27" t="s">
        <v>970</v>
      </c>
    </row>
    <row r="1938" spans="1:2" ht="15.75" customHeight="1" x14ac:dyDescent="0.25">
      <c r="A1938" s="27" t="s">
        <v>969</v>
      </c>
      <c r="B1938" s="27" t="s">
        <v>970</v>
      </c>
    </row>
    <row r="1939" spans="1:2" ht="15.75" customHeight="1" x14ac:dyDescent="0.25">
      <c r="A1939" s="27" t="s">
        <v>969</v>
      </c>
      <c r="B1939" s="27" t="s">
        <v>970</v>
      </c>
    </row>
    <row r="1940" spans="1:2" ht="15.75" customHeight="1" x14ac:dyDescent="0.25">
      <c r="A1940" s="27" t="s">
        <v>969</v>
      </c>
      <c r="B1940" s="27" t="s">
        <v>970</v>
      </c>
    </row>
    <row r="1941" spans="1:2" ht="15.75" customHeight="1" x14ac:dyDescent="0.25">
      <c r="A1941" s="27" t="s">
        <v>969</v>
      </c>
      <c r="B1941" s="27" t="s">
        <v>970</v>
      </c>
    </row>
    <row r="1942" spans="1:2" ht="15.75" customHeight="1" x14ac:dyDescent="0.25">
      <c r="A1942" s="27" t="s">
        <v>969</v>
      </c>
      <c r="B1942" s="27" t="s">
        <v>970</v>
      </c>
    </row>
    <row r="1943" spans="1:2" ht="15.75" customHeight="1" x14ac:dyDescent="0.25">
      <c r="A1943" s="27" t="s">
        <v>969</v>
      </c>
      <c r="B1943" s="27" t="s">
        <v>970</v>
      </c>
    </row>
    <row r="1944" spans="1:2" ht="15.75" customHeight="1" x14ac:dyDescent="0.25">
      <c r="A1944" s="27" t="s">
        <v>971</v>
      </c>
      <c r="B1944" s="27" t="s">
        <v>972</v>
      </c>
    </row>
    <row r="1945" spans="1:2" ht="15.75" customHeight="1" x14ac:dyDescent="0.25">
      <c r="A1945" s="27" t="s">
        <v>971</v>
      </c>
      <c r="B1945" s="27" t="s">
        <v>972</v>
      </c>
    </row>
    <row r="1946" spans="1:2" ht="15.75" customHeight="1" x14ac:dyDescent="0.25">
      <c r="A1946" s="27" t="s">
        <v>971</v>
      </c>
      <c r="B1946" s="27" t="s">
        <v>972</v>
      </c>
    </row>
    <row r="1947" spans="1:2" ht="15.75" customHeight="1" x14ac:dyDescent="0.25">
      <c r="A1947" s="27" t="s">
        <v>971</v>
      </c>
      <c r="B1947" s="27" t="s">
        <v>972</v>
      </c>
    </row>
    <row r="1948" spans="1:2" ht="15.75" customHeight="1" x14ac:dyDescent="0.25">
      <c r="A1948" s="27" t="s">
        <v>971</v>
      </c>
      <c r="B1948" s="27" t="s">
        <v>972</v>
      </c>
    </row>
    <row r="1949" spans="1:2" ht="15.75" customHeight="1" x14ac:dyDescent="0.25">
      <c r="A1949" s="27" t="s">
        <v>971</v>
      </c>
      <c r="B1949" s="27" t="s">
        <v>972</v>
      </c>
    </row>
    <row r="1950" spans="1:2" ht="15.75" customHeight="1" x14ac:dyDescent="0.25">
      <c r="A1950" s="27" t="s">
        <v>971</v>
      </c>
      <c r="B1950" s="27" t="s">
        <v>972</v>
      </c>
    </row>
    <row r="1951" spans="1:2" ht="15.75" customHeight="1" x14ac:dyDescent="0.25">
      <c r="A1951" s="27" t="s">
        <v>971</v>
      </c>
      <c r="B1951" s="27" t="s">
        <v>972</v>
      </c>
    </row>
    <row r="1952" spans="1:2" ht="15.75" customHeight="1" x14ac:dyDescent="0.25">
      <c r="A1952" s="27" t="s">
        <v>971</v>
      </c>
      <c r="B1952" s="27" t="s">
        <v>972</v>
      </c>
    </row>
    <row r="1953" spans="1:2" ht="15.75" customHeight="1" x14ac:dyDescent="0.25">
      <c r="A1953" s="27" t="s">
        <v>971</v>
      </c>
      <c r="B1953" s="27" t="s">
        <v>972</v>
      </c>
    </row>
    <row r="1954" spans="1:2" ht="15.75" customHeight="1" x14ac:dyDescent="0.25">
      <c r="A1954" s="27" t="s">
        <v>973</v>
      </c>
      <c r="B1954" s="27" t="s">
        <v>974</v>
      </c>
    </row>
    <row r="1955" spans="1:2" ht="15.75" customHeight="1" x14ac:dyDescent="0.25">
      <c r="A1955" s="27" t="s">
        <v>973</v>
      </c>
      <c r="B1955" s="27" t="s">
        <v>974</v>
      </c>
    </row>
    <row r="1956" spans="1:2" ht="15.75" customHeight="1" x14ac:dyDescent="0.25">
      <c r="A1956" s="27" t="s">
        <v>973</v>
      </c>
      <c r="B1956" s="27" t="s">
        <v>974</v>
      </c>
    </row>
    <row r="1957" spans="1:2" ht="15.75" customHeight="1" x14ac:dyDescent="0.25">
      <c r="A1957" s="27" t="s">
        <v>973</v>
      </c>
      <c r="B1957" s="27" t="s">
        <v>974</v>
      </c>
    </row>
    <row r="1958" spans="1:2" ht="15.75" customHeight="1" x14ac:dyDescent="0.25">
      <c r="A1958" s="27" t="s">
        <v>973</v>
      </c>
      <c r="B1958" s="27" t="s">
        <v>974</v>
      </c>
    </row>
    <row r="1959" spans="1:2" ht="15.75" customHeight="1" x14ac:dyDescent="0.25">
      <c r="A1959" s="27" t="s">
        <v>973</v>
      </c>
      <c r="B1959" s="27" t="s">
        <v>974</v>
      </c>
    </row>
    <row r="1960" spans="1:2" ht="15.75" customHeight="1" x14ac:dyDescent="0.25">
      <c r="A1960" s="27" t="s">
        <v>973</v>
      </c>
      <c r="B1960" s="27" t="s">
        <v>974</v>
      </c>
    </row>
    <row r="1961" spans="1:2" ht="15.75" customHeight="1" x14ac:dyDescent="0.25">
      <c r="A1961" s="27" t="s">
        <v>973</v>
      </c>
      <c r="B1961" s="27" t="s">
        <v>974</v>
      </c>
    </row>
    <row r="1962" spans="1:2" ht="15.75" customHeight="1" x14ac:dyDescent="0.25">
      <c r="A1962" s="27" t="s">
        <v>973</v>
      </c>
      <c r="B1962" s="27" t="s">
        <v>974</v>
      </c>
    </row>
    <row r="1963" spans="1:2" ht="15.75" customHeight="1" x14ac:dyDescent="0.25">
      <c r="A1963" s="27" t="s">
        <v>975</v>
      </c>
      <c r="B1963" s="27" t="s">
        <v>976</v>
      </c>
    </row>
    <row r="1964" spans="1:2" ht="15.75" customHeight="1" x14ac:dyDescent="0.25">
      <c r="A1964" s="27" t="s">
        <v>977</v>
      </c>
      <c r="B1964" s="27" t="s">
        <v>978</v>
      </c>
    </row>
    <row r="1965" spans="1:2" ht="15.75" customHeight="1" x14ac:dyDescent="0.25">
      <c r="A1965" s="27" t="s">
        <v>977</v>
      </c>
      <c r="B1965" s="27" t="s">
        <v>978</v>
      </c>
    </row>
    <row r="1966" spans="1:2" ht="15.75" customHeight="1" x14ac:dyDescent="0.25">
      <c r="A1966" s="27" t="s">
        <v>977</v>
      </c>
      <c r="B1966" s="27" t="s">
        <v>978</v>
      </c>
    </row>
    <row r="1967" spans="1:2" ht="15.75" customHeight="1" x14ac:dyDescent="0.25">
      <c r="A1967" s="27" t="s">
        <v>977</v>
      </c>
      <c r="B1967" s="27" t="s">
        <v>978</v>
      </c>
    </row>
    <row r="1968" spans="1:2" ht="15.75" customHeight="1" x14ac:dyDescent="0.25">
      <c r="A1968" s="27" t="s">
        <v>977</v>
      </c>
      <c r="B1968" s="27" t="s">
        <v>978</v>
      </c>
    </row>
    <row r="1969" spans="1:2" ht="15.75" customHeight="1" x14ac:dyDescent="0.25">
      <c r="A1969" s="27" t="s">
        <v>977</v>
      </c>
      <c r="B1969" s="27" t="s">
        <v>978</v>
      </c>
    </row>
    <row r="1970" spans="1:2" ht="15.75" customHeight="1" x14ac:dyDescent="0.25">
      <c r="A1970" s="27" t="s">
        <v>977</v>
      </c>
      <c r="B1970" s="27" t="s">
        <v>978</v>
      </c>
    </row>
    <row r="1971" spans="1:2" ht="15.75" customHeight="1" x14ac:dyDescent="0.25">
      <c r="A1971" s="27" t="s">
        <v>977</v>
      </c>
      <c r="B1971" s="27" t="s">
        <v>978</v>
      </c>
    </row>
    <row r="1972" spans="1:2" ht="15.75" customHeight="1" x14ac:dyDescent="0.25">
      <c r="A1972" s="27" t="s">
        <v>977</v>
      </c>
      <c r="B1972" s="27" t="s">
        <v>978</v>
      </c>
    </row>
    <row r="1973" spans="1:2" ht="15.75" customHeight="1" x14ac:dyDescent="0.25">
      <c r="A1973" s="27" t="s">
        <v>977</v>
      </c>
      <c r="B1973" s="27" t="s">
        <v>978</v>
      </c>
    </row>
    <row r="1974" spans="1:2" ht="15.75" customHeight="1" x14ac:dyDescent="0.25">
      <c r="A1974" s="27" t="s">
        <v>977</v>
      </c>
      <c r="B1974" s="27" t="s">
        <v>978</v>
      </c>
    </row>
    <row r="1975" spans="1:2" ht="15.75" customHeight="1" x14ac:dyDescent="0.25">
      <c r="A1975" s="27" t="s">
        <v>977</v>
      </c>
      <c r="B1975" s="27" t="s">
        <v>978</v>
      </c>
    </row>
    <row r="1976" spans="1:2" ht="15.75" customHeight="1" x14ac:dyDescent="0.25">
      <c r="A1976" s="27" t="s">
        <v>979</v>
      </c>
      <c r="B1976" s="27" t="s">
        <v>980</v>
      </c>
    </row>
    <row r="1977" spans="1:2" ht="15.75" customHeight="1" x14ac:dyDescent="0.25">
      <c r="A1977" s="27" t="s">
        <v>981</v>
      </c>
      <c r="B1977" s="27" t="s">
        <v>982</v>
      </c>
    </row>
    <row r="1978" spans="1:2" ht="15.75" customHeight="1" x14ac:dyDescent="0.25">
      <c r="A1978" s="27" t="s">
        <v>981</v>
      </c>
      <c r="B1978" s="27" t="s">
        <v>982</v>
      </c>
    </row>
    <row r="1979" spans="1:2" ht="15.75" customHeight="1" x14ac:dyDescent="0.25">
      <c r="A1979" s="27" t="s">
        <v>983</v>
      </c>
      <c r="B1979" s="27" t="s">
        <v>984</v>
      </c>
    </row>
    <row r="1980" spans="1:2" ht="15.75" customHeight="1" x14ac:dyDescent="0.25">
      <c r="A1980" s="27" t="s">
        <v>983</v>
      </c>
      <c r="B1980" s="27" t="s">
        <v>984</v>
      </c>
    </row>
    <row r="1981" spans="1:2" ht="15.75" customHeight="1" x14ac:dyDescent="0.25">
      <c r="A1981" s="27" t="s">
        <v>983</v>
      </c>
      <c r="B1981" s="27" t="s">
        <v>984</v>
      </c>
    </row>
    <row r="1982" spans="1:2" ht="15.75" customHeight="1" x14ac:dyDescent="0.25">
      <c r="A1982" s="27" t="s">
        <v>983</v>
      </c>
      <c r="B1982" s="27" t="s">
        <v>984</v>
      </c>
    </row>
    <row r="1983" spans="1:2" ht="15.75" customHeight="1" x14ac:dyDescent="0.25">
      <c r="A1983" s="27" t="s">
        <v>983</v>
      </c>
      <c r="B1983" s="27" t="s">
        <v>984</v>
      </c>
    </row>
    <row r="1984" spans="1:2" ht="15.75" customHeight="1" x14ac:dyDescent="0.25">
      <c r="A1984" s="27" t="s">
        <v>983</v>
      </c>
      <c r="B1984" s="27" t="s">
        <v>984</v>
      </c>
    </row>
    <row r="1985" spans="1:2" ht="15.75" customHeight="1" x14ac:dyDescent="0.25">
      <c r="A1985" s="27" t="s">
        <v>985</v>
      </c>
      <c r="B1985" s="27" t="s">
        <v>986</v>
      </c>
    </row>
    <row r="1986" spans="1:2" ht="15.75" customHeight="1" x14ac:dyDescent="0.25">
      <c r="A1986" s="27" t="s">
        <v>985</v>
      </c>
      <c r="B1986" s="27" t="s">
        <v>986</v>
      </c>
    </row>
    <row r="1987" spans="1:2" ht="15.75" customHeight="1" x14ac:dyDescent="0.25">
      <c r="A1987" s="27" t="s">
        <v>987</v>
      </c>
      <c r="B1987" s="27" t="s">
        <v>988</v>
      </c>
    </row>
    <row r="1988" spans="1:2" ht="15.75" customHeight="1" x14ac:dyDescent="0.25">
      <c r="A1988" s="27" t="s">
        <v>989</v>
      </c>
      <c r="B1988" s="27" t="s">
        <v>990</v>
      </c>
    </row>
    <row r="1989" spans="1:2" ht="15.75" customHeight="1" x14ac:dyDescent="0.25">
      <c r="A1989" s="27" t="s">
        <v>991</v>
      </c>
      <c r="B1989" s="27" t="s">
        <v>992</v>
      </c>
    </row>
    <row r="1990" spans="1:2" ht="15.75" customHeight="1" x14ac:dyDescent="0.25">
      <c r="A1990" s="27" t="s">
        <v>991</v>
      </c>
      <c r="B1990" s="27" t="s">
        <v>992</v>
      </c>
    </row>
    <row r="1991" spans="1:2" ht="15.75" customHeight="1" x14ac:dyDescent="0.25">
      <c r="A1991" s="27" t="s">
        <v>991</v>
      </c>
      <c r="B1991" s="27" t="s">
        <v>992</v>
      </c>
    </row>
    <row r="1992" spans="1:2" ht="15.75" customHeight="1" x14ac:dyDescent="0.25">
      <c r="A1992" s="27" t="s">
        <v>991</v>
      </c>
      <c r="B1992" s="27" t="s">
        <v>992</v>
      </c>
    </row>
    <row r="1993" spans="1:2" ht="15.75" customHeight="1" x14ac:dyDescent="0.25">
      <c r="A1993" s="27" t="s">
        <v>991</v>
      </c>
      <c r="B1993" s="27" t="s">
        <v>992</v>
      </c>
    </row>
    <row r="1994" spans="1:2" ht="15.75" customHeight="1" x14ac:dyDescent="0.25">
      <c r="A1994" s="27" t="s">
        <v>991</v>
      </c>
      <c r="B1994" s="27" t="s">
        <v>992</v>
      </c>
    </row>
    <row r="1995" spans="1:2" ht="15.75" customHeight="1" x14ac:dyDescent="0.25">
      <c r="A1995" s="27" t="s">
        <v>991</v>
      </c>
      <c r="B1995" s="27" t="s">
        <v>992</v>
      </c>
    </row>
    <row r="1996" spans="1:2" ht="15.75" customHeight="1" x14ac:dyDescent="0.25">
      <c r="A1996" s="27" t="s">
        <v>991</v>
      </c>
      <c r="B1996" s="27" t="s">
        <v>992</v>
      </c>
    </row>
    <row r="1997" spans="1:2" ht="15.75" customHeight="1" x14ac:dyDescent="0.25">
      <c r="A1997" s="27" t="s">
        <v>991</v>
      </c>
      <c r="B1997" s="27" t="s">
        <v>992</v>
      </c>
    </row>
    <row r="1998" spans="1:2" ht="15.75" customHeight="1" x14ac:dyDescent="0.25">
      <c r="A1998" s="27" t="s">
        <v>991</v>
      </c>
      <c r="B1998" s="27" t="s">
        <v>992</v>
      </c>
    </row>
    <row r="1999" spans="1:2" ht="15.75" customHeight="1" x14ac:dyDescent="0.25">
      <c r="A1999" s="27" t="s">
        <v>991</v>
      </c>
      <c r="B1999" s="27" t="s">
        <v>992</v>
      </c>
    </row>
    <row r="2000" spans="1:2" ht="15.75" customHeight="1" x14ac:dyDescent="0.25">
      <c r="A2000" s="27" t="s">
        <v>991</v>
      </c>
      <c r="B2000" s="27" t="s">
        <v>992</v>
      </c>
    </row>
    <row r="2001" spans="1:2" ht="15.75" customHeight="1" x14ac:dyDescent="0.25">
      <c r="A2001" s="27" t="s">
        <v>991</v>
      </c>
      <c r="B2001" s="27" t="s">
        <v>992</v>
      </c>
    </row>
    <row r="2002" spans="1:2" ht="15.75" customHeight="1" x14ac:dyDescent="0.25">
      <c r="A2002" s="27" t="s">
        <v>991</v>
      </c>
      <c r="B2002" s="27" t="s">
        <v>992</v>
      </c>
    </row>
    <row r="2003" spans="1:2" ht="15.75" customHeight="1" x14ac:dyDescent="0.25">
      <c r="A2003" s="27" t="s">
        <v>993</v>
      </c>
      <c r="B2003" s="27" t="s">
        <v>994</v>
      </c>
    </row>
    <row r="2004" spans="1:2" ht="15.75" customHeight="1" x14ac:dyDescent="0.25">
      <c r="A2004" s="27" t="s">
        <v>993</v>
      </c>
      <c r="B2004" s="27" t="s">
        <v>994</v>
      </c>
    </row>
    <row r="2005" spans="1:2" ht="15.75" customHeight="1" x14ac:dyDescent="0.25">
      <c r="A2005" s="27" t="s">
        <v>993</v>
      </c>
      <c r="B2005" s="27" t="s">
        <v>994</v>
      </c>
    </row>
    <row r="2006" spans="1:2" ht="15.75" customHeight="1" x14ac:dyDescent="0.25">
      <c r="A2006" s="27" t="s">
        <v>993</v>
      </c>
      <c r="B2006" s="27" t="s">
        <v>994</v>
      </c>
    </row>
    <row r="2007" spans="1:2" ht="15.75" customHeight="1" x14ac:dyDescent="0.25">
      <c r="A2007" s="27" t="s">
        <v>993</v>
      </c>
      <c r="B2007" s="27" t="s">
        <v>994</v>
      </c>
    </row>
    <row r="2008" spans="1:2" ht="15.75" customHeight="1" x14ac:dyDescent="0.25">
      <c r="A2008" s="27" t="s">
        <v>993</v>
      </c>
      <c r="B2008" s="27" t="s">
        <v>994</v>
      </c>
    </row>
    <row r="2009" spans="1:2" ht="15.75" customHeight="1" x14ac:dyDescent="0.25">
      <c r="A2009" s="27" t="s">
        <v>993</v>
      </c>
      <c r="B2009" s="27" t="s">
        <v>994</v>
      </c>
    </row>
    <row r="2010" spans="1:2" ht="15.75" customHeight="1" x14ac:dyDescent="0.25">
      <c r="A2010" s="27" t="s">
        <v>993</v>
      </c>
      <c r="B2010" s="27" t="s">
        <v>994</v>
      </c>
    </row>
    <row r="2011" spans="1:2" ht="15.75" customHeight="1" x14ac:dyDescent="0.25">
      <c r="A2011" s="27" t="s">
        <v>993</v>
      </c>
      <c r="B2011" s="27" t="s">
        <v>994</v>
      </c>
    </row>
    <row r="2012" spans="1:2" ht="15.75" customHeight="1" x14ac:dyDescent="0.25">
      <c r="A2012" s="27" t="s">
        <v>993</v>
      </c>
      <c r="B2012" s="27" t="s">
        <v>994</v>
      </c>
    </row>
    <row r="2013" spans="1:2" ht="15.75" customHeight="1" x14ac:dyDescent="0.25">
      <c r="A2013" s="27" t="s">
        <v>995</v>
      </c>
      <c r="B2013" s="27" t="s">
        <v>996</v>
      </c>
    </row>
    <row r="2014" spans="1:2" ht="15.75" customHeight="1" x14ac:dyDescent="0.25">
      <c r="A2014" s="27" t="s">
        <v>997</v>
      </c>
      <c r="B2014" s="27" t="s">
        <v>998</v>
      </c>
    </row>
    <row r="2015" spans="1:2" ht="15.75" customHeight="1" x14ac:dyDescent="0.25">
      <c r="A2015" s="27" t="s">
        <v>997</v>
      </c>
      <c r="B2015" s="27" t="s">
        <v>998</v>
      </c>
    </row>
    <row r="2016" spans="1:2" ht="15.75" customHeight="1" x14ac:dyDescent="0.25">
      <c r="A2016" s="27" t="s">
        <v>997</v>
      </c>
      <c r="B2016" s="27" t="s">
        <v>998</v>
      </c>
    </row>
    <row r="2017" spans="1:2" ht="15.75" customHeight="1" x14ac:dyDescent="0.25">
      <c r="A2017" s="27" t="s">
        <v>997</v>
      </c>
      <c r="B2017" s="27" t="s">
        <v>998</v>
      </c>
    </row>
    <row r="2018" spans="1:2" ht="15.75" customHeight="1" x14ac:dyDescent="0.25">
      <c r="A2018" s="27" t="s">
        <v>997</v>
      </c>
      <c r="B2018" s="27" t="s">
        <v>998</v>
      </c>
    </row>
    <row r="2019" spans="1:2" ht="15.75" customHeight="1" x14ac:dyDescent="0.25">
      <c r="A2019" s="27" t="s">
        <v>997</v>
      </c>
      <c r="B2019" s="27" t="s">
        <v>998</v>
      </c>
    </row>
    <row r="2020" spans="1:2" ht="15.75" customHeight="1" x14ac:dyDescent="0.25">
      <c r="A2020" s="27" t="s">
        <v>997</v>
      </c>
      <c r="B2020" s="27" t="s">
        <v>998</v>
      </c>
    </row>
    <row r="2021" spans="1:2" ht="15.75" customHeight="1" x14ac:dyDescent="0.25">
      <c r="A2021" s="27" t="s">
        <v>999</v>
      </c>
      <c r="B2021" s="27" t="s">
        <v>1000</v>
      </c>
    </row>
    <row r="2022" spans="1:2" ht="15.75" customHeight="1" x14ac:dyDescent="0.25">
      <c r="A2022" s="27" t="s">
        <v>999</v>
      </c>
      <c r="B2022" s="27" t="s">
        <v>1000</v>
      </c>
    </row>
    <row r="2023" spans="1:2" ht="15.75" customHeight="1" x14ac:dyDescent="0.25">
      <c r="A2023" s="27" t="s">
        <v>1001</v>
      </c>
      <c r="B2023" s="27" t="s">
        <v>1002</v>
      </c>
    </row>
    <row r="2024" spans="1:2" ht="15.75" customHeight="1" x14ac:dyDescent="0.25">
      <c r="A2024" s="27" t="s">
        <v>1001</v>
      </c>
      <c r="B2024" s="27" t="s">
        <v>1002</v>
      </c>
    </row>
    <row r="2025" spans="1:2" ht="15.75" customHeight="1" x14ac:dyDescent="0.25">
      <c r="A2025" s="27" t="s">
        <v>1001</v>
      </c>
      <c r="B2025" s="27" t="s">
        <v>1002</v>
      </c>
    </row>
    <row r="2026" spans="1:2" ht="15.75" customHeight="1" x14ac:dyDescent="0.25">
      <c r="A2026" s="27" t="s">
        <v>1001</v>
      </c>
      <c r="B2026" s="27" t="s">
        <v>1002</v>
      </c>
    </row>
    <row r="2027" spans="1:2" ht="15.75" customHeight="1" x14ac:dyDescent="0.25">
      <c r="A2027" s="27" t="s">
        <v>1001</v>
      </c>
      <c r="B2027" s="27" t="s">
        <v>1002</v>
      </c>
    </row>
    <row r="2028" spans="1:2" ht="15.75" customHeight="1" x14ac:dyDescent="0.25">
      <c r="A2028" s="27" t="s">
        <v>1001</v>
      </c>
      <c r="B2028" s="27" t="s">
        <v>1002</v>
      </c>
    </row>
    <row r="2029" spans="1:2" ht="15.75" customHeight="1" x14ac:dyDescent="0.25">
      <c r="A2029" s="27" t="s">
        <v>1001</v>
      </c>
      <c r="B2029" s="27" t="s">
        <v>1002</v>
      </c>
    </row>
    <row r="2030" spans="1:2" ht="15.75" customHeight="1" x14ac:dyDescent="0.25">
      <c r="A2030" s="27" t="s">
        <v>1001</v>
      </c>
      <c r="B2030" s="27" t="s">
        <v>1002</v>
      </c>
    </row>
    <row r="2031" spans="1:2" ht="15.75" customHeight="1" x14ac:dyDescent="0.25">
      <c r="A2031" s="27" t="s">
        <v>1003</v>
      </c>
      <c r="B2031" s="27" t="s">
        <v>1004</v>
      </c>
    </row>
    <row r="2032" spans="1:2" ht="15.75" customHeight="1" x14ac:dyDescent="0.25">
      <c r="A2032" s="27" t="s">
        <v>1003</v>
      </c>
      <c r="B2032" s="27" t="s">
        <v>1004</v>
      </c>
    </row>
    <row r="2033" spans="1:2" ht="15.75" customHeight="1" x14ac:dyDescent="0.25">
      <c r="A2033" s="27" t="s">
        <v>1003</v>
      </c>
      <c r="B2033" s="27" t="s">
        <v>1004</v>
      </c>
    </row>
    <row r="2034" spans="1:2" ht="15.75" customHeight="1" x14ac:dyDescent="0.25">
      <c r="A2034" s="27" t="s">
        <v>1003</v>
      </c>
      <c r="B2034" s="27" t="s">
        <v>1004</v>
      </c>
    </row>
    <row r="2035" spans="1:2" ht="15.75" customHeight="1" x14ac:dyDescent="0.25">
      <c r="A2035" s="27" t="s">
        <v>1005</v>
      </c>
      <c r="B2035" s="27" t="s">
        <v>1006</v>
      </c>
    </row>
    <row r="2036" spans="1:2" ht="15.75" customHeight="1" x14ac:dyDescent="0.25">
      <c r="A2036" s="27" t="s">
        <v>1005</v>
      </c>
      <c r="B2036" s="27" t="s">
        <v>1006</v>
      </c>
    </row>
    <row r="2037" spans="1:2" ht="15.75" customHeight="1" x14ac:dyDescent="0.25">
      <c r="A2037" s="27" t="s">
        <v>1005</v>
      </c>
      <c r="B2037" s="27" t="s">
        <v>1006</v>
      </c>
    </row>
    <row r="2038" spans="1:2" ht="15.75" customHeight="1" x14ac:dyDescent="0.25">
      <c r="A2038" s="27" t="s">
        <v>1005</v>
      </c>
      <c r="B2038" s="27" t="s">
        <v>1006</v>
      </c>
    </row>
    <row r="2039" spans="1:2" ht="15.75" customHeight="1" x14ac:dyDescent="0.25">
      <c r="A2039" s="27" t="s">
        <v>1005</v>
      </c>
      <c r="B2039" s="27" t="s">
        <v>1006</v>
      </c>
    </row>
    <row r="2040" spans="1:2" ht="15.75" customHeight="1" x14ac:dyDescent="0.25">
      <c r="A2040" s="27" t="s">
        <v>1007</v>
      </c>
      <c r="B2040" s="27" t="s">
        <v>1008</v>
      </c>
    </row>
    <row r="2041" spans="1:2" ht="15.75" customHeight="1" x14ac:dyDescent="0.25">
      <c r="A2041" s="27" t="s">
        <v>1007</v>
      </c>
      <c r="B2041" s="27" t="s">
        <v>1008</v>
      </c>
    </row>
    <row r="2042" spans="1:2" ht="15.75" customHeight="1" x14ac:dyDescent="0.25">
      <c r="A2042" s="27" t="s">
        <v>1007</v>
      </c>
      <c r="B2042" s="27" t="s">
        <v>1008</v>
      </c>
    </row>
    <row r="2043" spans="1:2" ht="15.75" customHeight="1" x14ac:dyDescent="0.25">
      <c r="A2043" s="27" t="s">
        <v>1007</v>
      </c>
      <c r="B2043" s="27" t="s">
        <v>1008</v>
      </c>
    </row>
    <row r="2044" spans="1:2" ht="15.75" customHeight="1" x14ac:dyDescent="0.25">
      <c r="A2044" s="27" t="s">
        <v>1007</v>
      </c>
      <c r="B2044" s="27" t="s">
        <v>1008</v>
      </c>
    </row>
    <row r="2045" spans="1:2" ht="15.75" customHeight="1" x14ac:dyDescent="0.25">
      <c r="A2045" s="27" t="s">
        <v>1007</v>
      </c>
      <c r="B2045" s="27" t="s">
        <v>1008</v>
      </c>
    </row>
    <row r="2046" spans="1:2" ht="15.75" customHeight="1" x14ac:dyDescent="0.25">
      <c r="A2046" s="27" t="s">
        <v>1007</v>
      </c>
      <c r="B2046" s="27" t="s">
        <v>1008</v>
      </c>
    </row>
    <row r="2047" spans="1:2" ht="15.75" customHeight="1" x14ac:dyDescent="0.25">
      <c r="A2047" s="27" t="s">
        <v>1009</v>
      </c>
      <c r="B2047" s="27" t="s">
        <v>1010</v>
      </c>
    </row>
    <row r="2048" spans="1:2" ht="15.75" customHeight="1" x14ac:dyDescent="0.25">
      <c r="A2048" s="27" t="s">
        <v>1009</v>
      </c>
      <c r="B2048" s="27" t="s">
        <v>1010</v>
      </c>
    </row>
    <row r="2049" spans="1:2" ht="15.75" customHeight="1" x14ac:dyDescent="0.25">
      <c r="A2049" s="27" t="s">
        <v>1009</v>
      </c>
      <c r="B2049" s="27" t="s">
        <v>1010</v>
      </c>
    </row>
    <row r="2050" spans="1:2" ht="15.75" customHeight="1" x14ac:dyDescent="0.25">
      <c r="A2050" s="27" t="s">
        <v>1009</v>
      </c>
      <c r="B2050" s="27" t="s">
        <v>1010</v>
      </c>
    </row>
    <row r="2051" spans="1:2" ht="15.75" customHeight="1" x14ac:dyDescent="0.25">
      <c r="A2051" s="27" t="s">
        <v>1009</v>
      </c>
      <c r="B2051" s="27" t="s">
        <v>1010</v>
      </c>
    </row>
    <row r="2052" spans="1:2" ht="15.75" customHeight="1" x14ac:dyDescent="0.25">
      <c r="A2052" s="27" t="s">
        <v>1009</v>
      </c>
      <c r="B2052" s="27" t="s">
        <v>1010</v>
      </c>
    </row>
    <row r="2053" spans="1:2" ht="15.75" customHeight="1" x14ac:dyDescent="0.25">
      <c r="A2053" s="27" t="s">
        <v>1009</v>
      </c>
      <c r="B2053" s="27" t="s">
        <v>1010</v>
      </c>
    </row>
    <row r="2054" spans="1:2" ht="15.75" customHeight="1" x14ac:dyDescent="0.25">
      <c r="A2054" s="27" t="s">
        <v>1009</v>
      </c>
      <c r="B2054" s="27" t="s">
        <v>1010</v>
      </c>
    </row>
    <row r="2055" spans="1:2" ht="15.75" customHeight="1" x14ac:dyDescent="0.25">
      <c r="A2055" s="27" t="s">
        <v>1009</v>
      </c>
      <c r="B2055" s="27" t="s">
        <v>1010</v>
      </c>
    </row>
    <row r="2056" spans="1:2" ht="15.75" customHeight="1" x14ac:dyDescent="0.25">
      <c r="A2056" s="27" t="s">
        <v>1009</v>
      </c>
      <c r="B2056" s="27" t="s">
        <v>1010</v>
      </c>
    </row>
    <row r="2057" spans="1:2" ht="15.75" customHeight="1" x14ac:dyDescent="0.25">
      <c r="A2057" s="27" t="s">
        <v>1011</v>
      </c>
      <c r="B2057" s="27" t="s">
        <v>1012</v>
      </c>
    </row>
    <row r="2058" spans="1:2" ht="15.75" customHeight="1" x14ac:dyDescent="0.25">
      <c r="A2058" s="27" t="s">
        <v>1011</v>
      </c>
      <c r="B2058" s="27" t="s">
        <v>1012</v>
      </c>
    </row>
    <row r="2059" spans="1:2" ht="15.75" customHeight="1" x14ac:dyDescent="0.25">
      <c r="A2059" s="27" t="s">
        <v>1011</v>
      </c>
      <c r="B2059" s="27" t="s">
        <v>1012</v>
      </c>
    </row>
    <row r="2060" spans="1:2" ht="15.75" customHeight="1" x14ac:dyDescent="0.25">
      <c r="A2060" s="27" t="s">
        <v>1011</v>
      </c>
      <c r="B2060" s="27" t="s">
        <v>1012</v>
      </c>
    </row>
    <row r="2061" spans="1:2" ht="15.75" customHeight="1" x14ac:dyDescent="0.25">
      <c r="A2061" s="27" t="s">
        <v>1011</v>
      </c>
      <c r="B2061" s="27" t="s">
        <v>1012</v>
      </c>
    </row>
    <row r="2062" spans="1:2" ht="15.75" customHeight="1" x14ac:dyDescent="0.25">
      <c r="A2062" s="27" t="s">
        <v>1011</v>
      </c>
      <c r="B2062" s="27" t="s">
        <v>1012</v>
      </c>
    </row>
    <row r="2063" spans="1:2" ht="15.75" customHeight="1" x14ac:dyDescent="0.25">
      <c r="A2063" s="27" t="s">
        <v>1013</v>
      </c>
      <c r="B2063" s="27" t="s">
        <v>1014</v>
      </c>
    </row>
    <row r="2064" spans="1:2" ht="15.75" customHeight="1" x14ac:dyDescent="0.25">
      <c r="A2064" s="27" t="s">
        <v>1013</v>
      </c>
      <c r="B2064" s="27" t="s">
        <v>1014</v>
      </c>
    </row>
    <row r="2065" spans="1:2" ht="15.75" customHeight="1" x14ac:dyDescent="0.25">
      <c r="A2065" s="27" t="s">
        <v>1013</v>
      </c>
      <c r="B2065" s="27" t="s">
        <v>1014</v>
      </c>
    </row>
    <row r="2066" spans="1:2" ht="15.75" customHeight="1" x14ac:dyDescent="0.25">
      <c r="A2066" s="27" t="s">
        <v>1013</v>
      </c>
      <c r="B2066" s="27" t="s">
        <v>1014</v>
      </c>
    </row>
    <row r="2067" spans="1:2" ht="15.75" customHeight="1" x14ac:dyDescent="0.25">
      <c r="A2067" s="27" t="s">
        <v>1013</v>
      </c>
      <c r="B2067" s="27" t="s">
        <v>1014</v>
      </c>
    </row>
    <row r="2068" spans="1:2" ht="15.75" customHeight="1" x14ac:dyDescent="0.25">
      <c r="A2068" s="27" t="s">
        <v>1013</v>
      </c>
      <c r="B2068" s="27" t="s">
        <v>1014</v>
      </c>
    </row>
    <row r="2069" spans="1:2" ht="15.75" customHeight="1" x14ac:dyDescent="0.25">
      <c r="A2069" s="27" t="s">
        <v>1013</v>
      </c>
      <c r="B2069" s="27" t="s">
        <v>1014</v>
      </c>
    </row>
    <row r="2070" spans="1:2" ht="15.75" customHeight="1" x14ac:dyDescent="0.25">
      <c r="A2070" s="27" t="s">
        <v>1013</v>
      </c>
      <c r="B2070" s="27" t="s">
        <v>1014</v>
      </c>
    </row>
    <row r="2071" spans="1:2" ht="15.75" customHeight="1" x14ac:dyDescent="0.25">
      <c r="A2071" s="27" t="s">
        <v>1013</v>
      </c>
      <c r="B2071" s="27" t="s">
        <v>1014</v>
      </c>
    </row>
    <row r="2072" spans="1:2" ht="15.75" customHeight="1" x14ac:dyDescent="0.25">
      <c r="A2072" s="27" t="s">
        <v>1013</v>
      </c>
      <c r="B2072" s="27" t="s">
        <v>1014</v>
      </c>
    </row>
    <row r="2073" spans="1:2" ht="15.75" customHeight="1" x14ac:dyDescent="0.25">
      <c r="A2073" s="27" t="s">
        <v>1013</v>
      </c>
      <c r="B2073" s="27" t="s">
        <v>1014</v>
      </c>
    </row>
    <row r="2074" spans="1:2" ht="15.75" customHeight="1" x14ac:dyDescent="0.25">
      <c r="A2074" s="27" t="s">
        <v>1013</v>
      </c>
      <c r="B2074" s="27" t="s">
        <v>1014</v>
      </c>
    </row>
    <row r="2075" spans="1:2" ht="15.75" customHeight="1" x14ac:dyDescent="0.25">
      <c r="A2075" s="27" t="s">
        <v>1013</v>
      </c>
      <c r="B2075" s="27" t="s">
        <v>1014</v>
      </c>
    </row>
    <row r="2076" spans="1:2" ht="15.75" customHeight="1" x14ac:dyDescent="0.25">
      <c r="A2076" s="27" t="s">
        <v>1013</v>
      </c>
      <c r="B2076" s="27" t="s">
        <v>1014</v>
      </c>
    </row>
    <row r="2077" spans="1:2" ht="15.75" customHeight="1" x14ac:dyDescent="0.25">
      <c r="A2077" s="27" t="s">
        <v>1015</v>
      </c>
      <c r="B2077" s="27" t="s">
        <v>1016</v>
      </c>
    </row>
    <row r="2078" spans="1:2" ht="15.75" customHeight="1" x14ac:dyDescent="0.25">
      <c r="A2078" s="27" t="s">
        <v>1017</v>
      </c>
      <c r="B2078" s="27" t="s">
        <v>1018</v>
      </c>
    </row>
    <row r="2079" spans="1:2" ht="15.75" customHeight="1" x14ac:dyDescent="0.25">
      <c r="A2079" s="27" t="s">
        <v>1017</v>
      </c>
      <c r="B2079" s="27" t="s">
        <v>1018</v>
      </c>
    </row>
    <row r="2080" spans="1:2" ht="15.75" customHeight="1" x14ac:dyDescent="0.25">
      <c r="A2080" s="27" t="s">
        <v>1017</v>
      </c>
      <c r="B2080" s="27" t="s">
        <v>1018</v>
      </c>
    </row>
    <row r="2081" spans="1:2" ht="15.75" customHeight="1" x14ac:dyDescent="0.25">
      <c r="A2081" s="27" t="s">
        <v>1017</v>
      </c>
      <c r="B2081" s="27" t="s">
        <v>1018</v>
      </c>
    </row>
    <row r="2082" spans="1:2" ht="15.75" customHeight="1" x14ac:dyDescent="0.25">
      <c r="A2082" s="27" t="s">
        <v>1017</v>
      </c>
      <c r="B2082" s="27" t="s">
        <v>1018</v>
      </c>
    </row>
    <row r="2083" spans="1:2" ht="15.75" customHeight="1" x14ac:dyDescent="0.25">
      <c r="A2083" s="27" t="s">
        <v>1017</v>
      </c>
      <c r="B2083" s="27" t="s">
        <v>1018</v>
      </c>
    </row>
    <row r="2084" spans="1:2" ht="15.75" customHeight="1" x14ac:dyDescent="0.25">
      <c r="A2084" s="27" t="s">
        <v>1017</v>
      </c>
      <c r="B2084" s="27" t="s">
        <v>1018</v>
      </c>
    </row>
    <row r="2085" spans="1:2" ht="15.75" customHeight="1" x14ac:dyDescent="0.25">
      <c r="A2085" s="27" t="s">
        <v>1017</v>
      </c>
      <c r="B2085" s="27" t="s">
        <v>1018</v>
      </c>
    </row>
    <row r="2086" spans="1:2" ht="15.75" customHeight="1" x14ac:dyDescent="0.25">
      <c r="A2086" s="27" t="s">
        <v>1017</v>
      </c>
      <c r="B2086" s="27" t="s">
        <v>1018</v>
      </c>
    </row>
    <row r="2087" spans="1:2" ht="15.75" customHeight="1" x14ac:dyDescent="0.25">
      <c r="A2087" s="27" t="s">
        <v>1017</v>
      </c>
      <c r="B2087" s="27" t="s">
        <v>1018</v>
      </c>
    </row>
    <row r="2088" spans="1:2" ht="15.75" customHeight="1" x14ac:dyDescent="0.25">
      <c r="A2088" s="27" t="s">
        <v>1017</v>
      </c>
      <c r="B2088" s="27" t="s">
        <v>1018</v>
      </c>
    </row>
    <row r="2089" spans="1:2" ht="15.75" customHeight="1" x14ac:dyDescent="0.25">
      <c r="A2089" s="27" t="s">
        <v>1019</v>
      </c>
      <c r="B2089" s="27" t="s">
        <v>1020</v>
      </c>
    </row>
    <row r="2090" spans="1:2" ht="15.75" customHeight="1" x14ac:dyDescent="0.25">
      <c r="A2090" s="27" t="s">
        <v>1019</v>
      </c>
      <c r="B2090" s="27" t="s">
        <v>1020</v>
      </c>
    </row>
    <row r="2091" spans="1:2" ht="15.75" customHeight="1" x14ac:dyDescent="0.25">
      <c r="A2091" s="27" t="s">
        <v>1021</v>
      </c>
      <c r="B2091" s="27" t="s">
        <v>1022</v>
      </c>
    </row>
    <row r="2092" spans="1:2" ht="15.75" customHeight="1" x14ac:dyDescent="0.25">
      <c r="A2092" s="27" t="s">
        <v>1023</v>
      </c>
      <c r="B2092" s="27" t="s">
        <v>1024</v>
      </c>
    </row>
    <row r="2093" spans="1:2" ht="15.75" customHeight="1" x14ac:dyDescent="0.25">
      <c r="A2093" s="27" t="s">
        <v>1025</v>
      </c>
      <c r="B2093" s="27" t="s">
        <v>1026</v>
      </c>
    </row>
    <row r="2094" spans="1:2" ht="15.75" customHeight="1" x14ac:dyDescent="0.25">
      <c r="A2094" s="27" t="s">
        <v>1025</v>
      </c>
      <c r="B2094" s="27" t="s">
        <v>1026</v>
      </c>
    </row>
    <row r="2095" spans="1:2" ht="15.75" customHeight="1" x14ac:dyDescent="0.25">
      <c r="A2095" s="27" t="s">
        <v>1027</v>
      </c>
      <c r="B2095" s="27" t="s">
        <v>1028</v>
      </c>
    </row>
    <row r="2096" spans="1:2" ht="15.75" customHeight="1" x14ac:dyDescent="0.25">
      <c r="A2096" s="27" t="s">
        <v>1029</v>
      </c>
      <c r="B2096" s="27" t="s">
        <v>1030</v>
      </c>
    </row>
    <row r="2097" spans="1:2" ht="15.75" customHeight="1" x14ac:dyDescent="0.25">
      <c r="A2097" s="27" t="s">
        <v>1029</v>
      </c>
      <c r="B2097" s="27" t="s">
        <v>1030</v>
      </c>
    </row>
    <row r="2098" spans="1:2" ht="15.75" customHeight="1" x14ac:dyDescent="0.25">
      <c r="A2098" s="27" t="s">
        <v>1031</v>
      </c>
      <c r="B2098" s="27" t="s">
        <v>1032</v>
      </c>
    </row>
    <row r="2099" spans="1:2" ht="15.75" customHeight="1" x14ac:dyDescent="0.25">
      <c r="A2099" s="27" t="s">
        <v>1031</v>
      </c>
      <c r="B2099" s="27" t="s">
        <v>1032</v>
      </c>
    </row>
    <row r="2100" spans="1:2" ht="15.75" customHeight="1" x14ac:dyDescent="0.25">
      <c r="A2100" s="27" t="s">
        <v>1033</v>
      </c>
      <c r="B2100" s="27" t="s">
        <v>1034</v>
      </c>
    </row>
    <row r="2101" spans="1:2" ht="15.75" customHeight="1" x14ac:dyDescent="0.25">
      <c r="A2101" s="27" t="s">
        <v>1033</v>
      </c>
      <c r="B2101" s="27" t="s">
        <v>1034</v>
      </c>
    </row>
    <row r="2102" spans="1:2" ht="15.75" customHeight="1" x14ac:dyDescent="0.25">
      <c r="A2102" s="27" t="s">
        <v>1035</v>
      </c>
      <c r="B2102" s="27" t="s">
        <v>1036</v>
      </c>
    </row>
    <row r="2103" spans="1:2" ht="15.75" customHeight="1" x14ac:dyDescent="0.25">
      <c r="A2103" s="27" t="s">
        <v>1035</v>
      </c>
      <c r="B2103" s="27" t="s">
        <v>1036</v>
      </c>
    </row>
    <row r="2104" spans="1:2" ht="15.75" customHeight="1" x14ac:dyDescent="0.25">
      <c r="A2104" s="27" t="s">
        <v>1037</v>
      </c>
      <c r="B2104" s="27" t="s">
        <v>1038</v>
      </c>
    </row>
    <row r="2105" spans="1:2" ht="15.75" customHeight="1" x14ac:dyDescent="0.25">
      <c r="A2105" s="27" t="s">
        <v>1039</v>
      </c>
      <c r="B2105" s="27" t="s">
        <v>1040</v>
      </c>
    </row>
    <row r="2106" spans="1:2" ht="15.75" customHeight="1" x14ac:dyDescent="0.25">
      <c r="A2106" s="27" t="s">
        <v>1039</v>
      </c>
      <c r="B2106" s="27" t="s">
        <v>1040</v>
      </c>
    </row>
    <row r="2107" spans="1:2" ht="15.75" customHeight="1" x14ac:dyDescent="0.25">
      <c r="A2107" s="27" t="s">
        <v>1039</v>
      </c>
      <c r="B2107" s="27" t="s">
        <v>1040</v>
      </c>
    </row>
    <row r="2108" spans="1:2" ht="15.75" customHeight="1" x14ac:dyDescent="0.25">
      <c r="A2108" s="27" t="s">
        <v>1039</v>
      </c>
      <c r="B2108" s="27" t="s">
        <v>1040</v>
      </c>
    </row>
    <row r="2109" spans="1:2" ht="15.75" customHeight="1" x14ac:dyDescent="0.25">
      <c r="A2109" s="27" t="s">
        <v>1039</v>
      </c>
      <c r="B2109" s="27" t="s">
        <v>1040</v>
      </c>
    </row>
    <row r="2110" spans="1:2" ht="15.75" customHeight="1" x14ac:dyDescent="0.25">
      <c r="A2110" s="27" t="s">
        <v>1039</v>
      </c>
      <c r="B2110" s="27" t="s">
        <v>1040</v>
      </c>
    </row>
    <row r="2111" spans="1:2" ht="15.75" customHeight="1" x14ac:dyDescent="0.25">
      <c r="A2111" s="27" t="s">
        <v>1039</v>
      </c>
      <c r="B2111" s="27" t="s">
        <v>1040</v>
      </c>
    </row>
    <row r="2112" spans="1:2" ht="15.75" customHeight="1" x14ac:dyDescent="0.25">
      <c r="A2112" s="27" t="s">
        <v>1039</v>
      </c>
      <c r="B2112" s="27" t="s">
        <v>1040</v>
      </c>
    </row>
    <row r="2113" spans="1:2" ht="15.75" customHeight="1" x14ac:dyDescent="0.25">
      <c r="A2113" s="27" t="s">
        <v>1039</v>
      </c>
      <c r="B2113" s="27" t="s">
        <v>1040</v>
      </c>
    </row>
    <row r="2114" spans="1:2" ht="15.75" customHeight="1" x14ac:dyDescent="0.25">
      <c r="A2114" s="27" t="s">
        <v>1039</v>
      </c>
      <c r="B2114" s="27" t="s">
        <v>1040</v>
      </c>
    </row>
    <row r="2115" spans="1:2" ht="15.75" customHeight="1" x14ac:dyDescent="0.25">
      <c r="A2115" s="27" t="s">
        <v>1039</v>
      </c>
      <c r="B2115" s="27" t="s">
        <v>1040</v>
      </c>
    </row>
    <row r="2116" spans="1:2" ht="15.75" customHeight="1" x14ac:dyDescent="0.25">
      <c r="A2116" s="27" t="s">
        <v>1039</v>
      </c>
      <c r="B2116" s="27" t="s">
        <v>1040</v>
      </c>
    </row>
    <row r="2117" spans="1:2" ht="15.75" customHeight="1" x14ac:dyDescent="0.25">
      <c r="A2117" s="27" t="s">
        <v>1039</v>
      </c>
      <c r="B2117" s="27" t="s">
        <v>1040</v>
      </c>
    </row>
    <row r="2118" spans="1:2" ht="15.75" customHeight="1" x14ac:dyDescent="0.25">
      <c r="A2118" s="27" t="s">
        <v>1039</v>
      </c>
      <c r="B2118" s="27" t="s">
        <v>1040</v>
      </c>
    </row>
    <row r="2119" spans="1:2" ht="15.75" customHeight="1" x14ac:dyDescent="0.25">
      <c r="A2119" s="27" t="s">
        <v>1039</v>
      </c>
      <c r="B2119" s="27" t="s">
        <v>1040</v>
      </c>
    </row>
    <row r="2120" spans="1:2" ht="15.75" customHeight="1" x14ac:dyDescent="0.25">
      <c r="A2120" s="27" t="s">
        <v>1039</v>
      </c>
      <c r="B2120" s="27" t="s">
        <v>1040</v>
      </c>
    </row>
    <row r="2121" spans="1:2" ht="15.75" customHeight="1" x14ac:dyDescent="0.25">
      <c r="A2121" s="27" t="s">
        <v>1039</v>
      </c>
      <c r="B2121" s="27" t="s">
        <v>1040</v>
      </c>
    </row>
    <row r="2122" spans="1:2" ht="15.75" customHeight="1" x14ac:dyDescent="0.25">
      <c r="A2122" s="27" t="s">
        <v>1039</v>
      </c>
      <c r="B2122" s="27" t="s">
        <v>1040</v>
      </c>
    </row>
    <row r="2123" spans="1:2" ht="15.75" customHeight="1" x14ac:dyDescent="0.25">
      <c r="A2123" s="27" t="s">
        <v>1039</v>
      </c>
      <c r="B2123" s="27" t="s">
        <v>1040</v>
      </c>
    </row>
    <row r="2124" spans="1:2" ht="15.75" customHeight="1" x14ac:dyDescent="0.25">
      <c r="A2124" s="27" t="s">
        <v>1039</v>
      </c>
      <c r="B2124" s="27" t="s">
        <v>1040</v>
      </c>
    </row>
    <row r="2125" spans="1:2" ht="15.75" customHeight="1" x14ac:dyDescent="0.25">
      <c r="A2125" s="27" t="s">
        <v>1039</v>
      </c>
      <c r="B2125" s="27" t="s">
        <v>1040</v>
      </c>
    </row>
    <row r="2126" spans="1:2" ht="15.75" customHeight="1" x14ac:dyDescent="0.25">
      <c r="A2126" s="27" t="s">
        <v>1039</v>
      </c>
      <c r="B2126" s="27" t="s">
        <v>1040</v>
      </c>
    </row>
    <row r="2127" spans="1:2" ht="15.75" customHeight="1" x14ac:dyDescent="0.25">
      <c r="A2127" s="27" t="s">
        <v>1039</v>
      </c>
      <c r="B2127" s="27" t="s">
        <v>1040</v>
      </c>
    </row>
    <row r="2128" spans="1:2" ht="15.75" customHeight="1" x14ac:dyDescent="0.25">
      <c r="A2128" s="27" t="s">
        <v>1039</v>
      </c>
      <c r="B2128" s="27" t="s">
        <v>1040</v>
      </c>
    </row>
    <row r="2129" spans="1:2" ht="15.75" customHeight="1" x14ac:dyDescent="0.25">
      <c r="A2129" s="27" t="s">
        <v>1039</v>
      </c>
      <c r="B2129" s="27" t="s">
        <v>1040</v>
      </c>
    </row>
    <row r="2130" spans="1:2" ht="15.75" customHeight="1" x14ac:dyDescent="0.25">
      <c r="A2130" s="27" t="s">
        <v>1039</v>
      </c>
      <c r="B2130" s="27" t="s">
        <v>1040</v>
      </c>
    </row>
    <row r="2131" spans="1:2" ht="15.75" customHeight="1" x14ac:dyDescent="0.25">
      <c r="A2131" s="27" t="s">
        <v>1039</v>
      </c>
      <c r="B2131" s="27" t="s">
        <v>1040</v>
      </c>
    </row>
    <row r="2132" spans="1:2" ht="15.75" customHeight="1" x14ac:dyDescent="0.25">
      <c r="A2132" s="27" t="s">
        <v>1039</v>
      </c>
      <c r="B2132" s="27" t="s">
        <v>1040</v>
      </c>
    </row>
    <row r="2133" spans="1:2" ht="15.75" customHeight="1" x14ac:dyDescent="0.25">
      <c r="A2133" s="27" t="s">
        <v>1039</v>
      </c>
      <c r="B2133" s="27" t="s">
        <v>1040</v>
      </c>
    </row>
    <row r="2134" spans="1:2" ht="15.75" customHeight="1" x14ac:dyDescent="0.25">
      <c r="A2134" s="27" t="s">
        <v>1039</v>
      </c>
      <c r="B2134" s="27" t="s">
        <v>1040</v>
      </c>
    </row>
    <row r="2135" spans="1:2" ht="15.75" customHeight="1" x14ac:dyDescent="0.25">
      <c r="A2135" s="27" t="s">
        <v>1039</v>
      </c>
      <c r="B2135" s="27" t="s">
        <v>1040</v>
      </c>
    </row>
    <row r="2136" spans="1:2" ht="15.75" customHeight="1" x14ac:dyDescent="0.25">
      <c r="A2136" s="27" t="s">
        <v>1039</v>
      </c>
      <c r="B2136" s="27" t="s">
        <v>1040</v>
      </c>
    </row>
    <row r="2137" spans="1:2" ht="15.75" customHeight="1" x14ac:dyDescent="0.25">
      <c r="A2137" s="27" t="s">
        <v>1039</v>
      </c>
      <c r="B2137" s="27" t="s">
        <v>1040</v>
      </c>
    </row>
    <row r="2138" spans="1:2" ht="15.75" customHeight="1" x14ac:dyDescent="0.25">
      <c r="A2138" s="27" t="s">
        <v>1039</v>
      </c>
      <c r="B2138" s="27" t="s">
        <v>1040</v>
      </c>
    </row>
    <row r="2139" spans="1:2" ht="15.75" customHeight="1" x14ac:dyDescent="0.25">
      <c r="A2139" s="27" t="s">
        <v>1039</v>
      </c>
      <c r="B2139" s="27" t="s">
        <v>1040</v>
      </c>
    </row>
    <row r="2140" spans="1:2" ht="15.75" customHeight="1" x14ac:dyDescent="0.25">
      <c r="A2140" s="27" t="s">
        <v>1039</v>
      </c>
      <c r="B2140" s="27" t="s">
        <v>1040</v>
      </c>
    </row>
    <row r="2141" spans="1:2" ht="15.75" customHeight="1" x14ac:dyDescent="0.25">
      <c r="A2141" s="27" t="s">
        <v>1039</v>
      </c>
      <c r="B2141" s="27" t="s">
        <v>1040</v>
      </c>
    </row>
    <row r="2142" spans="1:2" ht="15.75" customHeight="1" x14ac:dyDescent="0.25">
      <c r="A2142" s="27" t="s">
        <v>1039</v>
      </c>
      <c r="B2142" s="27" t="s">
        <v>1040</v>
      </c>
    </row>
    <row r="2143" spans="1:2" ht="15.75" customHeight="1" x14ac:dyDescent="0.25">
      <c r="A2143" s="27" t="s">
        <v>1039</v>
      </c>
      <c r="B2143" s="27" t="s">
        <v>1040</v>
      </c>
    </row>
    <row r="2144" spans="1:2" ht="15.75" customHeight="1" x14ac:dyDescent="0.25">
      <c r="A2144" s="27" t="s">
        <v>1039</v>
      </c>
      <c r="B2144" s="27" t="s">
        <v>1040</v>
      </c>
    </row>
    <row r="2145" spans="1:2" ht="15.75" customHeight="1" x14ac:dyDescent="0.25">
      <c r="A2145" s="27" t="s">
        <v>1039</v>
      </c>
      <c r="B2145" s="27" t="s">
        <v>1040</v>
      </c>
    </row>
    <row r="2146" spans="1:2" ht="15.75" customHeight="1" x14ac:dyDescent="0.25">
      <c r="A2146" s="27" t="s">
        <v>1039</v>
      </c>
      <c r="B2146" s="27" t="s">
        <v>1040</v>
      </c>
    </row>
    <row r="2147" spans="1:2" ht="15.75" customHeight="1" x14ac:dyDescent="0.25">
      <c r="A2147" s="27" t="s">
        <v>1039</v>
      </c>
      <c r="B2147" s="27" t="s">
        <v>1040</v>
      </c>
    </row>
    <row r="2148" spans="1:2" ht="15.75" customHeight="1" x14ac:dyDescent="0.25">
      <c r="A2148" s="27" t="s">
        <v>1039</v>
      </c>
      <c r="B2148" s="27" t="s">
        <v>1040</v>
      </c>
    </row>
    <row r="2149" spans="1:2" ht="15.75" customHeight="1" x14ac:dyDescent="0.25">
      <c r="A2149" s="27" t="s">
        <v>1039</v>
      </c>
      <c r="B2149" s="27" t="s">
        <v>1040</v>
      </c>
    </row>
    <row r="2150" spans="1:2" ht="15.75" customHeight="1" x14ac:dyDescent="0.25">
      <c r="A2150" s="27" t="s">
        <v>1039</v>
      </c>
      <c r="B2150" s="27" t="s">
        <v>1040</v>
      </c>
    </row>
    <row r="2151" spans="1:2" ht="15.75" customHeight="1" x14ac:dyDescent="0.25">
      <c r="A2151" s="27" t="s">
        <v>1039</v>
      </c>
      <c r="B2151" s="27" t="s">
        <v>1040</v>
      </c>
    </row>
    <row r="2152" spans="1:2" ht="15.75" customHeight="1" x14ac:dyDescent="0.25">
      <c r="A2152" s="27" t="s">
        <v>1039</v>
      </c>
      <c r="B2152" s="27" t="s">
        <v>1040</v>
      </c>
    </row>
    <row r="2153" spans="1:2" ht="15.75" customHeight="1" x14ac:dyDescent="0.25">
      <c r="A2153" s="27" t="s">
        <v>1039</v>
      </c>
      <c r="B2153" s="27" t="s">
        <v>1040</v>
      </c>
    </row>
    <row r="2154" spans="1:2" ht="15.75" customHeight="1" x14ac:dyDescent="0.25">
      <c r="A2154" s="27" t="s">
        <v>1039</v>
      </c>
      <c r="B2154" s="27" t="s">
        <v>1040</v>
      </c>
    </row>
    <row r="2155" spans="1:2" ht="15.75" customHeight="1" x14ac:dyDescent="0.25">
      <c r="A2155" s="27" t="s">
        <v>1039</v>
      </c>
      <c r="B2155" s="27" t="s">
        <v>1040</v>
      </c>
    </row>
    <row r="2156" spans="1:2" ht="15.75" customHeight="1" x14ac:dyDescent="0.25">
      <c r="A2156" s="27" t="s">
        <v>1039</v>
      </c>
      <c r="B2156" s="27" t="s">
        <v>1040</v>
      </c>
    </row>
    <row r="2157" spans="1:2" ht="15.75" customHeight="1" x14ac:dyDescent="0.25">
      <c r="A2157" s="27" t="s">
        <v>1039</v>
      </c>
      <c r="B2157" s="27" t="s">
        <v>1040</v>
      </c>
    </row>
    <row r="2158" spans="1:2" ht="15.75" customHeight="1" x14ac:dyDescent="0.25">
      <c r="A2158" s="27" t="s">
        <v>1039</v>
      </c>
      <c r="B2158" s="27" t="s">
        <v>1040</v>
      </c>
    </row>
    <row r="2159" spans="1:2" ht="15.75" customHeight="1" x14ac:dyDescent="0.25">
      <c r="A2159" s="27" t="s">
        <v>1039</v>
      </c>
      <c r="B2159" s="27" t="s">
        <v>1040</v>
      </c>
    </row>
    <row r="2160" spans="1:2" ht="15.75" customHeight="1" x14ac:dyDescent="0.25">
      <c r="A2160" s="27" t="s">
        <v>1039</v>
      </c>
      <c r="B2160" s="27" t="s">
        <v>1040</v>
      </c>
    </row>
    <row r="2161" spans="1:2" ht="15.75" customHeight="1" x14ac:dyDescent="0.25">
      <c r="A2161" s="27" t="s">
        <v>1039</v>
      </c>
      <c r="B2161" s="27" t="s">
        <v>1040</v>
      </c>
    </row>
    <row r="2162" spans="1:2" ht="15.75" customHeight="1" x14ac:dyDescent="0.25">
      <c r="A2162" s="27" t="s">
        <v>1039</v>
      </c>
      <c r="B2162" s="27" t="s">
        <v>1040</v>
      </c>
    </row>
    <row r="2163" spans="1:2" ht="15.75" customHeight="1" x14ac:dyDescent="0.25">
      <c r="A2163" s="27" t="s">
        <v>1039</v>
      </c>
      <c r="B2163" s="27" t="s">
        <v>1040</v>
      </c>
    </row>
    <row r="2164" spans="1:2" ht="15.75" customHeight="1" x14ac:dyDescent="0.25">
      <c r="A2164" s="27" t="s">
        <v>1039</v>
      </c>
      <c r="B2164" s="27" t="s">
        <v>1040</v>
      </c>
    </row>
    <row r="2165" spans="1:2" ht="15.75" customHeight="1" x14ac:dyDescent="0.25">
      <c r="A2165" s="27" t="s">
        <v>1039</v>
      </c>
      <c r="B2165" s="27" t="s">
        <v>1040</v>
      </c>
    </row>
    <row r="2166" spans="1:2" ht="15.75" customHeight="1" x14ac:dyDescent="0.25">
      <c r="A2166" s="27" t="s">
        <v>1039</v>
      </c>
      <c r="B2166" s="27" t="s">
        <v>1040</v>
      </c>
    </row>
    <row r="2167" spans="1:2" ht="15.75" customHeight="1" x14ac:dyDescent="0.25">
      <c r="A2167" s="27" t="s">
        <v>1039</v>
      </c>
      <c r="B2167" s="27" t="s">
        <v>1040</v>
      </c>
    </row>
    <row r="2168" spans="1:2" ht="15.75" customHeight="1" x14ac:dyDescent="0.25">
      <c r="A2168" s="27" t="s">
        <v>1039</v>
      </c>
      <c r="B2168" s="27" t="s">
        <v>1040</v>
      </c>
    </row>
    <row r="2169" spans="1:2" ht="15.75" customHeight="1" x14ac:dyDescent="0.25">
      <c r="A2169" s="27" t="s">
        <v>1039</v>
      </c>
      <c r="B2169" s="27" t="s">
        <v>1040</v>
      </c>
    </row>
    <row r="2170" spans="1:2" ht="15.75" customHeight="1" x14ac:dyDescent="0.25">
      <c r="A2170" s="27" t="s">
        <v>1039</v>
      </c>
      <c r="B2170" s="27" t="s">
        <v>1040</v>
      </c>
    </row>
    <row r="2171" spans="1:2" ht="15.75" customHeight="1" x14ac:dyDescent="0.25">
      <c r="A2171" s="27" t="s">
        <v>1039</v>
      </c>
      <c r="B2171" s="27" t="s">
        <v>1040</v>
      </c>
    </row>
    <row r="2172" spans="1:2" ht="15.75" customHeight="1" x14ac:dyDescent="0.25">
      <c r="A2172" s="27" t="s">
        <v>1039</v>
      </c>
      <c r="B2172" s="27" t="s">
        <v>1040</v>
      </c>
    </row>
    <row r="2173" spans="1:2" ht="15.75" customHeight="1" x14ac:dyDescent="0.25">
      <c r="A2173" s="27" t="s">
        <v>1039</v>
      </c>
      <c r="B2173" s="27" t="s">
        <v>1040</v>
      </c>
    </row>
    <row r="2174" spans="1:2" ht="15.75" customHeight="1" x14ac:dyDescent="0.25">
      <c r="A2174" s="27" t="s">
        <v>1039</v>
      </c>
      <c r="B2174" s="27" t="s">
        <v>1040</v>
      </c>
    </row>
    <row r="2175" spans="1:2" ht="15.75" customHeight="1" x14ac:dyDescent="0.25">
      <c r="A2175" s="27" t="s">
        <v>1039</v>
      </c>
      <c r="B2175" s="27" t="s">
        <v>1040</v>
      </c>
    </row>
    <row r="2176" spans="1:2" ht="15.75" customHeight="1" x14ac:dyDescent="0.25">
      <c r="A2176" s="27" t="s">
        <v>1039</v>
      </c>
      <c r="B2176" s="27" t="s">
        <v>1040</v>
      </c>
    </row>
    <row r="2177" spans="1:2" ht="15.75" customHeight="1" x14ac:dyDescent="0.25">
      <c r="A2177" s="27" t="s">
        <v>1039</v>
      </c>
      <c r="B2177" s="27" t="s">
        <v>1040</v>
      </c>
    </row>
    <row r="2178" spans="1:2" ht="15.75" customHeight="1" x14ac:dyDescent="0.25">
      <c r="A2178" s="27" t="s">
        <v>1039</v>
      </c>
      <c r="B2178" s="27" t="s">
        <v>1040</v>
      </c>
    </row>
    <row r="2179" spans="1:2" ht="15.75" customHeight="1" x14ac:dyDescent="0.25">
      <c r="A2179" s="27" t="s">
        <v>1039</v>
      </c>
      <c r="B2179" s="27" t="s">
        <v>1040</v>
      </c>
    </row>
    <row r="2180" spans="1:2" ht="15.75" customHeight="1" x14ac:dyDescent="0.25">
      <c r="A2180" s="27" t="s">
        <v>1039</v>
      </c>
      <c r="B2180" s="27" t="s">
        <v>1040</v>
      </c>
    </row>
    <row r="2181" spans="1:2" ht="15.75" customHeight="1" x14ac:dyDescent="0.25">
      <c r="A2181" s="27" t="s">
        <v>1039</v>
      </c>
      <c r="B2181" s="27" t="s">
        <v>1040</v>
      </c>
    </row>
    <row r="2182" spans="1:2" ht="15.75" customHeight="1" x14ac:dyDescent="0.25">
      <c r="A2182" s="27" t="s">
        <v>1039</v>
      </c>
      <c r="B2182" s="27" t="s">
        <v>1040</v>
      </c>
    </row>
    <row r="2183" spans="1:2" ht="15.75" customHeight="1" x14ac:dyDescent="0.25">
      <c r="A2183" s="27" t="s">
        <v>1039</v>
      </c>
      <c r="B2183" s="27" t="s">
        <v>1040</v>
      </c>
    </row>
    <row r="2184" spans="1:2" ht="15.75" customHeight="1" x14ac:dyDescent="0.25">
      <c r="A2184" s="27" t="s">
        <v>1039</v>
      </c>
      <c r="B2184" s="27" t="s">
        <v>1040</v>
      </c>
    </row>
    <row r="2185" spans="1:2" ht="15.75" customHeight="1" x14ac:dyDescent="0.25">
      <c r="A2185" s="27" t="s">
        <v>1039</v>
      </c>
      <c r="B2185" s="27" t="s">
        <v>1040</v>
      </c>
    </row>
    <row r="2186" spans="1:2" ht="15.75" customHeight="1" x14ac:dyDescent="0.25">
      <c r="A2186" s="27" t="s">
        <v>1039</v>
      </c>
      <c r="B2186" s="27" t="s">
        <v>1040</v>
      </c>
    </row>
    <row r="2187" spans="1:2" ht="15.75" customHeight="1" x14ac:dyDescent="0.25">
      <c r="A2187" s="27" t="s">
        <v>1039</v>
      </c>
      <c r="B2187" s="27" t="s">
        <v>1040</v>
      </c>
    </row>
    <row r="2188" spans="1:2" ht="15.75" customHeight="1" x14ac:dyDescent="0.25">
      <c r="A2188" s="27" t="s">
        <v>1039</v>
      </c>
      <c r="B2188" s="27" t="s">
        <v>1040</v>
      </c>
    </row>
    <row r="2189" spans="1:2" ht="15.75" customHeight="1" x14ac:dyDescent="0.25">
      <c r="A2189" s="27" t="s">
        <v>1039</v>
      </c>
      <c r="B2189" s="27" t="s">
        <v>1040</v>
      </c>
    </row>
    <row r="2190" spans="1:2" ht="15.75" customHeight="1" x14ac:dyDescent="0.25">
      <c r="A2190" s="27" t="s">
        <v>1039</v>
      </c>
      <c r="B2190" s="27" t="s">
        <v>1040</v>
      </c>
    </row>
    <row r="2191" spans="1:2" ht="15.75" customHeight="1" x14ac:dyDescent="0.25">
      <c r="A2191" s="27" t="s">
        <v>1039</v>
      </c>
      <c r="B2191" s="27" t="s">
        <v>1040</v>
      </c>
    </row>
    <row r="2192" spans="1:2" ht="15.75" customHeight="1" x14ac:dyDescent="0.25">
      <c r="A2192" s="27" t="s">
        <v>1039</v>
      </c>
      <c r="B2192" s="27" t="s">
        <v>1040</v>
      </c>
    </row>
    <row r="2193" spans="1:2" ht="15.75" customHeight="1" x14ac:dyDescent="0.25">
      <c r="A2193" s="27" t="s">
        <v>1039</v>
      </c>
      <c r="B2193" s="27" t="s">
        <v>1040</v>
      </c>
    </row>
    <row r="2194" spans="1:2" ht="15.75" customHeight="1" x14ac:dyDescent="0.25">
      <c r="A2194" s="27" t="s">
        <v>1039</v>
      </c>
      <c r="B2194" s="27" t="s">
        <v>1040</v>
      </c>
    </row>
    <row r="2195" spans="1:2" ht="15.75" customHeight="1" x14ac:dyDescent="0.25">
      <c r="A2195" s="27" t="s">
        <v>1039</v>
      </c>
      <c r="B2195" s="27" t="s">
        <v>1040</v>
      </c>
    </row>
    <row r="2196" spans="1:2" ht="15.75" customHeight="1" x14ac:dyDescent="0.25">
      <c r="A2196" s="27" t="s">
        <v>1039</v>
      </c>
      <c r="B2196" s="27" t="s">
        <v>1040</v>
      </c>
    </row>
    <row r="2197" spans="1:2" ht="15.75" customHeight="1" x14ac:dyDescent="0.25">
      <c r="A2197" s="27" t="s">
        <v>1039</v>
      </c>
      <c r="B2197" s="27" t="s">
        <v>1040</v>
      </c>
    </row>
    <row r="2198" spans="1:2" ht="15.75" customHeight="1" x14ac:dyDescent="0.25">
      <c r="A2198" s="27" t="s">
        <v>1039</v>
      </c>
      <c r="B2198" s="27" t="s">
        <v>1040</v>
      </c>
    </row>
    <row r="2199" spans="1:2" ht="15.75" customHeight="1" x14ac:dyDescent="0.25">
      <c r="A2199" s="27" t="s">
        <v>1039</v>
      </c>
      <c r="B2199" s="27" t="s">
        <v>1040</v>
      </c>
    </row>
    <row r="2200" spans="1:2" ht="15.75" customHeight="1" x14ac:dyDescent="0.25">
      <c r="A2200" s="27" t="s">
        <v>1039</v>
      </c>
      <c r="B2200" s="27" t="s">
        <v>1040</v>
      </c>
    </row>
    <row r="2201" spans="1:2" ht="15.75" customHeight="1" x14ac:dyDescent="0.25">
      <c r="A2201" s="27" t="s">
        <v>1039</v>
      </c>
      <c r="B2201" s="27" t="s">
        <v>1040</v>
      </c>
    </row>
    <row r="2202" spans="1:2" ht="15.75" customHeight="1" x14ac:dyDescent="0.25">
      <c r="A2202" s="27" t="s">
        <v>1039</v>
      </c>
      <c r="B2202" s="27" t="s">
        <v>1040</v>
      </c>
    </row>
    <row r="2203" spans="1:2" ht="15.75" customHeight="1" x14ac:dyDescent="0.25">
      <c r="A2203" s="27" t="s">
        <v>1039</v>
      </c>
      <c r="B2203" s="27" t="s">
        <v>1040</v>
      </c>
    </row>
    <row r="2204" spans="1:2" ht="15.75" customHeight="1" x14ac:dyDescent="0.25">
      <c r="A2204" s="27" t="s">
        <v>1039</v>
      </c>
      <c r="B2204" s="27" t="s">
        <v>1040</v>
      </c>
    </row>
    <row r="2205" spans="1:2" ht="15.75" customHeight="1" x14ac:dyDescent="0.25">
      <c r="A2205" s="27" t="s">
        <v>1039</v>
      </c>
      <c r="B2205" s="27" t="s">
        <v>1040</v>
      </c>
    </row>
    <row r="2206" spans="1:2" ht="15.75" customHeight="1" x14ac:dyDescent="0.25">
      <c r="A2206" s="27" t="s">
        <v>1039</v>
      </c>
      <c r="B2206" s="27" t="s">
        <v>1040</v>
      </c>
    </row>
    <row r="2207" spans="1:2" ht="15.75" customHeight="1" x14ac:dyDescent="0.25">
      <c r="A2207" s="27" t="s">
        <v>1039</v>
      </c>
      <c r="B2207" s="27" t="s">
        <v>1040</v>
      </c>
    </row>
    <row r="2208" spans="1:2" ht="15.75" customHeight="1" x14ac:dyDescent="0.25">
      <c r="A2208" s="27" t="s">
        <v>1039</v>
      </c>
      <c r="B2208" s="27" t="s">
        <v>1040</v>
      </c>
    </row>
    <row r="2209" spans="1:2" ht="15.75" customHeight="1" x14ac:dyDescent="0.25">
      <c r="A2209" s="27" t="s">
        <v>1039</v>
      </c>
      <c r="B2209" s="27" t="s">
        <v>1040</v>
      </c>
    </row>
    <row r="2210" spans="1:2" ht="15.75" customHeight="1" x14ac:dyDescent="0.25">
      <c r="A2210" s="27" t="s">
        <v>1039</v>
      </c>
      <c r="B2210" s="27" t="s">
        <v>1040</v>
      </c>
    </row>
    <row r="2211" spans="1:2" ht="15.75" customHeight="1" x14ac:dyDescent="0.25">
      <c r="A2211" s="27" t="s">
        <v>1039</v>
      </c>
      <c r="B2211" s="27" t="s">
        <v>1040</v>
      </c>
    </row>
    <row r="2212" spans="1:2" ht="15.75" customHeight="1" x14ac:dyDescent="0.25">
      <c r="A2212" s="27" t="s">
        <v>1039</v>
      </c>
      <c r="B2212" s="27" t="s">
        <v>1040</v>
      </c>
    </row>
    <row r="2213" spans="1:2" ht="15.75" customHeight="1" x14ac:dyDescent="0.25">
      <c r="A2213" s="27" t="s">
        <v>1039</v>
      </c>
      <c r="B2213" s="27" t="s">
        <v>1040</v>
      </c>
    </row>
    <row r="2214" spans="1:2" ht="15.75" customHeight="1" x14ac:dyDescent="0.25">
      <c r="A2214" s="27" t="s">
        <v>1039</v>
      </c>
      <c r="B2214" s="27" t="s">
        <v>1040</v>
      </c>
    </row>
    <row r="2215" spans="1:2" ht="15.75" customHeight="1" x14ac:dyDescent="0.25">
      <c r="A2215" s="27" t="s">
        <v>1039</v>
      </c>
      <c r="B2215" s="27" t="s">
        <v>1040</v>
      </c>
    </row>
    <row r="2216" spans="1:2" ht="15.75" customHeight="1" x14ac:dyDescent="0.25">
      <c r="A2216" s="27" t="s">
        <v>1039</v>
      </c>
      <c r="B2216" s="27" t="s">
        <v>1040</v>
      </c>
    </row>
    <row r="2217" spans="1:2" ht="15.75" customHeight="1" x14ac:dyDescent="0.25">
      <c r="A2217" s="27" t="s">
        <v>1039</v>
      </c>
      <c r="B2217" s="27" t="s">
        <v>1040</v>
      </c>
    </row>
    <row r="2218" spans="1:2" ht="15.75" customHeight="1" x14ac:dyDescent="0.25">
      <c r="A2218" s="27" t="s">
        <v>1039</v>
      </c>
      <c r="B2218" s="27" t="s">
        <v>1040</v>
      </c>
    </row>
    <row r="2219" spans="1:2" ht="15.75" customHeight="1" x14ac:dyDescent="0.25">
      <c r="A2219" s="27" t="s">
        <v>1039</v>
      </c>
      <c r="B2219" s="27" t="s">
        <v>1040</v>
      </c>
    </row>
    <row r="2220" spans="1:2" ht="15.75" customHeight="1" x14ac:dyDescent="0.25">
      <c r="A2220" s="27" t="s">
        <v>1039</v>
      </c>
      <c r="B2220" s="27" t="s">
        <v>1040</v>
      </c>
    </row>
    <row r="2221" spans="1:2" ht="15.75" customHeight="1" x14ac:dyDescent="0.25">
      <c r="A2221" s="27" t="s">
        <v>1039</v>
      </c>
      <c r="B2221" s="27" t="s">
        <v>1040</v>
      </c>
    </row>
    <row r="2222" spans="1:2" ht="15.75" customHeight="1" x14ac:dyDescent="0.25">
      <c r="A2222" s="27" t="s">
        <v>1039</v>
      </c>
      <c r="B2222" s="27" t="s">
        <v>1040</v>
      </c>
    </row>
    <row r="2223" spans="1:2" ht="15.75" customHeight="1" x14ac:dyDescent="0.25">
      <c r="A2223" s="27" t="s">
        <v>1039</v>
      </c>
      <c r="B2223" s="27" t="s">
        <v>1040</v>
      </c>
    </row>
    <row r="2224" spans="1:2" ht="15.75" customHeight="1" x14ac:dyDescent="0.25">
      <c r="A2224" s="27" t="s">
        <v>1039</v>
      </c>
      <c r="B2224" s="27" t="s">
        <v>1040</v>
      </c>
    </row>
    <row r="2225" spans="1:2" ht="15.75" customHeight="1" x14ac:dyDescent="0.25">
      <c r="A2225" s="27" t="s">
        <v>1039</v>
      </c>
      <c r="B2225" s="27" t="s">
        <v>1040</v>
      </c>
    </row>
    <row r="2226" spans="1:2" ht="15.75" customHeight="1" x14ac:dyDescent="0.25">
      <c r="A2226" s="27" t="s">
        <v>1039</v>
      </c>
      <c r="B2226" s="27" t="s">
        <v>1040</v>
      </c>
    </row>
    <row r="2227" spans="1:2" ht="15.75" customHeight="1" x14ac:dyDescent="0.25">
      <c r="A2227" s="27" t="s">
        <v>1039</v>
      </c>
      <c r="B2227" s="27" t="s">
        <v>1040</v>
      </c>
    </row>
    <row r="2228" spans="1:2" ht="15.75" customHeight="1" x14ac:dyDescent="0.25">
      <c r="A2228" s="27" t="s">
        <v>1039</v>
      </c>
      <c r="B2228" s="27" t="s">
        <v>1040</v>
      </c>
    </row>
    <row r="2229" spans="1:2" ht="15.75" customHeight="1" x14ac:dyDescent="0.25">
      <c r="A2229" s="27" t="s">
        <v>1039</v>
      </c>
      <c r="B2229" s="27" t="s">
        <v>1040</v>
      </c>
    </row>
    <row r="2230" spans="1:2" ht="15.75" customHeight="1" x14ac:dyDescent="0.25">
      <c r="A2230" s="27" t="s">
        <v>1039</v>
      </c>
      <c r="B2230" s="27" t="s">
        <v>1040</v>
      </c>
    </row>
    <row r="2231" spans="1:2" ht="15.75" customHeight="1" x14ac:dyDescent="0.25">
      <c r="A2231" s="27" t="s">
        <v>1039</v>
      </c>
      <c r="B2231" s="27" t="s">
        <v>1040</v>
      </c>
    </row>
    <row r="2232" spans="1:2" ht="15.75" customHeight="1" x14ac:dyDescent="0.25">
      <c r="A2232" s="27" t="s">
        <v>1039</v>
      </c>
      <c r="B2232" s="27" t="s">
        <v>1040</v>
      </c>
    </row>
    <row r="2233" spans="1:2" ht="15.75" customHeight="1" x14ac:dyDescent="0.25">
      <c r="A2233" s="27" t="s">
        <v>1039</v>
      </c>
      <c r="B2233" s="27" t="s">
        <v>1040</v>
      </c>
    </row>
    <row r="2234" spans="1:2" ht="15.75" customHeight="1" x14ac:dyDescent="0.25">
      <c r="A2234" s="27" t="s">
        <v>1039</v>
      </c>
      <c r="B2234" s="27" t="s">
        <v>1040</v>
      </c>
    </row>
    <row r="2235" spans="1:2" ht="15.75" customHeight="1" x14ac:dyDescent="0.25">
      <c r="A2235" s="27" t="s">
        <v>1039</v>
      </c>
      <c r="B2235" s="27" t="s">
        <v>1040</v>
      </c>
    </row>
    <row r="2236" spans="1:2" ht="15.75" customHeight="1" x14ac:dyDescent="0.25">
      <c r="A2236" s="27" t="s">
        <v>1039</v>
      </c>
      <c r="B2236" s="27" t="s">
        <v>1040</v>
      </c>
    </row>
    <row r="2237" spans="1:2" ht="15.75" customHeight="1" x14ac:dyDescent="0.25">
      <c r="A2237" s="27" t="s">
        <v>1039</v>
      </c>
      <c r="B2237" s="27" t="s">
        <v>1040</v>
      </c>
    </row>
    <row r="2238" spans="1:2" ht="15.75" customHeight="1" x14ac:dyDescent="0.25">
      <c r="A2238" s="27" t="s">
        <v>1039</v>
      </c>
      <c r="B2238" s="27" t="s">
        <v>1040</v>
      </c>
    </row>
    <row r="2239" spans="1:2" ht="15.75" customHeight="1" x14ac:dyDescent="0.25">
      <c r="A2239" s="27" t="s">
        <v>1039</v>
      </c>
      <c r="B2239" s="27" t="s">
        <v>1040</v>
      </c>
    </row>
    <row r="2240" spans="1:2" ht="15.75" customHeight="1" x14ac:dyDescent="0.25">
      <c r="A2240" s="27" t="s">
        <v>1039</v>
      </c>
      <c r="B2240" s="27" t="s">
        <v>1040</v>
      </c>
    </row>
    <row r="2241" spans="1:2" ht="15.75" customHeight="1" x14ac:dyDescent="0.25">
      <c r="A2241" s="27" t="s">
        <v>1039</v>
      </c>
      <c r="B2241" s="27" t="s">
        <v>1040</v>
      </c>
    </row>
    <row r="2242" spans="1:2" ht="15.75" customHeight="1" x14ac:dyDescent="0.25">
      <c r="A2242" s="27" t="s">
        <v>1039</v>
      </c>
      <c r="B2242" s="27" t="s">
        <v>1040</v>
      </c>
    </row>
    <row r="2243" spans="1:2" ht="15.75" customHeight="1" x14ac:dyDescent="0.25">
      <c r="A2243" s="27" t="s">
        <v>1039</v>
      </c>
      <c r="B2243" s="27" t="s">
        <v>1040</v>
      </c>
    </row>
    <row r="2244" spans="1:2" ht="15.75" customHeight="1" x14ac:dyDescent="0.25">
      <c r="A2244" s="27" t="s">
        <v>1039</v>
      </c>
      <c r="B2244" s="27" t="s">
        <v>1040</v>
      </c>
    </row>
    <row r="2245" spans="1:2" ht="15.75" customHeight="1" x14ac:dyDescent="0.25">
      <c r="A2245" s="27" t="s">
        <v>1039</v>
      </c>
      <c r="B2245" s="27" t="s">
        <v>1040</v>
      </c>
    </row>
    <row r="2246" spans="1:2" ht="15.75" customHeight="1" x14ac:dyDescent="0.25">
      <c r="A2246" s="27" t="s">
        <v>1039</v>
      </c>
      <c r="B2246" s="27" t="s">
        <v>1040</v>
      </c>
    </row>
    <row r="2247" spans="1:2" ht="15.75" customHeight="1" x14ac:dyDescent="0.25">
      <c r="A2247" s="27" t="s">
        <v>1039</v>
      </c>
      <c r="B2247" s="27" t="s">
        <v>1040</v>
      </c>
    </row>
    <row r="2248" spans="1:2" ht="15.75" customHeight="1" x14ac:dyDescent="0.25">
      <c r="A2248" s="27" t="s">
        <v>1039</v>
      </c>
      <c r="B2248" s="27" t="s">
        <v>1040</v>
      </c>
    </row>
    <row r="2249" spans="1:2" ht="15.75" customHeight="1" x14ac:dyDescent="0.25">
      <c r="A2249" s="27" t="s">
        <v>1039</v>
      </c>
      <c r="B2249" s="27" t="s">
        <v>1040</v>
      </c>
    </row>
    <row r="2250" spans="1:2" ht="15.75" customHeight="1" x14ac:dyDescent="0.25">
      <c r="A2250" s="27" t="s">
        <v>1039</v>
      </c>
      <c r="B2250" s="27" t="s">
        <v>1040</v>
      </c>
    </row>
    <row r="2251" spans="1:2" ht="15.75" customHeight="1" x14ac:dyDescent="0.25">
      <c r="A2251" s="27" t="s">
        <v>1039</v>
      </c>
      <c r="B2251" s="27" t="s">
        <v>1040</v>
      </c>
    </row>
    <row r="2252" spans="1:2" ht="15.75" customHeight="1" x14ac:dyDescent="0.25">
      <c r="A2252" s="27" t="s">
        <v>1039</v>
      </c>
      <c r="B2252" s="27" t="s">
        <v>1040</v>
      </c>
    </row>
    <row r="2253" spans="1:2" ht="15.75" customHeight="1" x14ac:dyDescent="0.25">
      <c r="A2253" s="27" t="s">
        <v>1039</v>
      </c>
      <c r="B2253" s="27" t="s">
        <v>1040</v>
      </c>
    </row>
    <row r="2254" spans="1:2" ht="15.75" customHeight="1" x14ac:dyDescent="0.25">
      <c r="A2254" s="27" t="s">
        <v>1039</v>
      </c>
      <c r="B2254" s="27" t="s">
        <v>1040</v>
      </c>
    </row>
    <row r="2255" spans="1:2" ht="15.75" customHeight="1" x14ac:dyDescent="0.25">
      <c r="A2255" s="27" t="s">
        <v>1039</v>
      </c>
      <c r="B2255" s="27" t="s">
        <v>1040</v>
      </c>
    </row>
    <row r="2256" spans="1:2" ht="15.75" customHeight="1" x14ac:dyDescent="0.25">
      <c r="A2256" s="27" t="s">
        <v>1039</v>
      </c>
      <c r="B2256" s="27" t="s">
        <v>1040</v>
      </c>
    </row>
    <row r="2257" spans="1:2" ht="15.75" customHeight="1" x14ac:dyDescent="0.25">
      <c r="A2257" s="27" t="s">
        <v>1039</v>
      </c>
      <c r="B2257" s="27" t="s">
        <v>1040</v>
      </c>
    </row>
    <row r="2258" spans="1:2" ht="15.75" customHeight="1" x14ac:dyDescent="0.25">
      <c r="A2258" s="27" t="s">
        <v>1039</v>
      </c>
      <c r="B2258" s="27" t="s">
        <v>1040</v>
      </c>
    </row>
    <row r="2259" spans="1:2" ht="15.75" customHeight="1" x14ac:dyDescent="0.25">
      <c r="A2259" s="27" t="s">
        <v>1039</v>
      </c>
      <c r="B2259" s="27" t="s">
        <v>1040</v>
      </c>
    </row>
    <row r="2260" spans="1:2" ht="15.75" customHeight="1" x14ac:dyDescent="0.25">
      <c r="A2260" s="27" t="s">
        <v>1039</v>
      </c>
      <c r="B2260" s="27" t="s">
        <v>1040</v>
      </c>
    </row>
    <row r="2261" spans="1:2" ht="15.75" customHeight="1" x14ac:dyDescent="0.25">
      <c r="A2261" s="27" t="s">
        <v>1039</v>
      </c>
      <c r="B2261" s="27" t="s">
        <v>1040</v>
      </c>
    </row>
    <row r="2262" spans="1:2" ht="15.75" customHeight="1" x14ac:dyDescent="0.25">
      <c r="A2262" s="27" t="s">
        <v>1039</v>
      </c>
      <c r="B2262" s="27" t="s">
        <v>1040</v>
      </c>
    </row>
    <row r="2263" spans="1:2" ht="15.75" customHeight="1" x14ac:dyDescent="0.25">
      <c r="A2263" s="27" t="s">
        <v>1039</v>
      </c>
      <c r="B2263" s="27" t="s">
        <v>1040</v>
      </c>
    </row>
    <row r="2264" spans="1:2" ht="15.75" customHeight="1" x14ac:dyDescent="0.25">
      <c r="A2264" s="27" t="s">
        <v>1039</v>
      </c>
      <c r="B2264" s="27" t="s">
        <v>1040</v>
      </c>
    </row>
    <row r="2265" spans="1:2" ht="15.75" customHeight="1" x14ac:dyDescent="0.25">
      <c r="A2265" s="27" t="s">
        <v>1039</v>
      </c>
      <c r="B2265" s="27" t="s">
        <v>1040</v>
      </c>
    </row>
    <row r="2266" spans="1:2" ht="15.75" customHeight="1" x14ac:dyDescent="0.25">
      <c r="A2266" s="27" t="s">
        <v>1039</v>
      </c>
      <c r="B2266" s="27" t="s">
        <v>1040</v>
      </c>
    </row>
    <row r="2267" spans="1:2" ht="15.75" customHeight="1" x14ac:dyDescent="0.25">
      <c r="A2267" s="27" t="s">
        <v>1039</v>
      </c>
      <c r="B2267" s="27" t="s">
        <v>1040</v>
      </c>
    </row>
    <row r="2268" spans="1:2" ht="15.75" customHeight="1" x14ac:dyDescent="0.25">
      <c r="A2268" s="27" t="s">
        <v>1039</v>
      </c>
      <c r="B2268" s="27" t="s">
        <v>1040</v>
      </c>
    </row>
    <row r="2269" spans="1:2" ht="15.75" customHeight="1" x14ac:dyDescent="0.25">
      <c r="A2269" s="27" t="s">
        <v>1039</v>
      </c>
      <c r="B2269" s="27" t="s">
        <v>1040</v>
      </c>
    </row>
    <row r="2270" spans="1:2" ht="15.75" customHeight="1" x14ac:dyDescent="0.25">
      <c r="A2270" s="27" t="s">
        <v>1039</v>
      </c>
      <c r="B2270" s="27" t="s">
        <v>1040</v>
      </c>
    </row>
    <row r="2271" spans="1:2" ht="15.75" customHeight="1" x14ac:dyDescent="0.25">
      <c r="A2271" s="27" t="s">
        <v>1039</v>
      </c>
      <c r="B2271" s="27" t="s">
        <v>1040</v>
      </c>
    </row>
    <row r="2272" spans="1:2" ht="15.75" customHeight="1" x14ac:dyDescent="0.25">
      <c r="A2272" s="27" t="s">
        <v>1039</v>
      </c>
      <c r="B2272" s="27" t="s">
        <v>1040</v>
      </c>
    </row>
    <row r="2273" spans="1:2" ht="15.75" customHeight="1" x14ac:dyDescent="0.25">
      <c r="A2273" s="27" t="s">
        <v>1039</v>
      </c>
      <c r="B2273" s="27" t="s">
        <v>1040</v>
      </c>
    </row>
    <row r="2274" spans="1:2" ht="15.75" customHeight="1" x14ac:dyDescent="0.25">
      <c r="A2274" s="27" t="s">
        <v>1039</v>
      </c>
      <c r="B2274" s="27" t="s">
        <v>1040</v>
      </c>
    </row>
    <row r="2275" spans="1:2" ht="15.75" customHeight="1" x14ac:dyDescent="0.25">
      <c r="A2275" s="27" t="s">
        <v>1039</v>
      </c>
      <c r="B2275" s="27" t="s">
        <v>1040</v>
      </c>
    </row>
    <row r="2276" spans="1:2" ht="15.75" customHeight="1" x14ac:dyDescent="0.25">
      <c r="A2276" s="27" t="s">
        <v>1039</v>
      </c>
      <c r="B2276" s="27" t="s">
        <v>1040</v>
      </c>
    </row>
    <row r="2277" spans="1:2" ht="15.75" customHeight="1" x14ac:dyDescent="0.25">
      <c r="A2277" s="27" t="s">
        <v>1039</v>
      </c>
      <c r="B2277" s="27" t="s">
        <v>1040</v>
      </c>
    </row>
    <row r="2278" spans="1:2" ht="15.75" customHeight="1" x14ac:dyDescent="0.25">
      <c r="A2278" s="27" t="s">
        <v>1039</v>
      </c>
      <c r="B2278" s="27" t="s">
        <v>1040</v>
      </c>
    </row>
    <row r="2279" spans="1:2" ht="15.75" customHeight="1" x14ac:dyDescent="0.25">
      <c r="A2279" s="27" t="s">
        <v>1039</v>
      </c>
      <c r="B2279" s="27" t="s">
        <v>1040</v>
      </c>
    </row>
    <row r="2280" spans="1:2" ht="15.75" customHeight="1" x14ac:dyDescent="0.25">
      <c r="A2280" s="27" t="s">
        <v>1039</v>
      </c>
      <c r="B2280" s="27" t="s">
        <v>1040</v>
      </c>
    </row>
    <row r="2281" spans="1:2" ht="15.75" customHeight="1" x14ac:dyDescent="0.25">
      <c r="A2281" s="27" t="s">
        <v>1039</v>
      </c>
      <c r="B2281" s="27" t="s">
        <v>1040</v>
      </c>
    </row>
    <row r="2282" spans="1:2" ht="15.75" customHeight="1" x14ac:dyDescent="0.25">
      <c r="A2282" s="27" t="s">
        <v>1039</v>
      </c>
      <c r="B2282" s="27" t="s">
        <v>1040</v>
      </c>
    </row>
    <row r="2283" spans="1:2" ht="15.75" customHeight="1" x14ac:dyDescent="0.25">
      <c r="A2283" s="27" t="s">
        <v>1039</v>
      </c>
      <c r="B2283" s="27" t="s">
        <v>1040</v>
      </c>
    </row>
    <row r="2284" spans="1:2" ht="15.75" customHeight="1" x14ac:dyDescent="0.25">
      <c r="A2284" s="27" t="s">
        <v>1039</v>
      </c>
      <c r="B2284" s="27" t="s">
        <v>1040</v>
      </c>
    </row>
    <row r="2285" spans="1:2" ht="15.75" customHeight="1" x14ac:dyDescent="0.25">
      <c r="A2285" s="27" t="s">
        <v>1039</v>
      </c>
      <c r="B2285" s="27" t="s">
        <v>1040</v>
      </c>
    </row>
    <row r="2286" spans="1:2" ht="15.75" customHeight="1" x14ac:dyDescent="0.25">
      <c r="A2286" s="27" t="s">
        <v>1039</v>
      </c>
      <c r="B2286" s="27" t="s">
        <v>1040</v>
      </c>
    </row>
    <row r="2287" spans="1:2" ht="15.75" customHeight="1" x14ac:dyDescent="0.25">
      <c r="A2287" s="27" t="s">
        <v>1039</v>
      </c>
      <c r="B2287" s="27" t="s">
        <v>1040</v>
      </c>
    </row>
    <row r="2288" spans="1:2" ht="15.75" customHeight="1" x14ac:dyDescent="0.25">
      <c r="A2288" s="27" t="s">
        <v>1039</v>
      </c>
      <c r="B2288" s="27" t="s">
        <v>1040</v>
      </c>
    </row>
    <row r="2289" spans="1:2" ht="15.75" customHeight="1" x14ac:dyDescent="0.25">
      <c r="A2289" s="27" t="s">
        <v>1039</v>
      </c>
      <c r="B2289" s="27" t="s">
        <v>1040</v>
      </c>
    </row>
    <row r="2290" spans="1:2" ht="15.75" customHeight="1" x14ac:dyDescent="0.25">
      <c r="A2290" s="27" t="s">
        <v>1039</v>
      </c>
      <c r="B2290" s="27" t="s">
        <v>1040</v>
      </c>
    </row>
    <row r="2291" spans="1:2" ht="15.75" customHeight="1" x14ac:dyDescent="0.25">
      <c r="A2291" s="27" t="s">
        <v>1039</v>
      </c>
      <c r="B2291" s="27" t="s">
        <v>1040</v>
      </c>
    </row>
    <row r="2292" spans="1:2" ht="15.75" customHeight="1" x14ac:dyDescent="0.25">
      <c r="A2292" s="27" t="s">
        <v>1039</v>
      </c>
      <c r="B2292" s="27" t="s">
        <v>1040</v>
      </c>
    </row>
    <row r="2293" spans="1:2" ht="15.75" customHeight="1" x14ac:dyDescent="0.25">
      <c r="A2293" s="27" t="s">
        <v>1039</v>
      </c>
      <c r="B2293" s="27" t="s">
        <v>1040</v>
      </c>
    </row>
    <row r="2294" spans="1:2" ht="15.75" customHeight="1" x14ac:dyDescent="0.25">
      <c r="A2294" s="27" t="s">
        <v>1039</v>
      </c>
      <c r="B2294" s="27" t="s">
        <v>1040</v>
      </c>
    </row>
    <row r="2295" spans="1:2" ht="15.75" customHeight="1" x14ac:dyDescent="0.25">
      <c r="A2295" s="27" t="s">
        <v>1039</v>
      </c>
      <c r="B2295" s="27" t="s">
        <v>1040</v>
      </c>
    </row>
    <row r="2296" spans="1:2" ht="15.75" customHeight="1" x14ac:dyDescent="0.25">
      <c r="A2296" s="27" t="s">
        <v>1039</v>
      </c>
      <c r="B2296" s="27" t="s">
        <v>1040</v>
      </c>
    </row>
    <row r="2297" spans="1:2" ht="15.75" customHeight="1" x14ac:dyDescent="0.25">
      <c r="A2297" s="27" t="s">
        <v>1039</v>
      </c>
      <c r="B2297" s="27" t="s">
        <v>1040</v>
      </c>
    </row>
    <row r="2298" spans="1:2" ht="15.75" customHeight="1" x14ac:dyDescent="0.25">
      <c r="A2298" s="27" t="s">
        <v>1039</v>
      </c>
      <c r="B2298" s="27" t="s">
        <v>1040</v>
      </c>
    </row>
    <row r="2299" spans="1:2" ht="15.75" customHeight="1" x14ac:dyDescent="0.25">
      <c r="A2299" s="27" t="s">
        <v>1039</v>
      </c>
      <c r="B2299" s="27" t="s">
        <v>1040</v>
      </c>
    </row>
    <row r="2300" spans="1:2" ht="15.75" customHeight="1" x14ac:dyDescent="0.25">
      <c r="A2300" s="27" t="s">
        <v>1039</v>
      </c>
      <c r="B2300" s="27" t="s">
        <v>1040</v>
      </c>
    </row>
    <row r="2301" spans="1:2" ht="15.75" customHeight="1" x14ac:dyDescent="0.25">
      <c r="A2301" s="27" t="s">
        <v>1039</v>
      </c>
      <c r="B2301" s="27" t="s">
        <v>1040</v>
      </c>
    </row>
    <row r="2302" spans="1:2" ht="15.75" customHeight="1" x14ac:dyDescent="0.25">
      <c r="A2302" s="27" t="s">
        <v>1039</v>
      </c>
      <c r="B2302" s="27" t="s">
        <v>1040</v>
      </c>
    </row>
    <row r="2303" spans="1:2" ht="15.75" customHeight="1" x14ac:dyDescent="0.25">
      <c r="A2303" s="27" t="s">
        <v>1039</v>
      </c>
      <c r="B2303" s="27" t="s">
        <v>1040</v>
      </c>
    </row>
    <row r="2304" spans="1:2" ht="15.75" customHeight="1" x14ac:dyDescent="0.25">
      <c r="A2304" s="27" t="s">
        <v>1039</v>
      </c>
      <c r="B2304" s="27" t="s">
        <v>1040</v>
      </c>
    </row>
    <row r="2305" spans="1:2" ht="15.75" customHeight="1" x14ac:dyDescent="0.25">
      <c r="A2305" s="27" t="s">
        <v>1039</v>
      </c>
      <c r="B2305" s="27" t="s">
        <v>1040</v>
      </c>
    </row>
    <row r="2306" spans="1:2" ht="15.75" customHeight="1" x14ac:dyDescent="0.25">
      <c r="A2306" s="27" t="s">
        <v>1039</v>
      </c>
      <c r="B2306" s="27" t="s">
        <v>1040</v>
      </c>
    </row>
    <row r="2307" spans="1:2" ht="15.75" customHeight="1" x14ac:dyDescent="0.25">
      <c r="A2307" s="27" t="s">
        <v>1039</v>
      </c>
      <c r="B2307" s="27" t="s">
        <v>1040</v>
      </c>
    </row>
    <row r="2308" spans="1:2" ht="15.75" customHeight="1" x14ac:dyDescent="0.25">
      <c r="A2308" s="27" t="s">
        <v>1039</v>
      </c>
      <c r="B2308" s="27" t="s">
        <v>1040</v>
      </c>
    </row>
    <row r="2309" spans="1:2" ht="15.75" customHeight="1" x14ac:dyDescent="0.25">
      <c r="A2309" s="27" t="s">
        <v>1039</v>
      </c>
      <c r="B2309" s="27" t="s">
        <v>1040</v>
      </c>
    </row>
    <row r="2310" spans="1:2" ht="15.75" customHeight="1" x14ac:dyDescent="0.25">
      <c r="A2310" s="27" t="s">
        <v>1039</v>
      </c>
      <c r="B2310" s="27" t="s">
        <v>1040</v>
      </c>
    </row>
    <row r="2311" spans="1:2" ht="15.75" customHeight="1" x14ac:dyDescent="0.25">
      <c r="A2311" s="27" t="s">
        <v>1039</v>
      </c>
      <c r="B2311" s="27" t="s">
        <v>1040</v>
      </c>
    </row>
    <row r="2312" spans="1:2" ht="15.75" customHeight="1" x14ac:dyDescent="0.25">
      <c r="A2312" s="27" t="s">
        <v>1039</v>
      </c>
      <c r="B2312" s="27" t="s">
        <v>1040</v>
      </c>
    </row>
    <row r="2313" spans="1:2" ht="15.75" customHeight="1" x14ac:dyDescent="0.25">
      <c r="A2313" s="27" t="s">
        <v>1039</v>
      </c>
      <c r="B2313" s="27" t="s">
        <v>1040</v>
      </c>
    </row>
    <row r="2314" spans="1:2" ht="15.75" customHeight="1" x14ac:dyDescent="0.25">
      <c r="A2314" s="27" t="s">
        <v>1039</v>
      </c>
      <c r="B2314" s="27" t="s">
        <v>1040</v>
      </c>
    </row>
    <row r="2315" spans="1:2" ht="15.75" customHeight="1" x14ac:dyDescent="0.25">
      <c r="A2315" s="27" t="s">
        <v>1039</v>
      </c>
      <c r="B2315" s="27" t="s">
        <v>1040</v>
      </c>
    </row>
    <row r="2316" spans="1:2" ht="15.75" customHeight="1" x14ac:dyDescent="0.25">
      <c r="A2316" s="27" t="s">
        <v>1039</v>
      </c>
      <c r="B2316" s="27" t="s">
        <v>1040</v>
      </c>
    </row>
    <row r="2317" spans="1:2" ht="15.75" customHeight="1" x14ac:dyDescent="0.25">
      <c r="A2317" s="27" t="s">
        <v>1039</v>
      </c>
      <c r="B2317" s="27" t="s">
        <v>1040</v>
      </c>
    </row>
    <row r="2318" spans="1:2" ht="15.75" customHeight="1" x14ac:dyDescent="0.25">
      <c r="A2318" s="27" t="s">
        <v>1039</v>
      </c>
      <c r="B2318" s="27" t="s">
        <v>1040</v>
      </c>
    </row>
    <row r="2319" spans="1:2" ht="15.75" customHeight="1" x14ac:dyDescent="0.25">
      <c r="A2319" s="27" t="s">
        <v>1039</v>
      </c>
      <c r="B2319" s="27" t="s">
        <v>1040</v>
      </c>
    </row>
    <row r="2320" spans="1:2" ht="15.75" customHeight="1" x14ac:dyDescent="0.25">
      <c r="A2320" s="27" t="s">
        <v>1039</v>
      </c>
      <c r="B2320" s="27" t="s">
        <v>1040</v>
      </c>
    </row>
    <row r="2321" spans="1:2" ht="15.75" customHeight="1" x14ac:dyDescent="0.25">
      <c r="A2321" s="27" t="s">
        <v>1039</v>
      </c>
      <c r="B2321" s="27" t="s">
        <v>1040</v>
      </c>
    </row>
    <row r="2322" spans="1:2" ht="15.75" customHeight="1" x14ac:dyDescent="0.25">
      <c r="A2322" s="27" t="s">
        <v>1039</v>
      </c>
      <c r="B2322" s="27" t="s">
        <v>1040</v>
      </c>
    </row>
    <row r="2323" spans="1:2" ht="15.75" customHeight="1" x14ac:dyDescent="0.25">
      <c r="A2323" s="27" t="s">
        <v>1039</v>
      </c>
      <c r="B2323" s="27" t="s">
        <v>1040</v>
      </c>
    </row>
    <row r="2324" spans="1:2" ht="15.75" customHeight="1" x14ac:dyDescent="0.25">
      <c r="A2324" s="27" t="s">
        <v>1039</v>
      </c>
      <c r="B2324" s="27" t="s">
        <v>1040</v>
      </c>
    </row>
    <row r="2325" spans="1:2" ht="15.75" customHeight="1" x14ac:dyDescent="0.25">
      <c r="A2325" s="27" t="s">
        <v>1039</v>
      </c>
      <c r="B2325" s="27" t="s">
        <v>1040</v>
      </c>
    </row>
    <row r="2326" spans="1:2" ht="15.75" customHeight="1" x14ac:dyDescent="0.25">
      <c r="A2326" s="27" t="s">
        <v>1039</v>
      </c>
      <c r="B2326" s="27" t="s">
        <v>1040</v>
      </c>
    </row>
    <row r="2327" spans="1:2" ht="15.75" customHeight="1" x14ac:dyDescent="0.25">
      <c r="A2327" s="27" t="s">
        <v>1039</v>
      </c>
      <c r="B2327" s="27" t="s">
        <v>1040</v>
      </c>
    </row>
    <row r="2328" spans="1:2" ht="15.75" customHeight="1" x14ac:dyDescent="0.25">
      <c r="A2328" s="27" t="s">
        <v>1039</v>
      </c>
      <c r="B2328" s="27" t="s">
        <v>1040</v>
      </c>
    </row>
    <row r="2329" spans="1:2" ht="15.75" customHeight="1" x14ac:dyDescent="0.25">
      <c r="A2329" s="27" t="s">
        <v>1039</v>
      </c>
      <c r="B2329" s="27" t="s">
        <v>1040</v>
      </c>
    </row>
    <row r="2330" spans="1:2" ht="15.75" customHeight="1" x14ac:dyDescent="0.25">
      <c r="A2330" s="27" t="s">
        <v>1039</v>
      </c>
      <c r="B2330" s="27" t="s">
        <v>1040</v>
      </c>
    </row>
    <row r="2331" spans="1:2" ht="15.75" customHeight="1" x14ac:dyDescent="0.25">
      <c r="A2331" s="27" t="s">
        <v>1039</v>
      </c>
      <c r="B2331" s="27" t="s">
        <v>1040</v>
      </c>
    </row>
    <row r="2332" spans="1:2" ht="15.75" customHeight="1" x14ac:dyDescent="0.25">
      <c r="A2332" s="27" t="s">
        <v>1039</v>
      </c>
      <c r="B2332" s="27" t="s">
        <v>1040</v>
      </c>
    </row>
    <row r="2333" spans="1:2" ht="15.75" customHeight="1" x14ac:dyDescent="0.25">
      <c r="A2333" s="27" t="s">
        <v>1039</v>
      </c>
      <c r="B2333" s="27" t="s">
        <v>1040</v>
      </c>
    </row>
    <row r="2334" spans="1:2" ht="15.75" customHeight="1" x14ac:dyDescent="0.25">
      <c r="A2334" s="27" t="s">
        <v>1039</v>
      </c>
      <c r="B2334" s="27" t="s">
        <v>1040</v>
      </c>
    </row>
    <row r="2335" spans="1:2" ht="15.75" customHeight="1" x14ac:dyDescent="0.25">
      <c r="A2335" s="27" t="s">
        <v>1039</v>
      </c>
      <c r="B2335" s="27" t="s">
        <v>1040</v>
      </c>
    </row>
    <row r="2336" spans="1:2" ht="15.75" customHeight="1" x14ac:dyDescent="0.25">
      <c r="A2336" s="27" t="s">
        <v>1039</v>
      </c>
      <c r="B2336" s="27" t="s">
        <v>1040</v>
      </c>
    </row>
    <row r="2337" spans="1:2" ht="15.75" customHeight="1" x14ac:dyDescent="0.25">
      <c r="A2337" s="27" t="s">
        <v>1039</v>
      </c>
      <c r="B2337" s="27" t="s">
        <v>1040</v>
      </c>
    </row>
    <row r="2338" spans="1:2" ht="15.75" customHeight="1" x14ac:dyDescent="0.25">
      <c r="A2338" s="27" t="s">
        <v>1039</v>
      </c>
      <c r="B2338" s="27" t="s">
        <v>1040</v>
      </c>
    </row>
    <row r="2339" spans="1:2" ht="15.75" customHeight="1" x14ac:dyDescent="0.25">
      <c r="A2339" s="27" t="s">
        <v>1039</v>
      </c>
      <c r="B2339" s="27" t="s">
        <v>1040</v>
      </c>
    </row>
    <row r="2340" spans="1:2" ht="15.75" customHeight="1" x14ac:dyDescent="0.25">
      <c r="A2340" s="27" t="s">
        <v>1039</v>
      </c>
      <c r="B2340" s="27" t="s">
        <v>1040</v>
      </c>
    </row>
    <row r="2341" spans="1:2" ht="15.75" customHeight="1" x14ac:dyDescent="0.25">
      <c r="A2341" s="27" t="s">
        <v>1039</v>
      </c>
      <c r="B2341" s="27" t="s">
        <v>1040</v>
      </c>
    </row>
    <row r="2342" spans="1:2" ht="15.75" customHeight="1" x14ac:dyDescent="0.25">
      <c r="A2342" s="27" t="s">
        <v>1039</v>
      </c>
      <c r="B2342" s="27" t="s">
        <v>1040</v>
      </c>
    </row>
    <row r="2343" spans="1:2" ht="15.75" customHeight="1" x14ac:dyDescent="0.25">
      <c r="A2343" s="27" t="s">
        <v>1039</v>
      </c>
      <c r="B2343" s="27" t="s">
        <v>1040</v>
      </c>
    </row>
    <row r="2344" spans="1:2" ht="15.75" customHeight="1" x14ac:dyDescent="0.25">
      <c r="A2344" s="27" t="s">
        <v>1039</v>
      </c>
      <c r="B2344" s="27" t="s">
        <v>1040</v>
      </c>
    </row>
    <row r="2345" spans="1:2" ht="15.75" customHeight="1" x14ac:dyDescent="0.25">
      <c r="A2345" s="27" t="s">
        <v>1039</v>
      </c>
      <c r="B2345" s="27" t="s">
        <v>1040</v>
      </c>
    </row>
    <row r="2346" spans="1:2" ht="15.75" customHeight="1" x14ac:dyDescent="0.25">
      <c r="A2346" s="27" t="s">
        <v>1039</v>
      </c>
      <c r="B2346" s="27" t="s">
        <v>1040</v>
      </c>
    </row>
    <row r="2347" spans="1:2" ht="15.75" customHeight="1" x14ac:dyDescent="0.25">
      <c r="A2347" s="27" t="s">
        <v>1039</v>
      </c>
      <c r="B2347" s="27" t="s">
        <v>1040</v>
      </c>
    </row>
    <row r="2348" spans="1:2" ht="15.75" customHeight="1" x14ac:dyDescent="0.25">
      <c r="A2348" s="27" t="s">
        <v>1039</v>
      </c>
      <c r="B2348" s="27" t="s">
        <v>1040</v>
      </c>
    </row>
    <row r="2349" spans="1:2" ht="15.75" customHeight="1" x14ac:dyDescent="0.25">
      <c r="A2349" s="27" t="s">
        <v>1039</v>
      </c>
      <c r="B2349" s="27" t="s">
        <v>1040</v>
      </c>
    </row>
    <row r="2350" spans="1:2" ht="15.75" customHeight="1" x14ac:dyDescent="0.25">
      <c r="A2350" s="27" t="s">
        <v>1039</v>
      </c>
      <c r="B2350" s="27" t="s">
        <v>1040</v>
      </c>
    </row>
    <row r="2351" spans="1:2" ht="15.75" customHeight="1" x14ac:dyDescent="0.25">
      <c r="A2351" s="27" t="s">
        <v>1041</v>
      </c>
      <c r="B2351" s="27" t="s">
        <v>1042</v>
      </c>
    </row>
    <row r="2352" spans="1:2" ht="15.75" customHeight="1" x14ac:dyDescent="0.25">
      <c r="A2352" s="27" t="s">
        <v>1041</v>
      </c>
      <c r="B2352" s="27" t="s">
        <v>1042</v>
      </c>
    </row>
    <row r="2353" spans="1:2" ht="15.75" customHeight="1" x14ac:dyDescent="0.25">
      <c r="A2353" s="27" t="s">
        <v>1041</v>
      </c>
      <c r="B2353" s="27" t="s">
        <v>1042</v>
      </c>
    </row>
    <row r="2354" spans="1:2" ht="15.75" customHeight="1" x14ac:dyDescent="0.25">
      <c r="A2354" s="27" t="s">
        <v>1041</v>
      </c>
      <c r="B2354" s="27" t="s">
        <v>1042</v>
      </c>
    </row>
    <row r="2355" spans="1:2" ht="15.75" customHeight="1" x14ac:dyDescent="0.25">
      <c r="A2355" s="27" t="s">
        <v>1041</v>
      </c>
      <c r="B2355" s="27" t="s">
        <v>1042</v>
      </c>
    </row>
    <row r="2356" spans="1:2" ht="15.75" customHeight="1" x14ac:dyDescent="0.25">
      <c r="A2356" s="27" t="s">
        <v>1041</v>
      </c>
      <c r="B2356" s="27" t="s">
        <v>1042</v>
      </c>
    </row>
    <row r="2357" spans="1:2" ht="15.75" customHeight="1" x14ac:dyDescent="0.25">
      <c r="A2357" s="27" t="s">
        <v>1041</v>
      </c>
      <c r="B2357" s="27" t="s">
        <v>1042</v>
      </c>
    </row>
    <row r="2358" spans="1:2" ht="15.75" customHeight="1" x14ac:dyDescent="0.25">
      <c r="A2358" s="27" t="s">
        <v>1041</v>
      </c>
      <c r="B2358" s="27" t="s">
        <v>1042</v>
      </c>
    </row>
    <row r="2359" spans="1:2" ht="15.75" customHeight="1" x14ac:dyDescent="0.25">
      <c r="A2359" s="27" t="s">
        <v>1041</v>
      </c>
      <c r="B2359" s="27" t="s">
        <v>1042</v>
      </c>
    </row>
    <row r="2360" spans="1:2" ht="15.75" customHeight="1" x14ac:dyDescent="0.25">
      <c r="A2360" s="27" t="s">
        <v>1041</v>
      </c>
      <c r="B2360" s="27" t="s">
        <v>1042</v>
      </c>
    </row>
    <row r="2361" spans="1:2" ht="15.75" customHeight="1" x14ac:dyDescent="0.25">
      <c r="A2361" s="27" t="s">
        <v>1041</v>
      </c>
      <c r="B2361" s="27" t="s">
        <v>1042</v>
      </c>
    </row>
    <row r="2362" spans="1:2" ht="15.75" customHeight="1" x14ac:dyDescent="0.25">
      <c r="A2362" s="27" t="s">
        <v>1043</v>
      </c>
      <c r="B2362" s="27" t="s">
        <v>1044</v>
      </c>
    </row>
    <row r="2363" spans="1:2" ht="15.75" customHeight="1" x14ac:dyDescent="0.25">
      <c r="A2363" s="27" t="s">
        <v>1043</v>
      </c>
      <c r="B2363" s="27" t="s">
        <v>1044</v>
      </c>
    </row>
    <row r="2364" spans="1:2" ht="15.75" customHeight="1" x14ac:dyDescent="0.25">
      <c r="A2364" s="27" t="s">
        <v>1043</v>
      </c>
      <c r="B2364" s="27" t="s">
        <v>1044</v>
      </c>
    </row>
    <row r="2365" spans="1:2" ht="15.75" customHeight="1" x14ac:dyDescent="0.25">
      <c r="A2365" s="27" t="s">
        <v>1043</v>
      </c>
      <c r="B2365" s="27" t="s">
        <v>1044</v>
      </c>
    </row>
    <row r="2366" spans="1:2" ht="15.75" customHeight="1" x14ac:dyDescent="0.25">
      <c r="A2366" s="27" t="s">
        <v>1043</v>
      </c>
      <c r="B2366" s="27" t="s">
        <v>1044</v>
      </c>
    </row>
    <row r="2367" spans="1:2" ht="15.75" customHeight="1" x14ac:dyDescent="0.25">
      <c r="A2367" s="27" t="s">
        <v>1045</v>
      </c>
      <c r="B2367" s="27" t="s">
        <v>1046</v>
      </c>
    </row>
    <row r="2368" spans="1:2" ht="15.75" customHeight="1" x14ac:dyDescent="0.25">
      <c r="A2368" s="27" t="s">
        <v>1045</v>
      </c>
      <c r="B2368" s="27" t="s">
        <v>1046</v>
      </c>
    </row>
    <row r="2369" spans="1:2" ht="15.75" customHeight="1" x14ac:dyDescent="0.25">
      <c r="A2369" s="27" t="s">
        <v>1045</v>
      </c>
      <c r="B2369" s="27" t="s">
        <v>1046</v>
      </c>
    </row>
    <row r="2370" spans="1:2" ht="15.75" customHeight="1" x14ac:dyDescent="0.25">
      <c r="A2370" s="27" t="s">
        <v>1045</v>
      </c>
      <c r="B2370" s="27" t="s">
        <v>1046</v>
      </c>
    </row>
    <row r="2371" spans="1:2" ht="15.75" customHeight="1" x14ac:dyDescent="0.25">
      <c r="A2371" s="27" t="s">
        <v>1045</v>
      </c>
      <c r="B2371" s="27" t="s">
        <v>1046</v>
      </c>
    </row>
    <row r="2372" spans="1:2" ht="15.75" customHeight="1" x14ac:dyDescent="0.25">
      <c r="A2372" s="27" t="s">
        <v>1045</v>
      </c>
      <c r="B2372" s="27" t="s">
        <v>1046</v>
      </c>
    </row>
    <row r="2373" spans="1:2" ht="15.75" customHeight="1" x14ac:dyDescent="0.25">
      <c r="A2373" s="27" t="s">
        <v>1045</v>
      </c>
      <c r="B2373" s="27" t="s">
        <v>1046</v>
      </c>
    </row>
    <row r="2374" spans="1:2" ht="15.75" customHeight="1" x14ac:dyDescent="0.25">
      <c r="A2374" s="27" t="s">
        <v>1045</v>
      </c>
      <c r="B2374" s="27" t="s">
        <v>1046</v>
      </c>
    </row>
    <row r="2375" spans="1:2" ht="15.75" customHeight="1" x14ac:dyDescent="0.25">
      <c r="A2375" s="27" t="s">
        <v>1045</v>
      </c>
      <c r="B2375" s="27" t="s">
        <v>1046</v>
      </c>
    </row>
    <row r="2376" spans="1:2" ht="15.75" customHeight="1" x14ac:dyDescent="0.25">
      <c r="A2376" s="27" t="s">
        <v>1045</v>
      </c>
      <c r="B2376" s="27" t="s">
        <v>1046</v>
      </c>
    </row>
    <row r="2377" spans="1:2" ht="15.75" customHeight="1" x14ac:dyDescent="0.25">
      <c r="A2377" s="27" t="s">
        <v>1047</v>
      </c>
      <c r="B2377" s="27" t="s">
        <v>1048</v>
      </c>
    </row>
    <row r="2378" spans="1:2" ht="15.75" customHeight="1" x14ac:dyDescent="0.25">
      <c r="A2378" s="27" t="s">
        <v>1047</v>
      </c>
      <c r="B2378" s="27" t="s">
        <v>1048</v>
      </c>
    </row>
    <row r="2379" spans="1:2" ht="15.75" customHeight="1" x14ac:dyDescent="0.25">
      <c r="A2379" s="27" t="s">
        <v>1047</v>
      </c>
      <c r="B2379" s="27" t="s">
        <v>1048</v>
      </c>
    </row>
    <row r="2380" spans="1:2" ht="15.75" customHeight="1" x14ac:dyDescent="0.25">
      <c r="A2380" s="27" t="s">
        <v>1047</v>
      </c>
      <c r="B2380" s="27" t="s">
        <v>1048</v>
      </c>
    </row>
    <row r="2381" spans="1:2" ht="15.75" customHeight="1" x14ac:dyDescent="0.25">
      <c r="A2381" s="27" t="s">
        <v>1047</v>
      </c>
      <c r="B2381" s="27" t="s">
        <v>1048</v>
      </c>
    </row>
    <row r="2382" spans="1:2" ht="15.75" customHeight="1" x14ac:dyDescent="0.25">
      <c r="A2382" s="27" t="s">
        <v>1047</v>
      </c>
      <c r="B2382" s="27" t="s">
        <v>1048</v>
      </c>
    </row>
    <row r="2383" spans="1:2" ht="15.75" customHeight="1" x14ac:dyDescent="0.25">
      <c r="A2383" s="27" t="s">
        <v>1047</v>
      </c>
      <c r="B2383" s="27" t="s">
        <v>1048</v>
      </c>
    </row>
    <row r="2384" spans="1:2" ht="15.75" customHeight="1" x14ac:dyDescent="0.25">
      <c r="A2384" s="27" t="s">
        <v>1047</v>
      </c>
      <c r="B2384" s="27" t="s">
        <v>1048</v>
      </c>
    </row>
    <row r="2385" spans="1:2" ht="15.75" customHeight="1" x14ac:dyDescent="0.25">
      <c r="A2385" s="27" t="s">
        <v>1049</v>
      </c>
      <c r="B2385" s="27" t="s">
        <v>1050</v>
      </c>
    </row>
    <row r="2386" spans="1:2" ht="15.75" customHeight="1" x14ac:dyDescent="0.25">
      <c r="A2386" s="27" t="s">
        <v>1049</v>
      </c>
      <c r="B2386" s="27" t="s">
        <v>1050</v>
      </c>
    </row>
    <row r="2387" spans="1:2" ht="15.75" customHeight="1" x14ac:dyDescent="0.25">
      <c r="A2387" s="27" t="s">
        <v>1049</v>
      </c>
      <c r="B2387" s="27" t="s">
        <v>1050</v>
      </c>
    </row>
    <row r="2388" spans="1:2" ht="15.75" customHeight="1" x14ac:dyDescent="0.25">
      <c r="A2388" s="27" t="s">
        <v>1049</v>
      </c>
      <c r="B2388" s="27" t="s">
        <v>1050</v>
      </c>
    </row>
    <row r="2389" spans="1:2" ht="15.75" customHeight="1" x14ac:dyDescent="0.25">
      <c r="A2389" s="27" t="s">
        <v>1049</v>
      </c>
      <c r="B2389" s="27" t="s">
        <v>1050</v>
      </c>
    </row>
    <row r="2390" spans="1:2" ht="15.75" customHeight="1" x14ac:dyDescent="0.25">
      <c r="A2390" s="27" t="s">
        <v>1049</v>
      </c>
      <c r="B2390" s="27" t="s">
        <v>1050</v>
      </c>
    </row>
    <row r="2391" spans="1:2" ht="15.75" customHeight="1" x14ac:dyDescent="0.25">
      <c r="A2391" s="27" t="s">
        <v>1049</v>
      </c>
      <c r="B2391" s="27" t="s">
        <v>1050</v>
      </c>
    </row>
    <row r="2392" spans="1:2" ht="15.75" customHeight="1" x14ac:dyDescent="0.25">
      <c r="A2392" s="27" t="s">
        <v>1051</v>
      </c>
      <c r="B2392" s="27" t="s">
        <v>1052</v>
      </c>
    </row>
    <row r="2393" spans="1:2" ht="15.75" customHeight="1" x14ac:dyDescent="0.25">
      <c r="A2393" s="27" t="s">
        <v>1051</v>
      </c>
      <c r="B2393" s="27" t="s">
        <v>1052</v>
      </c>
    </row>
    <row r="2394" spans="1:2" ht="15.75" customHeight="1" x14ac:dyDescent="0.25">
      <c r="A2394" s="27" t="s">
        <v>1051</v>
      </c>
      <c r="B2394" s="27" t="s">
        <v>1052</v>
      </c>
    </row>
    <row r="2395" spans="1:2" ht="15.75" customHeight="1" x14ac:dyDescent="0.25">
      <c r="A2395" s="27" t="s">
        <v>1051</v>
      </c>
      <c r="B2395" s="27" t="s">
        <v>1052</v>
      </c>
    </row>
    <row r="2396" spans="1:2" ht="15.75" customHeight="1" x14ac:dyDescent="0.25">
      <c r="A2396" s="27" t="s">
        <v>1053</v>
      </c>
      <c r="B2396" s="27" t="s">
        <v>1054</v>
      </c>
    </row>
    <row r="2397" spans="1:2" ht="15.75" customHeight="1" x14ac:dyDescent="0.25">
      <c r="A2397" s="27" t="s">
        <v>1053</v>
      </c>
      <c r="B2397" s="27" t="s">
        <v>1054</v>
      </c>
    </row>
    <row r="2398" spans="1:2" ht="15.75" customHeight="1" x14ac:dyDescent="0.25">
      <c r="A2398" s="27" t="s">
        <v>1053</v>
      </c>
      <c r="B2398" s="27" t="s">
        <v>1054</v>
      </c>
    </row>
    <row r="2399" spans="1:2" ht="15.75" customHeight="1" x14ac:dyDescent="0.25">
      <c r="A2399" s="27" t="s">
        <v>1053</v>
      </c>
      <c r="B2399" s="27" t="s">
        <v>1054</v>
      </c>
    </row>
    <row r="2400" spans="1:2" ht="15.75" customHeight="1" x14ac:dyDescent="0.25">
      <c r="A2400" s="27" t="s">
        <v>1053</v>
      </c>
      <c r="B2400" s="27" t="s">
        <v>1054</v>
      </c>
    </row>
    <row r="2401" spans="1:2" ht="15.75" customHeight="1" x14ac:dyDescent="0.25">
      <c r="A2401" s="27" t="s">
        <v>1053</v>
      </c>
      <c r="B2401" s="27" t="s">
        <v>1054</v>
      </c>
    </row>
    <row r="2402" spans="1:2" ht="15.75" customHeight="1" x14ac:dyDescent="0.25">
      <c r="A2402" s="27" t="s">
        <v>1053</v>
      </c>
      <c r="B2402" s="27" t="s">
        <v>1054</v>
      </c>
    </row>
    <row r="2403" spans="1:2" ht="15.75" customHeight="1" x14ac:dyDescent="0.25">
      <c r="A2403" s="27" t="s">
        <v>1055</v>
      </c>
      <c r="B2403" s="27" t="s">
        <v>1056</v>
      </c>
    </row>
    <row r="2404" spans="1:2" ht="15.75" customHeight="1" x14ac:dyDescent="0.25">
      <c r="A2404" s="27" t="s">
        <v>1055</v>
      </c>
      <c r="B2404" s="27" t="s">
        <v>1056</v>
      </c>
    </row>
    <row r="2405" spans="1:2" ht="15.75" customHeight="1" x14ac:dyDescent="0.25">
      <c r="A2405" s="27" t="s">
        <v>1055</v>
      </c>
      <c r="B2405" s="27" t="s">
        <v>1056</v>
      </c>
    </row>
    <row r="2406" spans="1:2" ht="15.75" customHeight="1" x14ac:dyDescent="0.25">
      <c r="A2406" s="27" t="s">
        <v>1055</v>
      </c>
      <c r="B2406" s="27" t="s">
        <v>1056</v>
      </c>
    </row>
    <row r="2407" spans="1:2" ht="15.75" customHeight="1" x14ac:dyDescent="0.25">
      <c r="A2407" s="27" t="s">
        <v>1055</v>
      </c>
      <c r="B2407" s="27" t="s">
        <v>1056</v>
      </c>
    </row>
    <row r="2408" spans="1:2" ht="15.75" customHeight="1" x14ac:dyDescent="0.25">
      <c r="A2408" s="27" t="s">
        <v>1055</v>
      </c>
      <c r="B2408" s="27" t="s">
        <v>1056</v>
      </c>
    </row>
    <row r="2409" spans="1:2" ht="15.75" customHeight="1" x14ac:dyDescent="0.25">
      <c r="A2409" s="27" t="s">
        <v>1055</v>
      </c>
      <c r="B2409" s="27" t="s">
        <v>1056</v>
      </c>
    </row>
    <row r="2410" spans="1:2" ht="15.75" customHeight="1" x14ac:dyDescent="0.25">
      <c r="A2410" s="27" t="s">
        <v>1055</v>
      </c>
      <c r="B2410" s="27" t="s">
        <v>1056</v>
      </c>
    </row>
    <row r="2411" spans="1:2" ht="15.75" customHeight="1" x14ac:dyDescent="0.25">
      <c r="A2411" s="27" t="s">
        <v>1055</v>
      </c>
      <c r="B2411" s="27" t="s">
        <v>1056</v>
      </c>
    </row>
    <row r="2412" spans="1:2" ht="15.75" customHeight="1" x14ac:dyDescent="0.25">
      <c r="A2412" s="27" t="s">
        <v>1055</v>
      </c>
      <c r="B2412" s="27" t="s">
        <v>1056</v>
      </c>
    </row>
    <row r="2413" spans="1:2" ht="15.75" customHeight="1" x14ac:dyDescent="0.25">
      <c r="A2413" s="27" t="s">
        <v>1057</v>
      </c>
      <c r="B2413" s="27" t="s">
        <v>1058</v>
      </c>
    </row>
    <row r="2414" spans="1:2" ht="15.75" customHeight="1" x14ac:dyDescent="0.25">
      <c r="A2414" s="27" t="s">
        <v>1059</v>
      </c>
      <c r="B2414" s="27" t="s">
        <v>1060</v>
      </c>
    </row>
    <row r="2415" spans="1:2" ht="15.75" customHeight="1" x14ac:dyDescent="0.25">
      <c r="A2415" s="27" t="s">
        <v>1061</v>
      </c>
      <c r="B2415" s="27" t="s">
        <v>1062</v>
      </c>
    </row>
    <row r="2416" spans="1:2" ht="15.75" customHeight="1" x14ac:dyDescent="0.25">
      <c r="A2416" s="27" t="s">
        <v>1063</v>
      </c>
      <c r="B2416" s="27" t="s">
        <v>1064</v>
      </c>
    </row>
    <row r="2417" spans="1:2" ht="15.75" customHeight="1" x14ac:dyDescent="0.25">
      <c r="A2417" s="27" t="s">
        <v>1063</v>
      </c>
      <c r="B2417" s="27" t="s">
        <v>1064</v>
      </c>
    </row>
    <row r="2418" spans="1:2" ht="15.75" customHeight="1" x14ac:dyDescent="0.25">
      <c r="A2418" s="27" t="s">
        <v>1063</v>
      </c>
      <c r="B2418" s="27" t="s">
        <v>1064</v>
      </c>
    </row>
    <row r="2419" spans="1:2" ht="15.75" customHeight="1" x14ac:dyDescent="0.25">
      <c r="A2419" s="27" t="s">
        <v>1063</v>
      </c>
      <c r="B2419" s="27" t="s">
        <v>1064</v>
      </c>
    </row>
    <row r="2420" spans="1:2" ht="15.75" customHeight="1" x14ac:dyDescent="0.25">
      <c r="A2420" s="27" t="s">
        <v>1065</v>
      </c>
      <c r="B2420" s="27" t="s">
        <v>1066</v>
      </c>
    </row>
    <row r="2421" spans="1:2" ht="15.75" customHeight="1" x14ac:dyDescent="0.25">
      <c r="A2421" s="27" t="s">
        <v>1065</v>
      </c>
      <c r="B2421" s="27" t="s">
        <v>1066</v>
      </c>
    </row>
    <row r="2422" spans="1:2" ht="15.75" customHeight="1" x14ac:dyDescent="0.25">
      <c r="A2422" s="27" t="s">
        <v>1065</v>
      </c>
      <c r="B2422" s="27" t="s">
        <v>1066</v>
      </c>
    </row>
    <row r="2423" spans="1:2" ht="15.75" customHeight="1" x14ac:dyDescent="0.25">
      <c r="A2423" s="27" t="s">
        <v>1067</v>
      </c>
      <c r="B2423" s="27" t="s">
        <v>1068</v>
      </c>
    </row>
    <row r="2424" spans="1:2" ht="15.75" customHeight="1" x14ac:dyDescent="0.25">
      <c r="A2424" s="27" t="s">
        <v>1069</v>
      </c>
      <c r="B2424" s="27" t="s">
        <v>1070</v>
      </c>
    </row>
    <row r="2425" spans="1:2" ht="15.75" customHeight="1" x14ac:dyDescent="0.25">
      <c r="A2425" s="27" t="s">
        <v>1071</v>
      </c>
      <c r="B2425" s="27" t="s">
        <v>1072</v>
      </c>
    </row>
    <row r="2426" spans="1:2" ht="15.75" customHeight="1" x14ac:dyDescent="0.25">
      <c r="A2426" s="27" t="s">
        <v>1073</v>
      </c>
      <c r="B2426" s="27" t="s">
        <v>1074</v>
      </c>
    </row>
    <row r="2427" spans="1:2" ht="15.75" customHeight="1" x14ac:dyDescent="0.25">
      <c r="A2427" s="27" t="s">
        <v>1073</v>
      </c>
      <c r="B2427" s="27" t="s">
        <v>1074</v>
      </c>
    </row>
    <row r="2428" spans="1:2" ht="15.75" customHeight="1" x14ac:dyDescent="0.25">
      <c r="A2428" s="27" t="s">
        <v>1075</v>
      </c>
      <c r="B2428" s="27" t="s">
        <v>1076</v>
      </c>
    </row>
    <row r="2429" spans="1:2" ht="15.75" customHeight="1" x14ac:dyDescent="0.25">
      <c r="A2429" s="27" t="s">
        <v>1075</v>
      </c>
      <c r="B2429" s="27" t="s">
        <v>1076</v>
      </c>
    </row>
    <row r="2430" spans="1:2" ht="15.75" customHeight="1" x14ac:dyDescent="0.25">
      <c r="A2430" s="27" t="s">
        <v>1077</v>
      </c>
      <c r="B2430" s="27" t="s">
        <v>34</v>
      </c>
    </row>
    <row r="2431" spans="1:2" ht="15.75" customHeight="1" x14ac:dyDescent="0.25">
      <c r="A2431" s="27" t="s">
        <v>1077</v>
      </c>
      <c r="B2431" s="27" t="s">
        <v>34</v>
      </c>
    </row>
    <row r="2432" spans="1:2" ht="15.75" customHeight="1" x14ac:dyDescent="0.25">
      <c r="A2432" s="27" t="s">
        <v>1077</v>
      </c>
      <c r="B2432" s="27" t="s">
        <v>34</v>
      </c>
    </row>
    <row r="2433" spans="1:2" ht="15.75" customHeight="1" x14ac:dyDescent="0.25">
      <c r="A2433" s="27" t="s">
        <v>1077</v>
      </c>
      <c r="B2433" s="27" t="s">
        <v>34</v>
      </c>
    </row>
    <row r="2434" spans="1:2" ht="15.75" customHeight="1" x14ac:dyDescent="0.25">
      <c r="A2434" s="27" t="s">
        <v>1077</v>
      </c>
      <c r="B2434" s="27" t="s">
        <v>34</v>
      </c>
    </row>
    <row r="2435" spans="1:2" ht="15.75" customHeight="1" x14ac:dyDescent="0.25">
      <c r="A2435" s="27" t="s">
        <v>1077</v>
      </c>
      <c r="B2435" s="27" t="s">
        <v>34</v>
      </c>
    </row>
    <row r="2436" spans="1:2" ht="15.75" customHeight="1" x14ac:dyDescent="0.25">
      <c r="A2436" s="27" t="s">
        <v>1077</v>
      </c>
      <c r="B2436" s="27" t="s">
        <v>34</v>
      </c>
    </row>
    <row r="2437" spans="1:2" ht="15.75" customHeight="1" x14ac:dyDescent="0.25">
      <c r="A2437" s="27" t="s">
        <v>1077</v>
      </c>
      <c r="B2437" s="27" t="s">
        <v>34</v>
      </c>
    </row>
    <row r="2438" spans="1:2" ht="15.75" customHeight="1" x14ac:dyDescent="0.25">
      <c r="A2438" s="27" t="s">
        <v>1077</v>
      </c>
      <c r="B2438" s="27" t="s">
        <v>34</v>
      </c>
    </row>
    <row r="2439" spans="1:2" ht="15.75" customHeight="1" x14ac:dyDescent="0.25">
      <c r="A2439" s="27" t="s">
        <v>1077</v>
      </c>
      <c r="B2439" s="27" t="s">
        <v>34</v>
      </c>
    </row>
    <row r="2440" spans="1:2" ht="15.75" customHeight="1" x14ac:dyDescent="0.25">
      <c r="A2440" s="27" t="s">
        <v>1077</v>
      </c>
      <c r="B2440" s="27" t="s">
        <v>34</v>
      </c>
    </row>
    <row r="2441" spans="1:2" ht="15.75" customHeight="1" x14ac:dyDescent="0.25">
      <c r="A2441" s="27" t="s">
        <v>1077</v>
      </c>
      <c r="B2441" s="27" t="s">
        <v>34</v>
      </c>
    </row>
    <row r="2442" spans="1:2" ht="15.75" customHeight="1" x14ac:dyDescent="0.25">
      <c r="A2442" s="27" t="s">
        <v>1077</v>
      </c>
      <c r="B2442" s="27" t="s">
        <v>34</v>
      </c>
    </row>
    <row r="2443" spans="1:2" ht="15.75" customHeight="1" x14ac:dyDescent="0.25">
      <c r="A2443" s="27" t="s">
        <v>1077</v>
      </c>
      <c r="B2443" s="27" t="s">
        <v>34</v>
      </c>
    </row>
    <row r="2444" spans="1:2" ht="15.75" customHeight="1" x14ac:dyDescent="0.25">
      <c r="A2444" s="27" t="s">
        <v>1078</v>
      </c>
      <c r="B2444" s="27" t="s">
        <v>449</v>
      </c>
    </row>
    <row r="2445" spans="1:2" ht="15.75" customHeight="1" x14ac:dyDescent="0.25">
      <c r="A2445" s="27" t="s">
        <v>1078</v>
      </c>
      <c r="B2445" s="27" t="s">
        <v>449</v>
      </c>
    </row>
    <row r="2446" spans="1:2" ht="15.75" customHeight="1" x14ac:dyDescent="0.25">
      <c r="A2446" s="27" t="s">
        <v>1078</v>
      </c>
      <c r="B2446" s="27" t="s">
        <v>449</v>
      </c>
    </row>
    <row r="2447" spans="1:2" ht="15.75" customHeight="1" x14ac:dyDescent="0.25">
      <c r="A2447" s="27" t="s">
        <v>1078</v>
      </c>
      <c r="B2447" s="27" t="s">
        <v>449</v>
      </c>
    </row>
    <row r="2448" spans="1:2" ht="15.75" customHeight="1" x14ac:dyDescent="0.25">
      <c r="A2448" s="27" t="s">
        <v>1078</v>
      </c>
      <c r="B2448" s="27" t="s">
        <v>449</v>
      </c>
    </row>
    <row r="2449" spans="1:2" ht="15.75" customHeight="1" x14ac:dyDescent="0.25">
      <c r="A2449" s="27" t="s">
        <v>1078</v>
      </c>
      <c r="B2449" s="27" t="s">
        <v>449</v>
      </c>
    </row>
    <row r="2450" spans="1:2" ht="15.75" customHeight="1" x14ac:dyDescent="0.25">
      <c r="A2450" s="27" t="s">
        <v>1078</v>
      </c>
      <c r="B2450" s="27" t="s">
        <v>449</v>
      </c>
    </row>
    <row r="2451" spans="1:2" ht="15.75" customHeight="1" x14ac:dyDescent="0.25">
      <c r="A2451" s="27" t="s">
        <v>1078</v>
      </c>
      <c r="B2451" s="27" t="s">
        <v>449</v>
      </c>
    </row>
    <row r="2452" spans="1:2" ht="15.75" customHeight="1" x14ac:dyDescent="0.25">
      <c r="A2452" s="27" t="s">
        <v>1078</v>
      </c>
      <c r="B2452" s="27" t="s">
        <v>449</v>
      </c>
    </row>
    <row r="2453" spans="1:2" ht="15.75" customHeight="1" x14ac:dyDescent="0.25">
      <c r="A2453" s="27" t="s">
        <v>1078</v>
      </c>
      <c r="B2453" s="27" t="s">
        <v>449</v>
      </c>
    </row>
    <row r="2454" spans="1:2" ht="15.75" customHeight="1" x14ac:dyDescent="0.25">
      <c r="A2454" s="27" t="s">
        <v>1078</v>
      </c>
      <c r="B2454" s="27" t="s">
        <v>449</v>
      </c>
    </row>
    <row r="2455" spans="1:2" ht="15.75" customHeight="1" x14ac:dyDescent="0.25">
      <c r="A2455" s="27" t="s">
        <v>1078</v>
      </c>
      <c r="B2455" s="27" t="s">
        <v>449</v>
      </c>
    </row>
    <row r="2456" spans="1:2" ht="15.75" customHeight="1" x14ac:dyDescent="0.25">
      <c r="A2456" s="27" t="s">
        <v>1078</v>
      </c>
      <c r="B2456" s="27" t="s">
        <v>449</v>
      </c>
    </row>
    <row r="2457" spans="1:2" ht="15.75" customHeight="1" x14ac:dyDescent="0.25">
      <c r="A2457" s="27" t="s">
        <v>1078</v>
      </c>
      <c r="B2457" s="27" t="s">
        <v>449</v>
      </c>
    </row>
    <row r="2458" spans="1:2" ht="15.75" customHeight="1" x14ac:dyDescent="0.25">
      <c r="A2458" s="27" t="s">
        <v>1078</v>
      </c>
      <c r="B2458" s="27" t="s">
        <v>449</v>
      </c>
    </row>
    <row r="2459" spans="1:2" ht="15.75" customHeight="1" x14ac:dyDescent="0.25">
      <c r="A2459" s="27" t="s">
        <v>1078</v>
      </c>
      <c r="B2459" s="27" t="s">
        <v>449</v>
      </c>
    </row>
    <row r="2460" spans="1:2" ht="15.75" customHeight="1" x14ac:dyDescent="0.25">
      <c r="A2460" s="27" t="s">
        <v>1078</v>
      </c>
      <c r="B2460" s="27" t="s">
        <v>449</v>
      </c>
    </row>
    <row r="2461" spans="1:2" ht="15.75" customHeight="1" x14ac:dyDescent="0.25">
      <c r="A2461" s="27" t="s">
        <v>1078</v>
      </c>
      <c r="B2461" s="27" t="s">
        <v>449</v>
      </c>
    </row>
    <row r="2462" spans="1:2" ht="15.75" customHeight="1" x14ac:dyDescent="0.25">
      <c r="A2462" s="27" t="s">
        <v>1078</v>
      </c>
      <c r="B2462" s="27" t="s">
        <v>449</v>
      </c>
    </row>
    <row r="2463" spans="1:2" ht="15.75" customHeight="1" x14ac:dyDescent="0.25">
      <c r="A2463" s="27" t="s">
        <v>1078</v>
      </c>
      <c r="B2463" s="27" t="s">
        <v>449</v>
      </c>
    </row>
    <row r="2464" spans="1:2" ht="15.75" customHeight="1" x14ac:dyDescent="0.25">
      <c r="A2464" s="27" t="s">
        <v>1078</v>
      </c>
      <c r="B2464" s="27" t="s">
        <v>449</v>
      </c>
    </row>
    <row r="2465" spans="1:2" ht="15.75" customHeight="1" x14ac:dyDescent="0.25">
      <c r="A2465" s="27" t="s">
        <v>1078</v>
      </c>
      <c r="B2465" s="27" t="s">
        <v>449</v>
      </c>
    </row>
    <row r="2466" spans="1:2" ht="15.75" customHeight="1" x14ac:dyDescent="0.25">
      <c r="A2466" s="27" t="s">
        <v>1078</v>
      </c>
      <c r="B2466" s="27" t="s">
        <v>449</v>
      </c>
    </row>
    <row r="2467" spans="1:2" ht="15.75" customHeight="1" x14ac:dyDescent="0.25">
      <c r="A2467" s="27" t="s">
        <v>1078</v>
      </c>
      <c r="B2467" s="27" t="s">
        <v>449</v>
      </c>
    </row>
    <row r="2468" spans="1:2" ht="15.75" customHeight="1" x14ac:dyDescent="0.25">
      <c r="A2468" s="27" t="s">
        <v>1078</v>
      </c>
      <c r="B2468" s="27" t="s">
        <v>449</v>
      </c>
    </row>
    <row r="2469" spans="1:2" ht="15.75" customHeight="1" x14ac:dyDescent="0.25">
      <c r="A2469" s="27" t="s">
        <v>1078</v>
      </c>
      <c r="B2469" s="27" t="s">
        <v>449</v>
      </c>
    </row>
    <row r="2470" spans="1:2" ht="15.75" customHeight="1" x14ac:dyDescent="0.25">
      <c r="A2470" s="27" t="s">
        <v>1078</v>
      </c>
      <c r="B2470" s="27" t="s">
        <v>449</v>
      </c>
    </row>
    <row r="2471" spans="1:2" ht="15.75" customHeight="1" x14ac:dyDescent="0.25">
      <c r="A2471" s="27" t="s">
        <v>1078</v>
      </c>
      <c r="B2471" s="27" t="s">
        <v>449</v>
      </c>
    </row>
    <row r="2472" spans="1:2" ht="15.75" customHeight="1" x14ac:dyDescent="0.25">
      <c r="A2472" s="27" t="s">
        <v>1078</v>
      </c>
      <c r="B2472" s="27" t="s">
        <v>449</v>
      </c>
    </row>
    <row r="2473" spans="1:2" ht="15.75" customHeight="1" x14ac:dyDescent="0.25">
      <c r="A2473" s="27" t="s">
        <v>1078</v>
      </c>
      <c r="B2473" s="27" t="s">
        <v>449</v>
      </c>
    </row>
    <row r="2474" spans="1:2" ht="15.75" customHeight="1" x14ac:dyDescent="0.25">
      <c r="A2474" s="27" t="s">
        <v>1078</v>
      </c>
      <c r="B2474" s="27" t="s">
        <v>449</v>
      </c>
    </row>
    <row r="2475" spans="1:2" ht="15.75" customHeight="1" x14ac:dyDescent="0.25">
      <c r="A2475" s="27" t="s">
        <v>1078</v>
      </c>
      <c r="B2475" s="27" t="s">
        <v>449</v>
      </c>
    </row>
    <row r="2476" spans="1:2" ht="15.75" customHeight="1" x14ac:dyDescent="0.25">
      <c r="A2476" s="27" t="s">
        <v>1078</v>
      </c>
      <c r="B2476" s="27" t="s">
        <v>449</v>
      </c>
    </row>
    <row r="2477" spans="1:2" ht="15.75" customHeight="1" x14ac:dyDescent="0.25">
      <c r="A2477" s="27" t="s">
        <v>1078</v>
      </c>
      <c r="B2477" s="27" t="s">
        <v>449</v>
      </c>
    </row>
    <row r="2478" spans="1:2" ht="15.75" customHeight="1" x14ac:dyDescent="0.25">
      <c r="A2478" s="27" t="s">
        <v>1078</v>
      </c>
      <c r="B2478" s="27" t="s">
        <v>449</v>
      </c>
    </row>
    <row r="2479" spans="1:2" ht="15.75" customHeight="1" x14ac:dyDescent="0.25">
      <c r="A2479" s="27" t="s">
        <v>1078</v>
      </c>
      <c r="B2479" s="27" t="s">
        <v>449</v>
      </c>
    </row>
    <row r="2480" spans="1:2" ht="15.75" customHeight="1" x14ac:dyDescent="0.25">
      <c r="A2480" s="27" t="s">
        <v>1078</v>
      </c>
      <c r="B2480" s="27" t="s">
        <v>449</v>
      </c>
    </row>
    <row r="2481" spans="1:2" ht="15.75" customHeight="1" x14ac:dyDescent="0.25">
      <c r="A2481" s="27" t="s">
        <v>1078</v>
      </c>
      <c r="B2481" s="27" t="s">
        <v>449</v>
      </c>
    </row>
    <row r="2482" spans="1:2" ht="15.75" customHeight="1" x14ac:dyDescent="0.25">
      <c r="A2482" s="27" t="s">
        <v>1078</v>
      </c>
      <c r="B2482" s="27" t="s">
        <v>449</v>
      </c>
    </row>
    <row r="2483" spans="1:2" ht="15.75" customHeight="1" x14ac:dyDescent="0.25">
      <c r="A2483" s="27" t="s">
        <v>1078</v>
      </c>
      <c r="B2483" s="27" t="s">
        <v>449</v>
      </c>
    </row>
    <row r="2484" spans="1:2" ht="15.75" customHeight="1" x14ac:dyDescent="0.25">
      <c r="A2484" s="27" t="s">
        <v>1078</v>
      </c>
      <c r="B2484" s="27" t="s">
        <v>449</v>
      </c>
    </row>
    <row r="2485" spans="1:2" ht="15.75" customHeight="1" x14ac:dyDescent="0.25">
      <c r="A2485" s="27" t="s">
        <v>1078</v>
      </c>
      <c r="B2485" s="27" t="s">
        <v>449</v>
      </c>
    </row>
    <row r="2486" spans="1:2" ht="15.75" customHeight="1" x14ac:dyDescent="0.25">
      <c r="A2486" s="27" t="s">
        <v>1078</v>
      </c>
      <c r="B2486" s="27" t="s">
        <v>449</v>
      </c>
    </row>
    <row r="2487" spans="1:2" ht="15.75" customHeight="1" x14ac:dyDescent="0.25">
      <c r="A2487" s="27" t="s">
        <v>1078</v>
      </c>
      <c r="B2487" s="27" t="s">
        <v>449</v>
      </c>
    </row>
    <row r="2488" spans="1:2" ht="15.75" customHeight="1" x14ac:dyDescent="0.25">
      <c r="A2488" s="27" t="s">
        <v>1078</v>
      </c>
      <c r="B2488" s="27" t="s">
        <v>449</v>
      </c>
    </row>
    <row r="2489" spans="1:2" ht="15.75" customHeight="1" x14ac:dyDescent="0.25">
      <c r="A2489" s="27" t="s">
        <v>1078</v>
      </c>
      <c r="B2489" s="27" t="s">
        <v>449</v>
      </c>
    </row>
    <row r="2490" spans="1:2" ht="15.75" customHeight="1" x14ac:dyDescent="0.25">
      <c r="A2490" s="27" t="s">
        <v>1078</v>
      </c>
      <c r="B2490" s="27" t="s">
        <v>449</v>
      </c>
    </row>
    <row r="2491" spans="1:2" ht="15.75" customHeight="1" x14ac:dyDescent="0.25">
      <c r="A2491" s="27" t="s">
        <v>1079</v>
      </c>
      <c r="B2491" s="27" t="s">
        <v>1080</v>
      </c>
    </row>
    <row r="2492" spans="1:2" ht="15.75" customHeight="1" x14ac:dyDescent="0.25">
      <c r="A2492" s="27" t="s">
        <v>1079</v>
      </c>
      <c r="B2492" s="27" t="s">
        <v>1080</v>
      </c>
    </row>
    <row r="2493" spans="1:2" ht="15.75" customHeight="1" x14ac:dyDescent="0.25">
      <c r="A2493" s="27" t="s">
        <v>1081</v>
      </c>
      <c r="B2493" s="27" t="s">
        <v>450</v>
      </c>
    </row>
    <row r="2494" spans="1:2" ht="15.75" customHeight="1" x14ac:dyDescent="0.25">
      <c r="A2494" s="27" t="s">
        <v>1082</v>
      </c>
      <c r="B2494" s="27" t="s">
        <v>150</v>
      </c>
    </row>
    <row r="2495" spans="1:2" ht="15.75" customHeight="1" x14ac:dyDescent="0.25">
      <c r="A2495" s="27" t="s">
        <v>1082</v>
      </c>
      <c r="B2495" s="27" t="s">
        <v>150</v>
      </c>
    </row>
    <row r="2496" spans="1:2" ht="15.75" customHeight="1" x14ac:dyDescent="0.25">
      <c r="A2496" s="27" t="s">
        <v>1082</v>
      </c>
      <c r="B2496" s="27" t="s">
        <v>150</v>
      </c>
    </row>
    <row r="2497" spans="1:2" ht="15.75" customHeight="1" x14ac:dyDescent="0.25">
      <c r="A2497" s="27" t="s">
        <v>1082</v>
      </c>
      <c r="B2497" s="27" t="s">
        <v>150</v>
      </c>
    </row>
    <row r="2498" spans="1:2" ht="15.75" customHeight="1" x14ac:dyDescent="0.25">
      <c r="A2498" s="27" t="s">
        <v>1082</v>
      </c>
      <c r="B2498" s="27" t="s">
        <v>150</v>
      </c>
    </row>
    <row r="2499" spans="1:2" ht="15.75" customHeight="1" x14ac:dyDescent="0.25">
      <c r="A2499" s="27" t="s">
        <v>1082</v>
      </c>
      <c r="B2499" s="27" t="s">
        <v>150</v>
      </c>
    </row>
    <row r="2500" spans="1:2" ht="15.75" customHeight="1" x14ac:dyDescent="0.25">
      <c r="A2500" s="27" t="s">
        <v>1082</v>
      </c>
      <c r="B2500" s="27" t="s">
        <v>150</v>
      </c>
    </row>
    <row r="2501" spans="1:2" ht="15.75" customHeight="1" x14ac:dyDescent="0.25">
      <c r="A2501" s="27" t="s">
        <v>1082</v>
      </c>
      <c r="B2501" s="27" t="s">
        <v>150</v>
      </c>
    </row>
    <row r="2502" spans="1:2" ht="15.75" customHeight="1" x14ac:dyDescent="0.25">
      <c r="A2502" s="27" t="s">
        <v>1082</v>
      </c>
      <c r="B2502" s="27" t="s">
        <v>150</v>
      </c>
    </row>
    <row r="2503" spans="1:2" ht="15.75" customHeight="1" x14ac:dyDescent="0.25">
      <c r="A2503" s="27" t="s">
        <v>1082</v>
      </c>
      <c r="B2503" s="27" t="s">
        <v>150</v>
      </c>
    </row>
    <row r="2504" spans="1:2" ht="15.75" customHeight="1" x14ac:dyDescent="0.25">
      <c r="A2504" s="27" t="s">
        <v>1082</v>
      </c>
      <c r="B2504" s="27" t="s">
        <v>150</v>
      </c>
    </row>
    <row r="2505" spans="1:2" ht="15.75" customHeight="1" x14ac:dyDescent="0.25">
      <c r="A2505" s="27" t="s">
        <v>1082</v>
      </c>
      <c r="B2505" s="27" t="s">
        <v>150</v>
      </c>
    </row>
    <row r="2506" spans="1:2" ht="15.75" customHeight="1" x14ac:dyDescent="0.25">
      <c r="A2506" s="27" t="s">
        <v>1082</v>
      </c>
      <c r="B2506" s="27" t="s">
        <v>150</v>
      </c>
    </row>
    <row r="2507" spans="1:2" ht="15.75" customHeight="1" x14ac:dyDescent="0.25">
      <c r="A2507" s="27" t="s">
        <v>1082</v>
      </c>
      <c r="B2507" s="27" t="s">
        <v>150</v>
      </c>
    </row>
    <row r="2508" spans="1:2" ht="15.75" customHeight="1" x14ac:dyDescent="0.25">
      <c r="A2508" s="27" t="s">
        <v>1082</v>
      </c>
      <c r="B2508" s="27" t="s">
        <v>150</v>
      </c>
    </row>
    <row r="2509" spans="1:2" ht="15.75" customHeight="1" x14ac:dyDescent="0.25">
      <c r="A2509" s="27" t="s">
        <v>1082</v>
      </c>
      <c r="B2509" s="27" t="s">
        <v>150</v>
      </c>
    </row>
    <row r="2510" spans="1:2" ht="15.75" customHeight="1" x14ac:dyDescent="0.25">
      <c r="A2510" s="27" t="s">
        <v>1082</v>
      </c>
      <c r="B2510" s="27" t="s">
        <v>150</v>
      </c>
    </row>
    <row r="2511" spans="1:2" ht="15.75" customHeight="1" x14ac:dyDescent="0.25">
      <c r="A2511" s="27" t="s">
        <v>1082</v>
      </c>
      <c r="B2511" s="27" t="s">
        <v>150</v>
      </c>
    </row>
    <row r="2512" spans="1:2" ht="15.75" customHeight="1" x14ac:dyDescent="0.25">
      <c r="A2512" s="27" t="s">
        <v>1082</v>
      </c>
      <c r="B2512" s="27" t="s">
        <v>150</v>
      </c>
    </row>
    <row r="2513" spans="1:2" ht="15.75" customHeight="1" x14ac:dyDescent="0.25">
      <c r="A2513" s="27" t="s">
        <v>1082</v>
      </c>
      <c r="B2513" s="27" t="s">
        <v>150</v>
      </c>
    </row>
    <row r="2514" spans="1:2" ht="15.75" customHeight="1" x14ac:dyDescent="0.25">
      <c r="A2514" s="27" t="s">
        <v>1082</v>
      </c>
      <c r="B2514" s="27" t="s">
        <v>150</v>
      </c>
    </row>
    <row r="2515" spans="1:2" ht="15.75" customHeight="1" x14ac:dyDescent="0.25">
      <c r="A2515" s="27" t="s">
        <v>1082</v>
      </c>
      <c r="B2515" s="27" t="s">
        <v>150</v>
      </c>
    </row>
    <row r="2516" spans="1:2" ht="15.75" customHeight="1" x14ac:dyDescent="0.25">
      <c r="A2516" s="27" t="s">
        <v>1082</v>
      </c>
      <c r="B2516" s="27" t="s">
        <v>150</v>
      </c>
    </row>
    <row r="2517" spans="1:2" ht="15.75" customHeight="1" x14ac:dyDescent="0.25">
      <c r="A2517" s="27" t="s">
        <v>1082</v>
      </c>
      <c r="B2517" s="27" t="s">
        <v>150</v>
      </c>
    </row>
    <row r="2518" spans="1:2" ht="15.75" customHeight="1" x14ac:dyDescent="0.25">
      <c r="A2518" s="27" t="s">
        <v>1082</v>
      </c>
      <c r="B2518" s="27" t="s">
        <v>150</v>
      </c>
    </row>
    <row r="2519" spans="1:2" ht="15.75" customHeight="1" x14ac:dyDescent="0.25">
      <c r="A2519" s="27" t="s">
        <v>1082</v>
      </c>
      <c r="B2519" s="27" t="s">
        <v>150</v>
      </c>
    </row>
    <row r="2520" spans="1:2" ht="15.75" customHeight="1" x14ac:dyDescent="0.25">
      <c r="A2520" s="27" t="s">
        <v>1082</v>
      </c>
      <c r="B2520" s="27" t="s">
        <v>150</v>
      </c>
    </row>
    <row r="2521" spans="1:2" ht="15.75" customHeight="1" x14ac:dyDescent="0.25">
      <c r="A2521" s="27" t="s">
        <v>1082</v>
      </c>
      <c r="B2521" s="27" t="s">
        <v>150</v>
      </c>
    </row>
    <row r="2522" spans="1:2" ht="15.75" customHeight="1" x14ac:dyDescent="0.25">
      <c r="A2522" s="27" t="s">
        <v>1082</v>
      </c>
      <c r="B2522" s="27" t="s">
        <v>150</v>
      </c>
    </row>
    <row r="2523" spans="1:2" ht="15.75" customHeight="1" x14ac:dyDescent="0.25">
      <c r="A2523" s="27" t="s">
        <v>1082</v>
      </c>
      <c r="B2523" s="27" t="s">
        <v>150</v>
      </c>
    </row>
    <row r="2524" spans="1:2" ht="15.75" customHeight="1" x14ac:dyDescent="0.25">
      <c r="A2524" s="27" t="s">
        <v>1082</v>
      </c>
      <c r="B2524" s="27" t="s">
        <v>150</v>
      </c>
    </row>
    <row r="2525" spans="1:2" ht="15.75" customHeight="1" x14ac:dyDescent="0.25">
      <c r="A2525" s="27" t="s">
        <v>1082</v>
      </c>
      <c r="B2525" s="27" t="s">
        <v>150</v>
      </c>
    </row>
    <row r="2526" spans="1:2" ht="15.75" customHeight="1" x14ac:dyDescent="0.25">
      <c r="A2526" s="27" t="s">
        <v>1082</v>
      </c>
      <c r="B2526" s="27" t="s">
        <v>150</v>
      </c>
    </row>
    <row r="2527" spans="1:2" ht="15.75" customHeight="1" x14ac:dyDescent="0.25">
      <c r="A2527" s="27" t="s">
        <v>1082</v>
      </c>
      <c r="B2527" s="27" t="s">
        <v>150</v>
      </c>
    </row>
    <row r="2528" spans="1:2" ht="15.75" customHeight="1" x14ac:dyDescent="0.25">
      <c r="A2528" s="27" t="s">
        <v>1082</v>
      </c>
      <c r="B2528" s="27" t="s">
        <v>150</v>
      </c>
    </row>
    <row r="2529" spans="1:2" ht="15.75" customHeight="1" x14ac:dyDescent="0.25">
      <c r="A2529" s="27" t="s">
        <v>1082</v>
      </c>
      <c r="B2529" s="27" t="s">
        <v>150</v>
      </c>
    </row>
    <row r="2530" spans="1:2" ht="15.75" customHeight="1" x14ac:dyDescent="0.25">
      <c r="A2530" s="27" t="s">
        <v>1082</v>
      </c>
      <c r="B2530" s="27" t="s">
        <v>150</v>
      </c>
    </row>
    <row r="2531" spans="1:2" ht="15.75" customHeight="1" x14ac:dyDescent="0.25">
      <c r="A2531" s="27" t="s">
        <v>1082</v>
      </c>
      <c r="B2531" s="27" t="s">
        <v>150</v>
      </c>
    </row>
    <row r="2532" spans="1:2" ht="15.75" customHeight="1" x14ac:dyDescent="0.25">
      <c r="A2532" s="27" t="s">
        <v>1082</v>
      </c>
      <c r="B2532" s="27" t="s">
        <v>150</v>
      </c>
    </row>
    <row r="2533" spans="1:2" ht="15.75" customHeight="1" x14ac:dyDescent="0.25">
      <c r="A2533" s="27" t="s">
        <v>1082</v>
      </c>
      <c r="B2533" s="27" t="s">
        <v>150</v>
      </c>
    </row>
    <row r="2534" spans="1:2" ht="15.75" customHeight="1" x14ac:dyDescent="0.25">
      <c r="A2534" s="27" t="s">
        <v>1082</v>
      </c>
      <c r="B2534" s="27" t="s">
        <v>150</v>
      </c>
    </row>
    <row r="2535" spans="1:2" ht="15.75" customHeight="1" x14ac:dyDescent="0.25">
      <c r="A2535" s="27" t="s">
        <v>1082</v>
      </c>
      <c r="B2535" s="27" t="s">
        <v>150</v>
      </c>
    </row>
    <row r="2536" spans="1:2" ht="15.75" customHeight="1" x14ac:dyDescent="0.25">
      <c r="A2536" s="27" t="s">
        <v>1082</v>
      </c>
      <c r="B2536" s="27" t="s">
        <v>150</v>
      </c>
    </row>
    <row r="2537" spans="1:2" ht="15.75" customHeight="1" x14ac:dyDescent="0.25">
      <c r="A2537" s="27" t="s">
        <v>1082</v>
      </c>
      <c r="B2537" s="27" t="s">
        <v>150</v>
      </c>
    </row>
    <row r="2538" spans="1:2" ht="15.75" customHeight="1" x14ac:dyDescent="0.25">
      <c r="A2538" s="27" t="s">
        <v>1082</v>
      </c>
      <c r="B2538" s="27" t="s">
        <v>150</v>
      </c>
    </row>
    <row r="2539" spans="1:2" ht="15.75" customHeight="1" x14ac:dyDescent="0.25">
      <c r="A2539" s="27" t="s">
        <v>1082</v>
      </c>
      <c r="B2539" s="27" t="s">
        <v>150</v>
      </c>
    </row>
    <row r="2540" spans="1:2" ht="15.75" customHeight="1" x14ac:dyDescent="0.25">
      <c r="A2540" s="27" t="s">
        <v>1082</v>
      </c>
      <c r="B2540" s="27" t="s">
        <v>150</v>
      </c>
    </row>
    <row r="2541" spans="1:2" ht="15.75" customHeight="1" x14ac:dyDescent="0.25">
      <c r="A2541" s="27" t="s">
        <v>1082</v>
      </c>
      <c r="B2541" s="27" t="s">
        <v>150</v>
      </c>
    </row>
    <row r="2542" spans="1:2" ht="15.75" customHeight="1" x14ac:dyDescent="0.25">
      <c r="A2542" s="27" t="s">
        <v>1082</v>
      </c>
      <c r="B2542" s="27" t="s">
        <v>150</v>
      </c>
    </row>
    <row r="2543" spans="1:2" ht="15.75" customHeight="1" x14ac:dyDescent="0.25">
      <c r="A2543" s="27" t="s">
        <v>1082</v>
      </c>
      <c r="B2543" s="27" t="s">
        <v>150</v>
      </c>
    </row>
    <row r="2544" spans="1:2" ht="15.75" customHeight="1" x14ac:dyDescent="0.25">
      <c r="A2544" s="27" t="s">
        <v>1082</v>
      </c>
      <c r="B2544" s="27" t="s">
        <v>150</v>
      </c>
    </row>
    <row r="2545" spans="1:2" ht="15.75" customHeight="1" x14ac:dyDescent="0.25">
      <c r="A2545" s="27" t="s">
        <v>1082</v>
      </c>
      <c r="B2545" s="27" t="s">
        <v>150</v>
      </c>
    </row>
    <row r="2546" spans="1:2" ht="15.75" customHeight="1" x14ac:dyDescent="0.25">
      <c r="A2546" s="27" t="s">
        <v>1082</v>
      </c>
      <c r="B2546" s="27" t="s">
        <v>150</v>
      </c>
    </row>
    <row r="2547" spans="1:2" ht="15.75" customHeight="1" x14ac:dyDescent="0.25">
      <c r="A2547" s="27" t="s">
        <v>1082</v>
      </c>
      <c r="B2547" s="27" t="s">
        <v>150</v>
      </c>
    </row>
    <row r="2548" spans="1:2" ht="15.75" customHeight="1" x14ac:dyDescent="0.25">
      <c r="A2548" s="27" t="s">
        <v>1082</v>
      </c>
      <c r="B2548" s="27" t="s">
        <v>150</v>
      </c>
    </row>
    <row r="2549" spans="1:2" ht="15.75" customHeight="1" x14ac:dyDescent="0.25">
      <c r="A2549" s="27" t="s">
        <v>1082</v>
      </c>
      <c r="B2549" s="27" t="s">
        <v>150</v>
      </c>
    </row>
    <row r="2550" spans="1:2" ht="15.75" customHeight="1" x14ac:dyDescent="0.25">
      <c r="A2550" s="27" t="s">
        <v>1082</v>
      </c>
      <c r="B2550" s="27" t="s">
        <v>150</v>
      </c>
    </row>
    <row r="2551" spans="1:2" ht="15.75" customHeight="1" x14ac:dyDescent="0.25">
      <c r="A2551" s="27" t="s">
        <v>1082</v>
      </c>
      <c r="B2551" s="27" t="s">
        <v>150</v>
      </c>
    </row>
    <row r="2552" spans="1:2" ht="15.75" customHeight="1" x14ac:dyDescent="0.25">
      <c r="A2552" s="27" t="s">
        <v>1082</v>
      </c>
      <c r="B2552" s="27" t="s">
        <v>150</v>
      </c>
    </row>
    <row r="2553" spans="1:2" ht="15.75" customHeight="1" x14ac:dyDescent="0.25">
      <c r="A2553" s="27" t="s">
        <v>1082</v>
      </c>
      <c r="B2553" s="27" t="s">
        <v>150</v>
      </c>
    </row>
    <row r="2554" spans="1:2" ht="15.75" customHeight="1" x14ac:dyDescent="0.25">
      <c r="A2554" s="27" t="s">
        <v>1082</v>
      </c>
      <c r="B2554" s="27" t="s">
        <v>150</v>
      </c>
    </row>
    <row r="2555" spans="1:2" ht="15.75" customHeight="1" x14ac:dyDescent="0.25">
      <c r="A2555" s="27" t="s">
        <v>1082</v>
      </c>
      <c r="B2555" s="27" t="s">
        <v>150</v>
      </c>
    </row>
    <row r="2556" spans="1:2" ht="15.75" customHeight="1" x14ac:dyDescent="0.25">
      <c r="A2556" s="27" t="s">
        <v>1082</v>
      </c>
      <c r="B2556" s="27" t="s">
        <v>150</v>
      </c>
    </row>
    <row r="2557" spans="1:2" ht="15.75" customHeight="1" x14ac:dyDescent="0.25">
      <c r="A2557" s="27" t="s">
        <v>1082</v>
      </c>
      <c r="B2557" s="27" t="s">
        <v>150</v>
      </c>
    </row>
    <row r="2558" spans="1:2" ht="15.75" customHeight="1" x14ac:dyDescent="0.25">
      <c r="A2558" s="27" t="s">
        <v>1082</v>
      </c>
      <c r="B2558" s="27" t="s">
        <v>150</v>
      </c>
    </row>
    <row r="2559" spans="1:2" ht="15.75" customHeight="1" x14ac:dyDescent="0.25">
      <c r="A2559" s="27" t="s">
        <v>1082</v>
      </c>
      <c r="B2559" s="27" t="s">
        <v>150</v>
      </c>
    </row>
    <row r="2560" spans="1:2" ht="15.75" customHeight="1" x14ac:dyDescent="0.25">
      <c r="A2560" s="27" t="s">
        <v>1082</v>
      </c>
      <c r="B2560" s="27" t="s">
        <v>150</v>
      </c>
    </row>
    <row r="2561" spans="1:2" ht="15.75" customHeight="1" x14ac:dyDescent="0.25">
      <c r="A2561" s="27" t="s">
        <v>1082</v>
      </c>
      <c r="B2561" s="27" t="s">
        <v>150</v>
      </c>
    </row>
    <row r="2562" spans="1:2" ht="15.75" customHeight="1" x14ac:dyDescent="0.25">
      <c r="A2562" s="27" t="s">
        <v>1082</v>
      </c>
      <c r="B2562" s="27" t="s">
        <v>150</v>
      </c>
    </row>
    <row r="2563" spans="1:2" ht="15.75" customHeight="1" x14ac:dyDescent="0.25">
      <c r="A2563" s="27" t="s">
        <v>1082</v>
      </c>
      <c r="B2563" s="27" t="s">
        <v>150</v>
      </c>
    </row>
    <row r="2564" spans="1:2" ht="15.75" customHeight="1" x14ac:dyDescent="0.25">
      <c r="A2564" s="27" t="s">
        <v>1082</v>
      </c>
      <c r="B2564" s="27" t="s">
        <v>150</v>
      </c>
    </row>
    <row r="2565" spans="1:2" ht="15.75" customHeight="1" x14ac:dyDescent="0.25">
      <c r="A2565" s="27" t="s">
        <v>1082</v>
      </c>
      <c r="B2565" s="27" t="s">
        <v>150</v>
      </c>
    </row>
    <row r="2566" spans="1:2" ht="15.75" customHeight="1" x14ac:dyDescent="0.25">
      <c r="A2566" s="27" t="s">
        <v>1082</v>
      </c>
      <c r="B2566" s="27" t="s">
        <v>150</v>
      </c>
    </row>
    <row r="2567" spans="1:2" ht="15.75" customHeight="1" x14ac:dyDescent="0.25">
      <c r="A2567" s="27" t="s">
        <v>1082</v>
      </c>
      <c r="B2567" s="27" t="s">
        <v>150</v>
      </c>
    </row>
    <row r="2568" spans="1:2" ht="15.75" customHeight="1" x14ac:dyDescent="0.25">
      <c r="A2568" s="27" t="s">
        <v>1082</v>
      </c>
      <c r="B2568" s="27" t="s">
        <v>150</v>
      </c>
    </row>
    <row r="2569" spans="1:2" ht="15.75" customHeight="1" x14ac:dyDescent="0.25">
      <c r="A2569" s="27" t="s">
        <v>1082</v>
      </c>
      <c r="B2569" s="27" t="s">
        <v>150</v>
      </c>
    </row>
    <row r="2570" spans="1:2" ht="15.75" customHeight="1" x14ac:dyDescent="0.25">
      <c r="A2570" s="27" t="s">
        <v>1082</v>
      </c>
      <c r="B2570" s="27" t="s">
        <v>150</v>
      </c>
    </row>
    <row r="2571" spans="1:2" ht="15.75" customHeight="1" x14ac:dyDescent="0.25">
      <c r="A2571" s="27" t="s">
        <v>1082</v>
      </c>
      <c r="B2571" s="27" t="s">
        <v>150</v>
      </c>
    </row>
    <row r="2572" spans="1:2" ht="15.75" customHeight="1" x14ac:dyDescent="0.25">
      <c r="A2572" s="27" t="s">
        <v>1082</v>
      </c>
      <c r="B2572" s="27" t="s">
        <v>150</v>
      </c>
    </row>
    <row r="2573" spans="1:2" ht="15.75" customHeight="1" x14ac:dyDescent="0.25">
      <c r="A2573" s="27" t="s">
        <v>1082</v>
      </c>
      <c r="B2573" s="27" t="s">
        <v>150</v>
      </c>
    </row>
    <row r="2574" spans="1:2" ht="15.75" customHeight="1" x14ac:dyDescent="0.25">
      <c r="A2574" s="27" t="s">
        <v>1082</v>
      </c>
      <c r="B2574" s="27" t="s">
        <v>150</v>
      </c>
    </row>
    <row r="2575" spans="1:2" ht="15.75" customHeight="1" x14ac:dyDescent="0.25">
      <c r="A2575" s="27" t="s">
        <v>1082</v>
      </c>
      <c r="B2575" s="27" t="s">
        <v>150</v>
      </c>
    </row>
    <row r="2576" spans="1:2" ht="15.75" customHeight="1" x14ac:dyDescent="0.25">
      <c r="A2576" s="27" t="s">
        <v>1082</v>
      </c>
      <c r="B2576" s="27" t="s">
        <v>150</v>
      </c>
    </row>
    <row r="2577" spans="1:2" ht="15.75" customHeight="1" x14ac:dyDescent="0.25">
      <c r="A2577" s="27" t="s">
        <v>1082</v>
      </c>
      <c r="B2577" s="27" t="s">
        <v>150</v>
      </c>
    </row>
    <row r="2578" spans="1:2" ht="15.75" customHeight="1" x14ac:dyDescent="0.25">
      <c r="A2578" s="27" t="s">
        <v>1082</v>
      </c>
      <c r="B2578" s="27" t="s">
        <v>150</v>
      </c>
    </row>
    <row r="2579" spans="1:2" ht="15.75" customHeight="1" x14ac:dyDescent="0.25">
      <c r="A2579" s="27" t="s">
        <v>1082</v>
      </c>
      <c r="B2579" s="27" t="s">
        <v>150</v>
      </c>
    </row>
    <row r="2580" spans="1:2" ht="15.75" customHeight="1" x14ac:dyDescent="0.25">
      <c r="A2580" s="27" t="s">
        <v>1082</v>
      </c>
      <c r="B2580" s="27" t="s">
        <v>150</v>
      </c>
    </row>
    <row r="2581" spans="1:2" ht="15.75" customHeight="1" x14ac:dyDescent="0.25">
      <c r="A2581" s="27" t="s">
        <v>1082</v>
      </c>
      <c r="B2581" s="27" t="s">
        <v>150</v>
      </c>
    </row>
    <row r="2582" spans="1:2" ht="15.75" customHeight="1" x14ac:dyDescent="0.25">
      <c r="A2582" s="27" t="s">
        <v>1082</v>
      </c>
      <c r="B2582" s="27" t="s">
        <v>150</v>
      </c>
    </row>
    <row r="2583" spans="1:2" ht="15.75" customHeight="1" x14ac:dyDescent="0.25">
      <c r="A2583" s="27" t="s">
        <v>1082</v>
      </c>
      <c r="B2583" s="27" t="s">
        <v>150</v>
      </c>
    </row>
    <row r="2584" spans="1:2" ht="15.75" customHeight="1" x14ac:dyDescent="0.25">
      <c r="A2584" s="27" t="s">
        <v>1082</v>
      </c>
      <c r="B2584" s="27" t="s">
        <v>150</v>
      </c>
    </row>
    <row r="2585" spans="1:2" ht="15.75" customHeight="1" x14ac:dyDescent="0.25">
      <c r="A2585" s="27" t="s">
        <v>1082</v>
      </c>
      <c r="B2585" s="27" t="s">
        <v>150</v>
      </c>
    </row>
    <row r="2586" spans="1:2" ht="15.75" customHeight="1" x14ac:dyDescent="0.25">
      <c r="A2586" s="27" t="s">
        <v>1082</v>
      </c>
      <c r="B2586" s="27" t="s">
        <v>150</v>
      </c>
    </row>
    <row r="2587" spans="1:2" ht="15.75" customHeight="1" x14ac:dyDescent="0.25">
      <c r="A2587" s="27" t="s">
        <v>1082</v>
      </c>
      <c r="B2587" s="27" t="s">
        <v>150</v>
      </c>
    </row>
    <row r="2588" spans="1:2" ht="15.75" customHeight="1" x14ac:dyDescent="0.25">
      <c r="A2588" s="27" t="s">
        <v>1082</v>
      </c>
      <c r="B2588" s="27" t="s">
        <v>150</v>
      </c>
    </row>
    <row r="2589" spans="1:2" ht="15.75" customHeight="1" x14ac:dyDescent="0.25">
      <c r="A2589" s="27" t="s">
        <v>1082</v>
      </c>
      <c r="B2589" s="27" t="s">
        <v>150</v>
      </c>
    </row>
    <row r="2590" spans="1:2" ht="15.75" customHeight="1" x14ac:dyDescent="0.25">
      <c r="A2590" s="27" t="s">
        <v>1082</v>
      </c>
      <c r="B2590" s="27" t="s">
        <v>150</v>
      </c>
    </row>
    <row r="2591" spans="1:2" ht="15.75" customHeight="1" x14ac:dyDescent="0.25">
      <c r="A2591" s="27" t="s">
        <v>1082</v>
      </c>
      <c r="B2591" s="27" t="s">
        <v>150</v>
      </c>
    </row>
    <row r="2592" spans="1:2" ht="15.75" customHeight="1" x14ac:dyDescent="0.25">
      <c r="A2592" s="27" t="s">
        <v>1082</v>
      </c>
      <c r="B2592" s="27" t="s">
        <v>150</v>
      </c>
    </row>
    <row r="2593" spans="1:2" ht="15.75" customHeight="1" x14ac:dyDescent="0.25">
      <c r="A2593" s="27" t="s">
        <v>1082</v>
      </c>
      <c r="B2593" s="27" t="s">
        <v>150</v>
      </c>
    </row>
    <row r="2594" spans="1:2" ht="15.75" customHeight="1" x14ac:dyDescent="0.25">
      <c r="A2594" s="27" t="s">
        <v>1082</v>
      </c>
      <c r="B2594" s="27" t="s">
        <v>150</v>
      </c>
    </row>
    <row r="2595" spans="1:2" ht="15.75" customHeight="1" x14ac:dyDescent="0.25">
      <c r="A2595" s="27" t="s">
        <v>1082</v>
      </c>
      <c r="B2595" s="27" t="s">
        <v>150</v>
      </c>
    </row>
    <row r="2596" spans="1:2" ht="15.75" customHeight="1" x14ac:dyDescent="0.25">
      <c r="A2596" s="27" t="s">
        <v>1082</v>
      </c>
      <c r="B2596" s="27" t="s">
        <v>150</v>
      </c>
    </row>
    <row r="2597" spans="1:2" ht="15.75" customHeight="1" x14ac:dyDescent="0.25">
      <c r="A2597" s="27" t="s">
        <v>1082</v>
      </c>
      <c r="B2597" s="27" t="s">
        <v>150</v>
      </c>
    </row>
    <row r="2598" spans="1:2" ht="15.75" customHeight="1" x14ac:dyDescent="0.25">
      <c r="A2598" s="27" t="s">
        <v>1082</v>
      </c>
      <c r="B2598" s="27" t="s">
        <v>150</v>
      </c>
    </row>
    <row r="2599" spans="1:2" ht="15.75" customHeight="1" x14ac:dyDescent="0.25">
      <c r="A2599" s="27" t="s">
        <v>1082</v>
      </c>
      <c r="B2599" s="27" t="s">
        <v>150</v>
      </c>
    </row>
    <row r="2600" spans="1:2" ht="15.75" customHeight="1" x14ac:dyDescent="0.25">
      <c r="A2600" s="27" t="s">
        <v>1082</v>
      </c>
      <c r="B2600" s="27" t="s">
        <v>150</v>
      </c>
    </row>
    <row r="2601" spans="1:2" ht="15.75" customHeight="1" x14ac:dyDescent="0.25">
      <c r="A2601" s="27" t="s">
        <v>1082</v>
      </c>
      <c r="B2601" s="27" t="s">
        <v>150</v>
      </c>
    </row>
    <row r="2602" spans="1:2" ht="15.75" customHeight="1" x14ac:dyDescent="0.25">
      <c r="A2602" s="27" t="s">
        <v>1082</v>
      </c>
      <c r="B2602" s="27" t="s">
        <v>150</v>
      </c>
    </row>
    <row r="2603" spans="1:2" ht="15.75" customHeight="1" x14ac:dyDescent="0.25">
      <c r="A2603" s="27" t="s">
        <v>1082</v>
      </c>
      <c r="B2603" s="27" t="s">
        <v>150</v>
      </c>
    </row>
    <row r="2604" spans="1:2" ht="15.75" customHeight="1" x14ac:dyDescent="0.25">
      <c r="A2604" s="27" t="s">
        <v>1082</v>
      </c>
      <c r="B2604" s="27" t="s">
        <v>150</v>
      </c>
    </row>
    <row r="2605" spans="1:2" ht="15.75" customHeight="1" x14ac:dyDescent="0.25">
      <c r="A2605" s="27" t="s">
        <v>1082</v>
      </c>
      <c r="B2605" s="27" t="s">
        <v>150</v>
      </c>
    </row>
    <row r="2606" spans="1:2" ht="15.75" customHeight="1" x14ac:dyDescent="0.25">
      <c r="A2606" s="27" t="s">
        <v>1082</v>
      </c>
      <c r="B2606" s="27" t="s">
        <v>150</v>
      </c>
    </row>
    <row r="2607" spans="1:2" ht="15.75" customHeight="1" x14ac:dyDescent="0.25">
      <c r="A2607" s="27" t="s">
        <v>1082</v>
      </c>
      <c r="B2607" s="27" t="s">
        <v>150</v>
      </c>
    </row>
    <row r="2608" spans="1:2" ht="15.75" customHeight="1" x14ac:dyDescent="0.25">
      <c r="A2608" s="27" t="s">
        <v>1082</v>
      </c>
      <c r="B2608" s="27" t="s">
        <v>150</v>
      </c>
    </row>
    <row r="2609" spans="1:2" ht="15.75" customHeight="1" x14ac:dyDescent="0.25">
      <c r="A2609" s="27" t="s">
        <v>1082</v>
      </c>
      <c r="B2609" s="27" t="s">
        <v>150</v>
      </c>
    </row>
    <row r="2610" spans="1:2" ht="15.75" customHeight="1" x14ac:dyDescent="0.25">
      <c r="A2610" s="27" t="s">
        <v>1082</v>
      </c>
      <c r="B2610" s="27" t="s">
        <v>150</v>
      </c>
    </row>
    <row r="2611" spans="1:2" ht="15.75" customHeight="1" x14ac:dyDescent="0.25">
      <c r="A2611" s="27" t="s">
        <v>1082</v>
      </c>
      <c r="B2611" s="27" t="s">
        <v>150</v>
      </c>
    </row>
    <row r="2612" spans="1:2" ht="15.75" customHeight="1" x14ac:dyDescent="0.25">
      <c r="A2612" s="27" t="s">
        <v>1082</v>
      </c>
      <c r="B2612" s="27" t="s">
        <v>150</v>
      </c>
    </row>
    <row r="2613" spans="1:2" ht="15.75" customHeight="1" x14ac:dyDescent="0.25">
      <c r="A2613" s="27" t="s">
        <v>1082</v>
      </c>
      <c r="B2613" s="27" t="s">
        <v>150</v>
      </c>
    </row>
    <row r="2614" spans="1:2" ht="15.75" customHeight="1" x14ac:dyDescent="0.25">
      <c r="A2614" s="27" t="s">
        <v>1082</v>
      </c>
      <c r="B2614" s="27" t="s">
        <v>150</v>
      </c>
    </row>
    <row r="2615" spans="1:2" ht="15.75" customHeight="1" x14ac:dyDescent="0.25">
      <c r="A2615" s="27" t="s">
        <v>1082</v>
      </c>
      <c r="B2615" s="27" t="s">
        <v>150</v>
      </c>
    </row>
    <row r="2616" spans="1:2" ht="15.75" customHeight="1" x14ac:dyDescent="0.25">
      <c r="A2616" s="27" t="s">
        <v>1082</v>
      </c>
      <c r="B2616" s="27" t="s">
        <v>150</v>
      </c>
    </row>
    <row r="2617" spans="1:2" ht="15.75" customHeight="1" x14ac:dyDescent="0.25">
      <c r="A2617" s="27" t="s">
        <v>1082</v>
      </c>
      <c r="B2617" s="27" t="s">
        <v>150</v>
      </c>
    </row>
    <row r="2618" spans="1:2" ht="15.75" customHeight="1" x14ac:dyDescent="0.25">
      <c r="A2618" s="27" t="s">
        <v>1082</v>
      </c>
      <c r="B2618" s="27" t="s">
        <v>150</v>
      </c>
    </row>
    <row r="2619" spans="1:2" ht="15.75" customHeight="1" x14ac:dyDescent="0.25">
      <c r="A2619" s="27" t="s">
        <v>1082</v>
      </c>
      <c r="B2619" s="27" t="s">
        <v>150</v>
      </c>
    </row>
    <row r="2620" spans="1:2" ht="15.75" customHeight="1" x14ac:dyDescent="0.25">
      <c r="A2620" s="27" t="s">
        <v>1082</v>
      </c>
      <c r="B2620" s="27" t="s">
        <v>150</v>
      </c>
    </row>
    <row r="2621" spans="1:2" ht="15.75" customHeight="1" x14ac:dyDescent="0.25">
      <c r="A2621" s="27" t="s">
        <v>1082</v>
      </c>
      <c r="B2621" s="27" t="s">
        <v>150</v>
      </c>
    </row>
    <row r="2622" spans="1:2" ht="15.75" customHeight="1" x14ac:dyDescent="0.25">
      <c r="A2622" s="27" t="s">
        <v>1082</v>
      </c>
      <c r="B2622" s="27" t="s">
        <v>150</v>
      </c>
    </row>
    <row r="2623" spans="1:2" ht="15.75" customHeight="1" x14ac:dyDescent="0.25">
      <c r="A2623" s="27" t="s">
        <v>1082</v>
      </c>
      <c r="B2623" s="27" t="s">
        <v>150</v>
      </c>
    </row>
    <row r="2624" spans="1:2" ht="15.75" customHeight="1" x14ac:dyDescent="0.25">
      <c r="A2624" s="27" t="s">
        <v>1082</v>
      </c>
      <c r="B2624" s="27" t="s">
        <v>150</v>
      </c>
    </row>
    <row r="2625" spans="1:2" ht="15.75" customHeight="1" x14ac:dyDescent="0.25">
      <c r="A2625" s="27" t="s">
        <v>1082</v>
      </c>
      <c r="B2625" s="27" t="s">
        <v>150</v>
      </c>
    </row>
    <row r="2626" spans="1:2" ht="15.75" customHeight="1" x14ac:dyDescent="0.25">
      <c r="A2626" s="27" t="s">
        <v>1082</v>
      </c>
      <c r="B2626" s="27" t="s">
        <v>150</v>
      </c>
    </row>
    <row r="2627" spans="1:2" ht="15.75" customHeight="1" x14ac:dyDescent="0.25">
      <c r="A2627" s="27" t="s">
        <v>1082</v>
      </c>
      <c r="B2627" s="27" t="s">
        <v>150</v>
      </c>
    </row>
    <row r="2628" spans="1:2" ht="15.75" customHeight="1" x14ac:dyDescent="0.25">
      <c r="A2628" s="27" t="s">
        <v>1082</v>
      </c>
      <c r="B2628" s="27" t="s">
        <v>150</v>
      </c>
    </row>
    <row r="2629" spans="1:2" ht="15.75" customHeight="1" x14ac:dyDescent="0.25">
      <c r="A2629" s="27" t="s">
        <v>1082</v>
      </c>
      <c r="B2629" s="27" t="s">
        <v>150</v>
      </c>
    </row>
    <row r="2630" spans="1:2" ht="15.75" customHeight="1" x14ac:dyDescent="0.25">
      <c r="A2630" s="27" t="s">
        <v>1082</v>
      </c>
      <c r="B2630" s="27" t="s">
        <v>150</v>
      </c>
    </row>
    <row r="2631" spans="1:2" ht="15.75" customHeight="1" x14ac:dyDescent="0.25">
      <c r="A2631" s="27" t="s">
        <v>1082</v>
      </c>
      <c r="B2631" s="27" t="s">
        <v>150</v>
      </c>
    </row>
    <row r="2632" spans="1:2" ht="15.75" customHeight="1" x14ac:dyDescent="0.25">
      <c r="A2632" s="27" t="s">
        <v>1082</v>
      </c>
      <c r="B2632" s="27" t="s">
        <v>150</v>
      </c>
    </row>
    <row r="2633" spans="1:2" ht="15.75" customHeight="1" x14ac:dyDescent="0.25">
      <c r="A2633" s="27" t="s">
        <v>1082</v>
      </c>
      <c r="B2633" s="27" t="s">
        <v>150</v>
      </c>
    </row>
    <row r="2634" spans="1:2" ht="15.75" customHeight="1" x14ac:dyDescent="0.25">
      <c r="A2634" s="27" t="s">
        <v>1082</v>
      </c>
      <c r="B2634" s="27" t="s">
        <v>150</v>
      </c>
    </row>
    <row r="2635" spans="1:2" ht="15.75" customHeight="1" x14ac:dyDescent="0.25">
      <c r="A2635" s="27" t="s">
        <v>1082</v>
      </c>
      <c r="B2635" s="27" t="s">
        <v>150</v>
      </c>
    </row>
    <row r="2636" spans="1:2" ht="15.75" customHeight="1" x14ac:dyDescent="0.25">
      <c r="A2636" s="27" t="s">
        <v>1082</v>
      </c>
      <c r="B2636" s="27" t="s">
        <v>150</v>
      </c>
    </row>
    <row r="2637" spans="1:2" ht="15.75" customHeight="1" x14ac:dyDescent="0.25">
      <c r="A2637" s="27" t="s">
        <v>1082</v>
      </c>
      <c r="B2637" s="27" t="s">
        <v>150</v>
      </c>
    </row>
    <row r="2638" spans="1:2" ht="15.75" customHeight="1" x14ac:dyDescent="0.25">
      <c r="A2638" s="27" t="s">
        <v>1082</v>
      </c>
      <c r="B2638" s="27" t="s">
        <v>150</v>
      </c>
    </row>
    <row r="2639" spans="1:2" ht="15.75" customHeight="1" x14ac:dyDescent="0.25">
      <c r="A2639" s="27" t="s">
        <v>1082</v>
      </c>
      <c r="B2639" s="27" t="s">
        <v>150</v>
      </c>
    </row>
    <row r="2640" spans="1:2" ht="15.75" customHeight="1" x14ac:dyDescent="0.25">
      <c r="A2640" s="27" t="s">
        <v>1082</v>
      </c>
      <c r="B2640" s="27" t="s">
        <v>150</v>
      </c>
    </row>
    <row r="2641" spans="1:2" ht="15.75" customHeight="1" x14ac:dyDescent="0.25">
      <c r="A2641" s="27" t="s">
        <v>1082</v>
      </c>
      <c r="B2641" s="27" t="s">
        <v>150</v>
      </c>
    </row>
    <row r="2642" spans="1:2" ht="15.75" customHeight="1" x14ac:dyDescent="0.25">
      <c r="A2642" s="27" t="s">
        <v>1082</v>
      </c>
      <c r="B2642" s="27" t="s">
        <v>150</v>
      </c>
    </row>
    <row r="2643" spans="1:2" ht="15.75" customHeight="1" x14ac:dyDescent="0.25">
      <c r="A2643" s="27" t="s">
        <v>1082</v>
      </c>
      <c r="B2643" s="27" t="s">
        <v>150</v>
      </c>
    </row>
    <row r="2644" spans="1:2" ht="15.75" customHeight="1" x14ac:dyDescent="0.25">
      <c r="A2644" s="27" t="s">
        <v>1082</v>
      </c>
      <c r="B2644" s="27" t="s">
        <v>150</v>
      </c>
    </row>
    <row r="2645" spans="1:2" ht="15.75" customHeight="1" x14ac:dyDescent="0.25">
      <c r="A2645" s="27" t="s">
        <v>1082</v>
      </c>
      <c r="B2645" s="27" t="s">
        <v>150</v>
      </c>
    </row>
    <row r="2646" spans="1:2" ht="15.75" customHeight="1" x14ac:dyDescent="0.25">
      <c r="A2646" s="27" t="s">
        <v>1082</v>
      </c>
      <c r="B2646" s="27" t="s">
        <v>150</v>
      </c>
    </row>
    <row r="2647" spans="1:2" ht="15.75" customHeight="1" x14ac:dyDescent="0.25">
      <c r="A2647" s="27" t="s">
        <v>1082</v>
      </c>
      <c r="B2647" s="27" t="s">
        <v>150</v>
      </c>
    </row>
    <row r="2648" spans="1:2" ht="15.75" customHeight="1" x14ac:dyDescent="0.25">
      <c r="A2648" s="27" t="s">
        <v>1082</v>
      </c>
      <c r="B2648" s="27" t="s">
        <v>150</v>
      </c>
    </row>
    <row r="2649" spans="1:2" ht="15.75" customHeight="1" x14ac:dyDescent="0.25">
      <c r="A2649" s="27" t="s">
        <v>1082</v>
      </c>
      <c r="B2649" s="27" t="s">
        <v>150</v>
      </c>
    </row>
    <row r="2650" spans="1:2" ht="15.75" customHeight="1" x14ac:dyDescent="0.25">
      <c r="A2650" s="27" t="s">
        <v>1082</v>
      </c>
      <c r="B2650" s="27" t="s">
        <v>150</v>
      </c>
    </row>
    <row r="2651" spans="1:2" ht="15.75" customHeight="1" x14ac:dyDescent="0.25">
      <c r="A2651" s="27" t="s">
        <v>1082</v>
      </c>
      <c r="B2651" s="27" t="s">
        <v>150</v>
      </c>
    </row>
    <row r="2652" spans="1:2" ht="15.75" customHeight="1" x14ac:dyDescent="0.25">
      <c r="A2652" s="27" t="s">
        <v>1082</v>
      </c>
      <c r="B2652" s="27" t="s">
        <v>150</v>
      </c>
    </row>
    <row r="2653" spans="1:2" ht="15.75" customHeight="1" x14ac:dyDescent="0.25">
      <c r="A2653" s="27" t="s">
        <v>1082</v>
      </c>
      <c r="B2653" s="27" t="s">
        <v>150</v>
      </c>
    </row>
    <row r="2654" spans="1:2" ht="15.75" customHeight="1" x14ac:dyDescent="0.25">
      <c r="A2654" s="27" t="s">
        <v>1082</v>
      </c>
      <c r="B2654" s="27" t="s">
        <v>150</v>
      </c>
    </row>
    <row r="2655" spans="1:2" ht="15.75" customHeight="1" x14ac:dyDescent="0.25">
      <c r="A2655" s="27" t="s">
        <v>1082</v>
      </c>
      <c r="B2655" s="27" t="s">
        <v>150</v>
      </c>
    </row>
    <row r="2656" spans="1:2" ht="15.75" customHeight="1" x14ac:dyDescent="0.25">
      <c r="A2656" s="27" t="s">
        <v>1082</v>
      </c>
      <c r="B2656" s="27" t="s">
        <v>150</v>
      </c>
    </row>
    <row r="2657" spans="1:2" ht="15.75" customHeight="1" x14ac:dyDescent="0.25">
      <c r="A2657" s="27" t="s">
        <v>1082</v>
      </c>
      <c r="B2657" s="27" t="s">
        <v>150</v>
      </c>
    </row>
    <row r="2658" spans="1:2" ht="15.75" customHeight="1" x14ac:dyDescent="0.25">
      <c r="A2658" s="27" t="s">
        <v>1082</v>
      </c>
      <c r="B2658" s="27" t="s">
        <v>150</v>
      </c>
    </row>
    <row r="2659" spans="1:2" ht="15.75" customHeight="1" x14ac:dyDescent="0.25">
      <c r="A2659" s="27" t="s">
        <v>1082</v>
      </c>
      <c r="B2659" s="27" t="s">
        <v>150</v>
      </c>
    </row>
    <row r="2660" spans="1:2" ht="15.75" customHeight="1" x14ac:dyDescent="0.25">
      <c r="A2660" s="27" t="s">
        <v>1082</v>
      </c>
      <c r="B2660" s="27" t="s">
        <v>150</v>
      </c>
    </row>
    <row r="2661" spans="1:2" ht="15.75" customHeight="1" x14ac:dyDescent="0.25">
      <c r="A2661" s="27" t="s">
        <v>1082</v>
      </c>
      <c r="B2661" s="27" t="s">
        <v>150</v>
      </c>
    </row>
    <row r="2662" spans="1:2" ht="15.75" customHeight="1" x14ac:dyDescent="0.25">
      <c r="A2662" s="27" t="s">
        <v>1082</v>
      </c>
      <c r="B2662" s="27" t="s">
        <v>150</v>
      </c>
    </row>
    <row r="2663" spans="1:2" ht="15.75" customHeight="1" x14ac:dyDescent="0.25">
      <c r="A2663" s="27" t="s">
        <v>1082</v>
      </c>
      <c r="B2663" s="27" t="s">
        <v>150</v>
      </c>
    </row>
    <row r="2664" spans="1:2" ht="15.75" customHeight="1" x14ac:dyDescent="0.25">
      <c r="A2664" s="27" t="s">
        <v>1082</v>
      </c>
      <c r="B2664" s="27" t="s">
        <v>150</v>
      </c>
    </row>
    <row r="2665" spans="1:2" ht="15.75" customHeight="1" x14ac:dyDescent="0.25">
      <c r="A2665" s="27" t="s">
        <v>1082</v>
      </c>
      <c r="B2665" s="27" t="s">
        <v>150</v>
      </c>
    </row>
    <row r="2666" spans="1:2" ht="15.75" customHeight="1" x14ac:dyDescent="0.25">
      <c r="A2666" s="27" t="s">
        <v>1082</v>
      </c>
      <c r="B2666" s="27" t="s">
        <v>150</v>
      </c>
    </row>
    <row r="2667" spans="1:2" ht="15.75" customHeight="1" x14ac:dyDescent="0.25">
      <c r="A2667" s="27" t="s">
        <v>1083</v>
      </c>
      <c r="B2667" s="27" t="s">
        <v>1084</v>
      </c>
    </row>
    <row r="2668" spans="1:2" ht="15.75" customHeight="1" x14ac:dyDescent="0.25">
      <c r="A2668" s="27" t="s">
        <v>1083</v>
      </c>
      <c r="B2668" s="27" t="s">
        <v>1084</v>
      </c>
    </row>
    <row r="2669" spans="1:2" ht="15.75" customHeight="1" x14ac:dyDescent="0.25">
      <c r="A2669" s="27" t="s">
        <v>1085</v>
      </c>
      <c r="B2669" s="27" t="s">
        <v>1086</v>
      </c>
    </row>
    <row r="2670" spans="1:2" ht="15.75" customHeight="1" x14ac:dyDescent="0.25">
      <c r="A2670" s="27" t="s">
        <v>1087</v>
      </c>
      <c r="B2670" s="27" t="s">
        <v>1088</v>
      </c>
    </row>
    <row r="2671" spans="1:2" ht="15.75" customHeight="1" x14ac:dyDescent="0.25">
      <c r="A2671" s="27" t="s">
        <v>1089</v>
      </c>
      <c r="B2671" s="27" t="s">
        <v>1090</v>
      </c>
    </row>
    <row r="2672" spans="1:2" ht="15.75" customHeight="1" x14ac:dyDescent="0.25">
      <c r="A2672" s="27" t="s">
        <v>1089</v>
      </c>
      <c r="B2672" s="27" t="s">
        <v>1090</v>
      </c>
    </row>
    <row r="2673" spans="1:2" ht="15.75" customHeight="1" x14ac:dyDescent="0.25">
      <c r="A2673" s="27" t="s">
        <v>1089</v>
      </c>
      <c r="B2673" s="27" t="s">
        <v>1090</v>
      </c>
    </row>
    <row r="2674" spans="1:2" ht="15.75" customHeight="1" x14ac:dyDescent="0.25">
      <c r="A2674" s="27" t="s">
        <v>1091</v>
      </c>
      <c r="B2674" s="27" t="s">
        <v>1092</v>
      </c>
    </row>
    <row r="2675" spans="1:2" ht="15.75" customHeight="1" x14ac:dyDescent="0.25">
      <c r="A2675" s="27" t="s">
        <v>1093</v>
      </c>
      <c r="B2675" s="27" t="s">
        <v>1094</v>
      </c>
    </row>
    <row r="2676" spans="1:2" ht="15.75" customHeight="1" x14ac:dyDescent="0.25">
      <c r="A2676" s="27" t="s">
        <v>1095</v>
      </c>
      <c r="B2676" s="27" t="s">
        <v>1096</v>
      </c>
    </row>
    <row r="2677" spans="1:2" ht="15.75" customHeight="1" x14ac:dyDescent="0.25">
      <c r="A2677" s="27" t="s">
        <v>1097</v>
      </c>
      <c r="B2677" s="27" t="s">
        <v>1098</v>
      </c>
    </row>
    <row r="2678" spans="1:2" ht="15.75" customHeight="1" x14ac:dyDescent="0.25">
      <c r="A2678" s="27" t="s">
        <v>1099</v>
      </c>
      <c r="B2678" s="27" t="s">
        <v>180</v>
      </c>
    </row>
    <row r="2679" spans="1:2" ht="15.75" customHeight="1" x14ac:dyDescent="0.25">
      <c r="A2679" s="27" t="s">
        <v>1099</v>
      </c>
      <c r="B2679" s="27" t="s">
        <v>180</v>
      </c>
    </row>
    <row r="2680" spans="1:2" ht="15.75" customHeight="1" x14ac:dyDescent="0.25">
      <c r="A2680" s="27" t="s">
        <v>1099</v>
      </c>
      <c r="B2680" s="27" t="s">
        <v>180</v>
      </c>
    </row>
    <row r="2681" spans="1:2" ht="15.75" customHeight="1" x14ac:dyDescent="0.25">
      <c r="A2681" s="27" t="s">
        <v>1099</v>
      </c>
      <c r="B2681" s="27" t="s">
        <v>180</v>
      </c>
    </row>
    <row r="2682" spans="1:2" ht="15.75" customHeight="1" x14ac:dyDescent="0.25">
      <c r="A2682" s="27" t="s">
        <v>1099</v>
      </c>
      <c r="B2682" s="27" t="s">
        <v>180</v>
      </c>
    </row>
    <row r="2683" spans="1:2" ht="15.75" customHeight="1" x14ac:dyDescent="0.25">
      <c r="A2683" s="27" t="s">
        <v>1099</v>
      </c>
      <c r="B2683" s="27" t="s">
        <v>180</v>
      </c>
    </row>
    <row r="2684" spans="1:2" ht="15.75" customHeight="1" x14ac:dyDescent="0.25">
      <c r="A2684" s="27" t="s">
        <v>1099</v>
      </c>
      <c r="B2684" s="27" t="s">
        <v>180</v>
      </c>
    </row>
    <row r="2685" spans="1:2" ht="15.75" customHeight="1" x14ac:dyDescent="0.25">
      <c r="A2685" s="27" t="s">
        <v>1099</v>
      </c>
      <c r="B2685" s="27" t="s">
        <v>180</v>
      </c>
    </row>
    <row r="2686" spans="1:2" ht="15.75" customHeight="1" x14ac:dyDescent="0.25">
      <c r="A2686" s="27" t="s">
        <v>1099</v>
      </c>
      <c r="B2686" s="27" t="s">
        <v>180</v>
      </c>
    </row>
    <row r="2687" spans="1:2" ht="15.75" customHeight="1" x14ac:dyDescent="0.25">
      <c r="A2687" s="27" t="s">
        <v>1099</v>
      </c>
      <c r="B2687" s="27" t="s">
        <v>180</v>
      </c>
    </row>
    <row r="2688" spans="1:2" ht="15.75" customHeight="1" x14ac:dyDescent="0.25">
      <c r="A2688" s="27" t="s">
        <v>1099</v>
      </c>
      <c r="B2688" s="27" t="s">
        <v>180</v>
      </c>
    </row>
    <row r="2689" spans="1:2" ht="15.75" customHeight="1" x14ac:dyDescent="0.25">
      <c r="A2689" s="27" t="s">
        <v>1099</v>
      </c>
      <c r="B2689" s="27" t="s">
        <v>180</v>
      </c>
    </row>
    <row r="2690" spans="1:2" ht="15.75" customHeight="1" x14ac:dyDescent="0.25">
      <c r="A2690" s="27" t="s">
        <v>1099</v>
      </c>
      <c r="B2690" s="27" t="s">
        <v>180</v>
      </c>
    </row>
    <row r="2691" spans="1:2" ht="15.75" customHeight="1" x14ac:dyDescent="0.25">
      <c r="A2691" s="27" t="s">
        <v>1099</v>
      </c>
      <c r="B2691" s="27" t="s">
        <v>180</v>
      </c>
    </row>
    <row r="2692" spans="1:2" ht="15.75" customHeight="1" x14ac:dyDescent="0.25">
      <c r="A2692" s="27" t="s">
        <v>1099</v>
      </c>
      <c r="B2692" s="27" t="s">
        <v>180</v>
      </c>
    </row>
    <row r="2693" spans="1:2" ht="15.75" customHeight="1" x14ac:dyDescent="0.25">
      <c r="A2693" s="27" t="s">
        <v>1099</v>
      </c>
      <c r="B2693" s="27" t="s">
        <v>180</v>
      </c>
    </row>
    <row r="2694" spans="1:2" ht="15.75" customHeight="1" x14ac:dyDescent="0.25">
      <c r="A2694" s="27" t="s">
        <v>1099</v>
      </c>
      <c r="B2694" s="27" t="s">
        <v>180</v>
      </c>
    </row>
    <row r="2695" spans="1:2" ht="15.75" customHeight="1" x14ac:dyDescent="0.25">
      <c r="A2695" s="27" t="s">
        <v>1100</v>
      </c>
      <c r="B2695" s="27" t="s">
        <v>521</v>
      </c>
    </row>
    <row r="2696" spans="1:2" ht="15.75" customHeight="1" x14ac:dyDescent="0.25">
      <c r="A2696" s="27" t="s">
        <v>1100</v>
      </c>
      <c r="B2696" s="27" t="s">
        <v>521</v>
      </c>
    </row>
    <row r="2697" spans="1:2" ht="15.75" customHeight="1" x14ac:dyDescent="0.25">
      <c r="A2697" s="27" t="s">
        <v>1100</v>
      </c>
      <c r="B2697" s="27" t="s">
        <v>521</v>
      </c>
    </row>
    <row r="2698" spans="1:2" ht="15.75" customHeight="1" x14ac:dyDescent="0.25">
      <c r="A2698" s="27" t="s">
        <v>1100</v>
      </c>
      <c r="B2698" s="27" t="s">
        <v>521</v>
      </c>
    </row>
    <row r="2699" spans="1:2" ht="15.75" customHeight="1" x14ac:dyDescent="0.25">
      <c r="A2699" s="27" t="s">
        <v>1100</v>
      </c>
      <c r="B2699" s="27" t="s">
        <v>521</v>
      </c>
    </row>
    <row r="2700" spans="1:2" ht="15.75" customHeight="1" x14ac:dyDescent="0.25">
      <c r="A2700" s="27" t="s">
        <v>1100</v>
      </c>
      <c r="B2700" s="27" t="s">
        <v>521</v>
      </c>
    </row>
    <row r="2701" spans="1:2" ht="15.75" customHeight="1" x14ac:dyDescent="0.25">
      <c r="A2701" s="27" t="s">
        <v>1100</v>
      </c>
      <c r="B2701" s="27" t="s">
        <v>521</v>
      </c>
    </row>
    <row r="2702" spans="1:2" ht="15.75" customHeight="1" x14ac:dyDescent="0.25">
      <c r="A2702" s="27" t="s">
        <v>1100</v>
      </c>
      <c r="B2702" s="27" t="s">
        <v>521</v>
      </c>
    </row>
    <row r="2703" spans="1:2" ht="15.75" customHeight="1" x14ac:dyDescent="0.25">
      <c r="A2703" s="27" t="s">
        <v>1100</v>
      </c>
      <c r="B2703" s="27" t="s">
        <v>521</v>
      </c>
    </row>
    <row r="2704" spans="1:2" ht="15.75" customHeight="1" x14ac:dyDescent="0.25">
      <c r="A2704" s="27" t="s">
        <v>1100</v>
      </c>
      <c r="B2704" s="27" t="s">
        <v>521</v>
      </c>
    </row>
    <row r="2705" spans="1:2" ht="15.75" customHeight="1" x14ac:dyDescent="0.25">
      <c r="A2705" s="27" t="s">
        <v>1100</v>
      </c>
      <c r="B2705" s="27" t="s">
        <v>521</v>
      </c>
    </row>
    <row r="2706" spans="1:2" ht="15.75" customHeight="1" x14ac:dyDescent="0.25">
      <c r="A2706" s="27" t="s">
        <v>1100</v>
      </c>
      <c r="B2706" s="27" t="s">
        <v>521</v>
      </c>
    </row>
    <row r="2707" spans="1:2" ht="15.75" customHeight="1" x14ac:dyDescent="0.25">
      <c r="A2707" s="27" t="s">
        <v>1100</v>
      </c>
      <c r="B2707" s="27" t="s">
        <v>521</v>
      </c>
    </row>
    <row r="2708" spans="1:2" ht="15.75" customHeight="1" x14ac:dyDescent="0.25">
      <c r="A2708" s="27" t="s">
        <v>1100</v>
      </c>
      <c r="B2708" s="27" t="s">
        <v>521</v>
      </c>
    </row>
    <row r="2709" spans="1:2" ht="15.75" customHeight="1" x14ac:dyDescent="0.25">
      <c r="A2709" s="27" t="s">
        <v>1100</v>
      </c>
      <c r="B2709" s="27" t="s">
        <v>521</v>
      </c>
    </row>
    <row r="2710" spans="1:2" ht="15.75" customHeight="1" x14ac:dyDescent="0.25">
      <c r="A2710" s="27" t="s">
        <v>1100</v>
      </c>
      <c r="B2710" s="27" t="s">
        <v>521</v>
      </c>
    </row>
    <row r="2711" spans="1:2" ht="15.75" customHeight="1" x14ac:dyDescent="0.25">
      <c r="A2711" s="27" t="s">
        <v>1100</v>
      </c>
      <c r="B2711" s="27" t="s">
        <v>521</v>
      </c>
    </row>
    <row r="2712" spans="1:2" ht="15.75" customHeight="1" x14ac:dyDescent="0.25">
      <c r="A2712" s="27" t="s">
        <v>1101</v>
      </c>
      <c r="B2712" s="27" t="s">
        <v>1102</v>
      </c>
    </row>
    <row r="2713" spans="1:2" ht="15.75" customHeight="1" x14ac:dyDescent="0.25">
      <c r="A2713" s="27" t="s">
        <v>1103</v>
      </c>
      <c r="B2713" s="27" t="s">
        <v>1104</v>
      </c>
    </row>
    <row r="2714" spans="1:2" ht="15.75" customHeight="1" x14ac:dyDescent="0.25">
      <c r="A2714" s="27" t="s">
        <v>1105</v>
      </c>
      <c r="B2714" s="27" t="s">
        <v>1106</v>
      </c>
    </row>
    <row r="2715" spans="1:2" ht="15.75" customHeight="1" x14ac:dyDescent="0.25">
      <c r="A2715" s="27" t="s">
        <v>1107</v>
      </c>
      <c r="B2715" s="27" t="s">
        <v>1108</v>
      </c>
    </row>
    <row r="2716" spans="1:2" ht="15.75" customHeight="1" x14ac:dyDescent="0.25">
      <c r="A2716" s="27" t="s">
        <v>1109</v>
      </c>
      <c r="B2716" s="27" t="s">
        <v>182</v>
      </c>
    </row>
    <row r="2717" spans="1:2" ht="15.75" customHeight="1" x14ac:dyDescent="0.25">
      <c r="A2717" s="27" t="s">
        <v>1109</v>
      </c>
      <c r="B2717" s="27" t="s">
        <v>182</v>
      </c>
    </row>
    <row r="2718" spans="1:2" ht="15.75" customHeight="1" x14ac:dyDescent="0.25">
      <c r="A2718" s="27" t="s">
        <v>1109</v>
      </c>
      <c r="B2718" s="27" t="s">
        <v>182</v>
      </c>
    </row>
    <row r="2719" spans="1:2" ht="15.75" customHeight="1" x14ac:dyDescent="0.25">
      <c r="A2719" s="27" t="s">
        <v>1109</v>
      </c>
      <c r="B2719" s="27" t="s">
        <v>182</v>
      </c>
    </row>
    <row r="2720" spans="1:2" ht="15.75" customHeight="1" x14ac:dyDescent="0.25">
      <c r="A2720" s="27" t="s">
        <v>1109</v>
      </c>
      <c r="B2720" s="27" t="s">
        <v>182</v>
      </c>
    </row>
    <row r="2721" spans="1:2" ht="15.75" customHeight="1" x14ac:dyDescent="0.25">
      <c r="A2721" s="27" t="s">
        <v>1109</v>
      </c>
      <c r="B2721" s="27" t="s">
        <v>182</v>
      </c>
    </row>
    <row r="2722" spans="1:2" ht="15.75" customHeight="1" x14ac:dyDescent="0.25">
      <c r="A2722" s="27" t="s">
        <v>1109</v>
      </c>
      <c r="B2722" s="27" t="s">
        <v>182</v>
      </c>
    </row>
    <row r="2723" spans="1:2" ht="15.75" customHeight="1" x14ac:dyDescent="0.25">
      <c r="A2723" s="27" t="s">
        <v>1109</v>
      </c>
      <c r="B2723" s="27" t="s">
        <v>182</v>
      </c>
    </row>
    <row r="2724" spans="1:2" ht="15.75" customHeight="1" x14ac:dyDescent="0.25">
      <c r="A2724" s="27" t="s">
        <v>1109</v>
      </c>
      <c r="B2724" s="27" t="s">
        <v>182</v>
      </c>
    </row>
    <row r="2725" spans="1:2" ht="15.75" customHeight="1" x14ac:dyDescent="0.25">
      <c r="A2725" s="27" t="s">
        <v>1109</v>
      </c>
      <c r="B2725" s="27" t="s">
        <v>182</v>
      </c>
    </row>
    <row r="2726" spans="1:2" ht="15.75" customHeight="1" x14ac:dyDescent="0.25">
      <c r="A2726" s="27" t="s">
        <v>1109</v>
      </c>
      <c r="B2726" s="27" t="s">
        <v>182</v>
      </c>
    </row>
    <row r="2727" spans="1:2" ht="15.75" customHeight="1" x14ac:dyDescent="0.25">
      <c r="A2727" s="27" t="s">
        <v>1109</v>
      </c>
      <c r="B2727" s="27" t="s">
        <v>182</v>
      </c>
    </row>
    <row r="2728" spans="1:2" ht="15.75" customHeight="1" x14ac:dyDescent="0.25">
      <c r="A2728" s="27" t="s">
        <v>1109</v>
      </c>
      <c r="B2728" s="27" t="s">
        <v>182</v>
      </c>
    </row>
    <row r="2729" spans="1:2" ht="15.75" customHeight="1" x14ac:dyDescent="0.25">
      <c r="A2729" s="27" t="s">
        <v>1109</v>
      </c>
      <c r="B2729" s="27" t="s">
        <v>182</v>
      </c>
    </row>
    <row r="2730" spans="1:2" ht="15.75" customHeight="1" x14ac:dyDescent="0.25">
      <c r="A2730" s="27" t="s">
        <v>1109</v>
      </c>
      <c r="B2730" s="27" t="s">
        <v>182</v>
      </c>
    </row>
    <row r="2731" spans="1:2" ht="15.75" customHeight="1" x14ac:dyDescent="0.25">
      <c r="A2731" s="27" t="s">
        <v>1109</v>
      </c>
      <c r="B2731" s="27" t="s">
        <v>182</v>
      </c>
    </row>
    <row r="2732" spans="1:2" ht="15.75" customHeight="1" x14ac:dyDescent="0.25">
      <c r="A2732" s="27" t="s">
        <v>1109</v>
      </c>
      <c r="B2732" s="27" t="s">
        <v>182</v>
      </c>
    </row>
    <row r="2733" spans="1:2" ht="15.75" customHeight="1" x14ac:dyDescent="0.25">
      <c r="A2733" s="27" t="s">
        <v>1109</v>
      </c>
      <c r="B2733" s="27" t="s">
        <v>182</v>
      </c>
    </row>
    <row r="2734" spans="1:2" ht="15.75" customHeight="1" x14ac:dyDescent="0.25">
      <c r="A2734" s="27" t="s">
        <v>1109</v>
      </c>
      <c r="B2734" s="27" t="s">
        <v>182</v>
      </c>
    </row>
    <row r="2735" spans="1:2" ht="15.75" customHeight="1" x14ac:dyDescent="0.25">
      <c r="A2735" s="27" t="s">
        <v>1110</v>
      </c>
      <c r="B2735" s="27" t="s">
        <v>1111</v>
      </c>
    </row>
    <row r="2736" spans="1:2" ht="15.75" customHeight="1" x14ac:dyDescent="0.25">
      <c r="A2736" s="27" t="s">
        <v>1110</v>
      </c>
      <c r="B2736" s="27" t="s">
        <v>1111</v>
      </c>
    </row>
    <row r="2737" spans="1:2" ht="15.75" customHeight="1" x14ac:dyDescent="0.25">
      <c r="A2737" s="27" t="s">
        <v>1110</v>
      </c>
      <c r="B2737" s="27" t="s">
        <v>1111</v>
      </c>
    </row>
    <row r="2738" spans="1:2" ht="15.75" customHeight="1" x14ac:dyDescent="0.25">
      <c r="A2738" s="27" t="s">
        <v>1110</v>
      </c>
      <c r="B2738" s="27" t="s">
        <v>1111</v>
      </c>
    </row>
    <row r="2739" spans="1:2" ht="15.75" customHeight="1" x14ac:dyDescent="0.25">
      <c r="A2739" s="27" t="s">
        <v>1110</v>
      </c>
      <c r="B2739" s="27" t="s">
        <v>1111</v>
      </c>
    </row>
    <row r="2740" spans="1:2" ht="15.75" customHeight="1" x14ac:dyDescent="0.25">
      <c r="A2740" s="27" t="s">
        <v>1110</v>
      </c>
      <c r="B2740" s="27" t="s">
        <v>1111</v>
      </c>
    </row>
    <row r="2741" spans="1:2" ht="15.75" customHeight="1" x14ac:dyDescent="0.25">
      <c r="A2741" s="27" t="s">
        <v>1110</v>
      </c>
      <c r="B2741" s="27" t="s">
        <v>1111</v>
      </c>
    </row>
    <row r="2742" spans="1:2" ht="15.75" customHeight="1" x14ac:dyDescent="0.25">
      <c r="A2742" s="27" t="s">
        <v>1112</v>
      </c>
      <c r="B2742" s="27" t="s">
        <v>281</v>
      </c>
    </row>
    <row r="2743" spans="1:2" ht="15.75" customHeight="1" x14ac:dyDescent="0.25">
      <c r="A2743" s="27" t="s">
        <v>1113</v>
      </c>
      <c r="B2743" s="27" t="s">
        <v>106</v>
      </c>
    </row>
    <row r="2744" spans="1:2" ht="15.75" customHeight="1" x14ac:dyDescent="0.25">
      <c r="A2744" s="27" t="s">
        <v>1113</v>
      </c>
      <c r="B2744" s="27" t="s">
        <v>106</v>
      </c>
    </row>
    <row r="2745" spans="1:2" ht="15.75" customHeight="1" x14ac:dyDescent="0.25">
      <c r="A2745" s="27" t="s">
        <v>1113</v>
      </c>
      <c r="B2745" s="27" t="s">
        <v>106</v>
      </c>
    </row>
    <row r="2746" spans="1:2" ht="15.75" customHeight="1" x14ac:dyDescent="0.25">
      <c r="A2746" s="27" t="s">
        <v>1113</v>
      </c>
      <c r="B2746" s="27" t="s">
        <v>106</v>
      </c>
    </row>
    <row r="2747" spans="1:2" ht="15.75" customHeight="1" x14ac:dyDescent="0.25">
      <c r="A2747" s="27" t="s">
        <v>1113</v>
      </c>
      <c r="B2747" s="27" t="s">
        <v>106</v>
      </c>
    </row>
    <row r="2748" spans="1:2" ht="15.75" customHeight="1" x14ac:dyDescent="0.25">
      <c r="A2748" s="27" t="s">
        <v>1113</v>
      </c>
      <c r="B2748" s="27" t="s">
        <v>106</v>
      </c>
    </row>
    <row r="2749" spans="1:2" ht="15.75" customHeight="1" x14ac:dyDescent="0.25">
      <c r="A2749" s="27" t="s">
        <v>1113</v>
      </c>
      <c r="B2749" s="27" t="s">
        <v>106</v>
      </c>
    </row>
    <row r="2750" spans="1:2" ht="15.75" customHeight="1" x14ac:dyDescent="0.25">
      <c r="A2750" s="27" t="s">
        <v>1113</v>
      </c>
      <c r="B2750" s="27" t="s">
        <v>106</v>
      </c>
    </row>
    <row r="2751" spans="1:2" ht="15.75" customHeight="1" x14ac:dyDescent="0.25">
      <c r="A2751" s="27" t="s">
        <v>1113</v>
      </c>
      <c r="B2751" s="27" t="s">
        <v>106</v>
      </c>
    </row>
    <row r="2752" spans="1:2" ht="15.75" customHeight="1" x14ac:dyDescent="0.25">
      <c r="A2752" s="27" t="s">
        <v>1113</v>
      </c>
      <c r="B2752" s="27" t="s">
        <v>106</v>
      </c>
    </row>
    <row r="2753" spans="1:2" ht="15.75" customHeight="1" x14ac:dyDescent="0.25">
      <c r="A2753" s="27" t="s">
        <v>1113</v>
      </c>
      <c r="B2753" s="27" t="s">
        <v>106</v>
      </c>
    </row>
    <row r="2754" spans="1:2" ht="15.75" customHeight="1" x14ac:dyDescent="0.25">
      <c r="A2754" s="27" t="s">
        <v>1113</v>
      </c>
      <c r="B2754" s="27" t="s">
        <v>106</v>
      </c>
    </row>
    <row r="2755" spans="1:2" ht="15.75" customHeight="1" x14ac:dyDescent="0.25">
      <c r="A2755" s="27" t="s">
        <v>1113</v>
      </c>
      <c r="B2755" s="27" t="s">
        <v>106</v>
      </c>
    </row>
    <row r="2756" spans="1:2" ht="15.75" customHeight="1" x14ac:dyDescent="0.25">
      <c r="A2756" s="27" t="s">
        <v>1113</v>
      </c>
      <c r="B2756" s="27" t="s">
        <v>106</v>
      </c>
    </row>
    <row r="2757" spans="1:2" ht="15.75" customHeight="1" x14ac:dyDescent="0.25">
      <c r="A2757" s="27" t="s">
        <v>1113</v>
      </c>
      <c r="B2757" s="27" t="s">
        <v>106</v>
      </c>
    </row>
    <row r="2758" spans="1:2" ht="15.75" customHeight="1" x14ac:dyDescent="0.25">
      <c r="A2758" s="27" t="s">
        <v>1113</v>
      </c>
      <c r="B2758" s="27" t="s">
        <v>106</v>
      </c>
    </row>
    <row r="2759" spans="1:2" ht="15.75" customHeight="1" x14ac:dyDescent="0.25">
      <c r="A2759" s="27" t="s">
        <v>1114</v>
      </c>
      <c r="B2759" s="27" t="s">
        <v>38</v>
      </c>
    </row>
    <row r="2760" spans="1:2" ht="15.75" customHeight="1" x14ac:dyDescent="0.25">
      <c r="A2760" s="27" t="s">
        <v>1114</v>
      </c>
      <c r="B2760" s="27" t="s">
        <v>38</v>
      </c>
    </row>
    <row r="2761" spans="1:2" ht="15.75" customHeight="1" x14ac:dyDescent="0.25">
      <c r="A2761" s="27" t="s">
        <v>1114</v>
      </c>
      <c r="B2761" s="27" t="s">
        <v>38</v>
      </c>
    </row>
    <row r="2762" spans="1:2" ht="15.75" customHeight="1" x14ac:dyDescent="0.25">
      <c r="A2762" s="27" t="s">
        <v>1114</v>
      </c>
      <c r="B2762" s="27" t="s">
        <v>38</v>
      </c>
    </row>
    <row r="2763" spans="1:2" ht="15.75" customHeight="1" x14ac:dyDescent="0.25">
      <c r="A2763" s="27" t="s">
        <v>1114</v>
      </c>
      <c r="B2763" s="27" t="s">
        <v>38</v>
      </c>
    </row>
    <row r="2764" spans="1:2" ht="15.75" customHeight="1" x14ac:dyDescent="0.25">
      <c r="A2764" s="27" t="s">
        <v>1114</v>
      </c>
      <c r="B2764" s="27" t="s">
        <v>38</v>
      </c>
    </row>
    <row r="2765" spans="1:2" ht="15.75" customHeight="1" x14ac:dyDescent="0.25">
      <c r="A2765" s="27" t="s">
        <v>1114</v>
      </c>
      <c r="B2765" s="27" t="s">
        <v>38</v>
      </c>
    </row>
    <row r="2766" spans="1:2" ht="15.75" customHeight="1" x14ac:dyDescent="0.25">
      <c r="A2766" s="27" t="s">
        <v>1114</v>
      </c>
      <c r="B2766" s="27" t="s">
        <v>38</v>
      </c>
    </row>
    <row r="2767" spans="1:2" ht="15.75" customHeight="1" x14ac:dyDescent="0.25">
      <c r="A2767" s="27" t="s">
        <v>1114</v>
      </c>
      <c r="B2767" s="27" t="s">
        <v>38</v>
      </c>
    </row>
    <row r="2768" spans="1:2" ht="15.75" customHeight="1" x14ac:dyDescent="0.25">
      <c r="A2768" s="27" t="s">
        <v>1114</v>
      </c>
      <c r="B2768" s="27" t="s">
        <v>38</v>
      </c>
    </row>
    <row r="2769" spans="1:2" ht="15.75" customHeight="1" x14ac:dyDescent="0.25">
      <c r="A2769" s="27" t="s">
        <v>1114</v>
      </c>
      <c r="B2769" s="27" t="s">
        <v>38</v>
      </c>
    </row>
    <row r="2770" spans="1:2" ht="15.75" customHeight="1" x14ac:dyDescent="0.25">
      <c r="A2770" s="27" t="s">
        <v>1114</v>
      </c>
      <c r="B2770" s="27" t="s">
        <v>38</v>
      </c>
    </row>
    <row r="2771" spans="1:2" ht="15.75" customHeight="1" x14ac:dyDescent="0.25">
      <c r="A2771" s="27" t="s">
        <v>1114</v>
      </c>
      <c r="B2771" s="27" t="s">
        <v>38</v>
      </c>
    </row>
    <row r="2772" spans="1:2" ht="15.75" customHeight="1" x14ac:dyDescent="0.25">
      <c r="A2772" s="27" t="s">
        <v>1114</v>
      </c>
      <c r="B2772" s="27" t="s">
        <v>38</v>
      </c>
    </row>
    <row r="2773" spans="1:2" ht="15.75" customHeight="1" x14ac:dyDescent="0.25">
      <c r="A2773" s="27" t="s">
        <v>1114</v>
      </c>
      <c r="B2773" s="27" t="s">
        <v>38</v>
      </c>
    </row>
    <row r="2774" spans="1:2" ht="15.75" customHeight="1" x14ac:dyDescent="0.25">
      <c r="A2774" s="27" t="s">
        <v>1114</v>
      </c>
      <c r="B2774" s="27" t="s">
        <v>38</v>
      </c>
    </row>
    <row r="2775" spans="1:2" ht="15.75" customHeight="1" x14ac:dyDescent="0.25">
      <c r="A2775" s="27" t="s">
        <v>1114</v>
      </c>
      <c r="B2775" s="27" t="s">
        <v>38</v>
      </c>
    </row>
    <row r="2776" spans="1:2" ht="15.75" customHeight="1" x14ac:dyDescent="0.25">
      <c r="A2776" s="27" t="s">
        <v>1114</v>
      </c>
      <c r="B2776" s="27" t="s">
        <v>38</v>
      </c>
    </row>
    <row r="2777" spans="1:2" ht="15.75" customHeight="1" x14ac:dyDescent="0.25">
      <c r="A2777" s="27" t="s">
        <v>1114</v>
      </c>
      <c r="B2777" s="27" t="s">
        <v>38</v>
      </c>
    </row>
    <row r="2778" spans="1:2" ht="15.75" customHeight="1" x14ac:dyDescent="0.25">
      <c r="A2778" s="27" t="s">
        <v>1114</v>
      </c>
      <c r="B2778" s="27" t="s">
        <v>38</v>
      </c>
    </row>
    <row r="2779" spans="1:2" ht="15.75" customHeight="1" x14ac:dyDescent="0.25">
      <c r="A2779" s="27" t="s">
        <v>1114</v>
      </c>
      <c r="B2779" s="27" t="s">
        <v>38</v>
      </c>
    </row>
    <row r="2780" spans="1:2" ht="15.75" customHeight="1" x14ac:dyDescent="0.25">
      <c r="A2780" s="27" t="s">
        <v>1114</v>
      </c>
      <c r="B2780" s="27" t="s">
        <v>38</v>
      </c>
    </row>
    <row r="2781" spans="1:2" ht="15.75" customHeight="1" x14ac:dyDescent="0.25">
      <c r="A2781" s="27" t="s">
        <v>1114</v>
      </c>
      <c r="B2781" s="27" t="s">
        <v>38</v>
      </c>
    </row>
    <row r="2782" spans="1:2" ht="15.75" customHeight="1" x14ac:dyDescent="0.25">
      <c r="A2782" s="27" t="s">
        <v>1114</v>
      </c>
      <c r="B2782" s="27" t="s">
        <v>38</v>
      </c>
    </row>
    <row r="2783" spans="1:2" ht="15.75" customHeight="1" x14ac:dyDescent="0.25">
      <c r="A2783" s="27" t="s">
        <v>1114</v>
      </c>
      <c r="B2783" s="27" t="s">
        <v>38</v>
      </c>
    </row>
    <row r="2784" spans="1:2" ht="15.75" customHeight="1" x14ac:dyDescent="0.25">
      <c r="A2784" s="27" t="s">
        <v>1114</v>
      </c>
      <c r="B2784" s="27" t="s">
        <v>38</v>
      </c>
    </row>
    <row r="2785" spans="1:2" ht="15.75" customHeight="1" x14ac:dyDescent="0.25">
      <c r="A2785" s="27" t="s">
        <v>1114</v>
      </c>
      <c r="B2785" s="27" t="s">
        <v>38</v>
      </c>
    </row>
    <row r="2786" spans="1:2" ht="15.75" customHeight="1" x14ac:dyDescent="0.25">
      <c r="A2786" s="27" t="s">
        <v>1114</v>
      </c>
      <c r="B2786" s="27" t="s">
        <v>38</v>
      </c>
    </row>
    <row r="2787" spans="1:2" ht="15.75" customHeight="1" x14ac:dyDescent="0.25">
      <c r="A2787" s="27" t="s">
        <v>1114</v>
      </c>
      <c r="B2787" s="27" t="s">
        <v>38</v>
      </c>
    </row>
    <row r="2788" spans="1:2" ht="15.75" customHeight="1" x14ac:dyDescent="0.25">
      <c r="A2788" s="27" t="s">
        <v>1114</v>
      </c>
      <c r="B2788" s="27" t="s">
        <v>38</v>
      </c>
    </row>
    <row r="2789" spans="1:2" ht="15.75" customHeight="1" x14ac:dyDescent="0.25">
      <c r="A2789" s="27" t="s">
        <v>1114</v>
      </c>
      <c r="B2789" s="27" t="s">
        <v>38</v>
      </c>
    </row>
    <row r="2790" spans="1:2" ht="15.75" customHeight="1" x14ac:dyDescent="0.25">
      <c r="A2790" s="27" t="s">
        <v>1114</v>
      </c>
      <c r="B2790" s="27" t="s">
        <v>38</v>
      </c>
    </row>
    <row r="2791" spans="1:2" ht="15.75" customHeight="1" x14ac:dyDescent="0.25">
      <c r="A2791" s="27" t="s">
        <v>1114</v>
      </c>
      <c r="B2791" s="27" t="s">
        <v>38</v>
      </c>
    </row>
    <row r="2792" spans="1:2" ht="15.75" customHeight="1" x14ac:dyDescent="0.25">
      <c r="A2792" s="27" t="s">
        <v>1114</v>
      </c>
      <c r="B2792" s="27" t="s">
        <v>38</v>
      </c>
    </row>
    <row r="2793" spans="1:2" ht="15.75" customHeight="1" x14ac:dyDescent="0.25">
      <c r="A2793" s="27" t="s">
        <v>1114</v>
      </c>
      <c r="B2793" s="27" t="s">
        <v>38</v>
      </c>
    </row>
    <row r="2794" spans="1:2" ht="15.75" customHeight="1" x14ac:dyDescent="0.25">
      <c r="A2794" s="27" t="s">
        <v>1114</v>
      </c>
      <c r="B2794" s="27" t="s">
        <v>38</v>
      </c>
    </row>
    <row r="2795" spans="1:2" ht="15.75" customHeight="1" x14ac:dyDescent="0.25">
      <c r="A2795" s="27" t="s">
        <v>1114</v>
      </c>
      <c r="B2795" s="27" t="s">
        <v>38</v>
      </c>
    </row>
    <row r="2796" spans="1:2" ht="15.75" customHeight="1" x14ac:dyDescent="0.25">
      <c r="A2796" s="27" t="s">
        <v>1114</v>
      </c>
      <c r="B2796" s="27" t="s">
        <v>38</v>
      </c>
    </row>
    <row r="2797" spans="1:2" ht="15.75" customHeight="1" x14ac:dyDescent="0.25">
      <c r="A2797" s="27" t="s">
        <v>1114</v>
      </c>
      <c r="B2797" s="27" t="s">
        <v>38</v>
      </c>
    </row>
    <row r="2798" spans="1:2" ht="15.75" customHeight="1" x14ac:dyDescent="0.25">
      <c r="A2798" s="27" t="s">
        <v>1114</v>
      </c>
      <c r="B2798" s="27" t="s">
        <v>38</v>
      </c>
    </row>
    <row r="2799" spans="1:2" ht="15.75" customHeight="1" x14ac:dyDescent="0.25">
      <c r="A2799" s="27" t="s">
        <v>1114</v>
      </c>
      <c r="B2799" s="27" t="s">
        <v>38</v>
      </c>
    </row>
    <row r="2800" spans="1:2" ht="15.75" customHeight="1" x14ac:dyDescent="0.25">
      <c r="A2800" s="27" t="s">
        <v>1114</v>
      </c>
      <c r="B2800" s="27" t="s">
        <v>38</v>
      </c>
    </row>
    <row r="2801" spans="1:2" ht="15.75" customHeight="1" x14ac:dyDescent="0.25">
      <c r="A2801" s="27" t="s">
        <v>1114</v>
      </c>
      <c r="B2801" s="27" t="s">
        <v>38</v>
      </c>
    </row>
    <row r="2802" spans="1:2" ht="15.75" customHeight="1" x14ac:dyDescent="0.25">
      <c r="A2802" s="27" t="s">
        <v>1114</v>
      </c>
      <c r="B2802" s="27" t="s">
        <v>38</v>
      </c>
    </row>
    <row r="2803" spans="1:2" ht="15.75" customHeight="1" x14ac:dyDescent="0.25">
      <c r="A2803" s="27" t="s">
        <v>1114</v>
      </c>
      <c r="B2803" s="27" t="s">
        <v>38</v>
      </c>
    </row>
    <row r="2804" spans="1:2" ht="15.75" customHeight="1" x14ac:dyDescent="0.25">
      <c r="A2804" s="27" t="s">
        <v>1114</v>
      </c>
      <c r="B2804" s="27" t="s">
        <v>38</v>
      </c>
    </row>
    <row r="2805" spans="1:2" ht="15.75" customHeight="1" x14ac:dyDescent="0.25">
      <c r="A2805" s="27" t="s">
        <v>1114</v>
      </c>
      <c r="B2805" s="27" t="s">
        <v>38</v>
      </c>
    </row>
    <row r="2806" spans="1:2" ht="15.75" customHeight="1" x14ac:dyDescent="0.25">
      <c r="A2806" s="27" t="s">
        <v>1114</v>
      </c>
      <c r="B2806" s="27" t="s">
        <v>38</v>
      </c>
    </row>
    <row r="2807" spans="1:2" ht="15.75" customHeight="1" x14ac:dyDescent="0.25">
      <c r="A2807" s="27" t="s">
        <v>1114</v>
      </c>
      <c r="B2807" s="27" t="s">
        <v>38</v>
      </c>
    </row>
    <row r="2808" spans="1:2" ht="15.75" customHeight="1" x14ac:dyDescent="0.25">
      <c r="A2808" s="27" t="s">
        <v>1114</v>
      </c>
      <c r="B2808" s="27" t="s">
        <v>38</v>
      </c>
    </row>
    <row r="2809" spans="1:2" ht="15.75" customHeight="1" x14ac:dyDescent="0.25">
      <c r="A2809" s="27" t="s">
        <v>1114</v>
      </c>
      <c r="B2809" s="27" t="s">
        <v>38</v>
      </c>
    </row>
    <row r="2810" spans="1:2" ht="15.75" customHeight="1" x14ac:dyDescent="0.25">
      <c r="A2810" s="27" t="s">
        <v>1114</v>
      </c>
      <c r="B2810" s="27" t="s">
        <v>38</v>
      </c>
    </row>
    <row r="2811" spans="1:2" ht="15.75" customHeight="1" x14ac:dyDescent="0.25">
      <c r="A2811" s="27" t="s">
        <v>1114</v>
      </c>
      <c r="B2811" s="27" t="s">
        <v>38</v>
      </c>
    </row>
    <row r="2812" spans="1:2" ht="15.75" customHeight="1" x14ac:dyDescent="0.25">
      <c r="A2812" s="27" t="s">
        <v>1114</v>
      </c>
      <c r="B2812" s="27" t="s">
        <v>38</v>
      </c>
    </row>
    <row r="2813" spans="1:2" ht="15.75" customHeight="1" x14ac:dyDescent="0.25">
      <c r="A2813" s="27" t="s">
        <v>1114</v>
      </c>
      <c r="B2813" s="27" t="s">
        <v>38</v>
      </c>
    </row>
    <row r="2814" spans="1:2" ht="15.75" customHeight="1" x14ac:dyDescent="0.25">
      <c r="A2814" s="27" t="s">
        <v>1114</v>
      </c>
      <c r="B2814" s="27" t="s">
        <v>38</v>
      </c>
    </row>
    <row r="2815" spans="1:2" ht="15.75" customHeight="1" x14ac:dyDescent="0.25">
      <c r="A2815" s="27" t="s">
        <v>1114</v>
      </c>
      <c r="B2815" s="27" t="s">
        <v>38</v>
      </c>
    </row>
    <row r="2816" spans="1:2" ht="15.75" customHeight="1" x14ac:dyDescent="0.25">
      <c r="A2816" s="27" t="s">
        <v>1114</v>
      </c>
      <c r="B2816" s="27" t="s">
        <v>38</v>
      </c>
    </row>
    <row r="2817" spans="1:2" ht="15.75" customHeight="1" x14ac:dyDescent="0.25">
      <c r="A2817" s="27" t="s">
        <v>1114</v>
      </c>
      <c r="B2817" s="27" t="s">
        <v>38</v>
      </c>
    </row>
    <row r="2818" spans="1:2" ht="15.75" customHeight="1" x14ac:dyDescent="0.25">
      <c r="A2818" s="27" t="s">
        <v>1114</v>
      </c>
      <c r="B2818" s="27" t="s">
        <v>38</v>
      </c>
    </row>
    <row r="2819" spans="1:2" ht="15.75" customHeight="1" x14ac:dyDescent="0.25">
      <c r="A2819" s="27" t="s">
        <v>1114</v>
      </c>
      <c r="B2819" s="27" t="s">
        <v>38</v>
      </c>
    </row>
    <row r="2820" spans="1:2" ht="15.75" customHeight="1" x14ac:dyDescent="0.25">
      <c r="A2820" s="27" t="s">
        <v>1114</v>
      </c>
      <c r="B2820" s="27" t="s">
        <v>38</v>
      </c>
    </row>
    <row r="2821" spans="1:2" ht="15.75" customHeight="1" x14ac:dyDescent="0.25">
      <c r="A2821" s="27" t="s">
        <v>1114</v>
      </c>
      <c r="B2821" s="27" t="s">
        <v>38</v>
      </c>
    </row>
    <row r="2822" spans="1:2" ht="15.75" customHeight="1" x14ac:dyDescent="0.25">
      <c r="A2822" s="27" t="s">
        <v>1114</v>
      </c>
      <c r="B2822" s="27" t="s">
        <v>38</v>
      </c>
    </row>
    <row r="2823" spans="1:2" ht="15.75" customHeight="1" x14ac:dyDescent="0.25">
      <c r="A2823" s="27" t="s">
        <v>1114</v>
      </c>
      <c r="B2823" s="27" t="s">
        <v>38</v>
      </c>
    </row>
    <row r="2824" spans="1:2" ht="15.75" customHeight="1" x14ac:dyDescent="0.25">
      <c r="A2824" s="27" t="s">
        <v>1114</v>
      </c>
      <c r="B2824" s="27" t="s">
        <v>38</v>
      </c>
    </row>
    <row r="2825" spans="1:2" ht="15.75" customHeight="1" x14ac:dyDescent="0.25">
      <c r="A2825" s="27" t="s">
        <v>1114</v>
      </c>
      <c r="B2825" s="27" t="s">
        <v>38</v>
      </c>
    </row>
    <row r="2826" spans="1:2" ht="15.75" customHeight="1" x14ac:dyDescent="0.25">
      <c r="A2826" s="27" t="s">
        <v>1114</v>
      </c>
      <c r="B2826" s="27" t="s">
        <v>38</v>
      </c>
    </row>
    <row r="2827" spans="1:2" ht="15.75" customHeight="1" x14ac:dyDescent="0.25">
      <c r="A2827" s="27" t="s">
        <v>1114</v>
      </c>
      <c r="B2827" s="27" t="s">
        <v>38</v>
      </c>
    </row>
    <row r="2828" spans="1:2" ht="15.75" customHeight="1" x14ac:dyDescent="0.25">
      <c r="A2828" s="27" t="s">
        <v>1114</v>
      </c>
      <c r="B2828" s="27" t="s">
        <v>38</v>
      </c>
    </row>
    <row r="2829" spans="1:2" ht="15.75" customHeight="1" x14ac:dyDescent="0.25">
      <c r="A2829" s="27" t="s">
        <v>1114</v>
      </c>
      <c r="B2829" s="27" t="s">
        <v>38</v>
      </c>
    </row>
    <row r="2830" spans="1:2" ht="15.75" customHeight="1" x14ac:dyDescent="0.25">
      <c r="A2830" s="27" t="s">
        <v>1114</v>
      </c>
      <c r="B2830" s="27" t="s">
        <v>38</v>
      </c>
    </row>
    <row r="2831" spans="1:2" ht="15.75" customHeight="1" x14ac:dyDescent="0.25">
      <c r="A2831" s="27" t="s">
        <v>1114</v>
      </c>
      <c r="B2831" s="27" t="s">
        <v>38</v>
      </c>
    </row>
    <row r="2832" spans="1:2" ht="15.75" customHeight="1" x14ac:dyDescent="0.25">
      <c r="A2832" s="27" t="s">
        <v>1114</v>
      </c>
      <c r="B2832" s="27" t="s">
        <v>38</v>
      </c>
    </row>
    <row r="2833" spans="1:2" ht="15.75" customHeight="1" x14ac:dyDescent="0.25">
      <c r="A2833" s="27" t="s">
        <v>1114</v>
      </c>
      <c r="B2833" s="27" t="s">
        <v>38</v>
      </c>
    </row>
    <row r="2834" spans="1:2" ht="15.75" customHeight="1" x14ac:dyDescent="0.25">
      <c r="A2834" s="27" t="s">
        <v>1114</v>
      </c>
      <c r="B2834" s="27" t="s">
        <v>38</v>
      </c>
    </row>
    <row r="2835" spans="1:2" ht="15.75" customHeight="1" x14ac:dyDescent="0.25">
      <c r="A2835" s="27" t="s">
        <v>1114</v>
      </c>
      <c r="B2835" s="27" t="s">
        <v>38</v>
      </c>
    </row>
    <row r="2836" spans="1:2" ht="15.75" customHeight="1" x14ac:dyDescent="0.25">
      <c r="A2836" s="27" t="s">
        <v>1114</v>
      </c>
      <c r="B2836" s="27" t="s">
        <v>38</v>
      </c>
    </row>
    <row r="2837" spans="1:2" ht="15.75" customHeight="1" x14ac:dyDescent="0.25">
      <c r="A2837" s="27" t="s">
        <v>1114</v>
      </c>
      <c r="B2837" s="27" t="s">
        <v>38</v>
      </c>
    </row>
    <row r="2838" spans="1:2" ht="15.75" customHeight="1" x14ac:dyDescent="0.25">
      <c r="A2838" s="27" t="s">
        <v>1114</v>
      </c>
      <c r="B2838" s="27" t="s">
        <v>38</v>
      </c>
    </row>
    <row r="2839" spans="1:2" ht="15.75" customHeight="1" x14ac:dyDescent="0.25">
      <c r="A2839" s="27" t="s">
        <v>1114</v>
      </c>
      <c r="B2839" s="27" t="s">
        <v>38</v>
      </c>
    </row>
    <row r="2840" spans="1:2" ht="15.75" customHeight="1" x14ac:dyDescent="0.25">
      <c r="A2840" s="27" t="s">
        <v>1114</v>
      </c>
      <c r="B2840" s="27" t="s">
        <v>38</v>
      </c>
    </row>
    <row r="2841" spans="1:2" ht="15.75" customHeight="1" x14ac:dyDescent="0.25">
      <c r="A2841" s="27" t="s">
        <v>1114</v>
      </c>
      <c r="B2841" s="27" t="s">
        <v>38</v>
      </c>
    </row>
    <row r="2842" spans="1:2" ht="15.75" customHeight="1" x14ac:dyDescent="0.25">
      <c r="A2842" s="27" t="s">
        <v>1114</v>
      </c>
      <c r="B2842" s="27" t="s">
        <v>38</v>
      </c>
    </row>
    <row r="2843" spans="1:2" ht="15.75" customHeight="1" x14ac:dyDescent="0.25">
      <c r="A2843" s="27" t="s">
        <v>1114</v>
      </c>
      <c r="B2843" s="27" t="s">
        <v>38</v>
      </c>
    </row>
    <row r="2844" spans="1:2" ht="15.75" customHeight="1" x14ac:dyDescent="0.25">
      <c r="A2844" s="27" t="s">
        <v>1114</v>
      </c>
      <c r="B2844" s="27" t="s">
        <v>38</v>
      </c>
    </row>
    <row r="2845" spans="1:2" ht="15.75" customHeight="1" x14ac:dyDescent="0.25">
      <c r="A2845" s="27" t="s">
        <v>1114</v>
      </c>
      <c r="B2845" s="27" t="s">
        <v>38</v>
      </c>
    </row>
    <row r="2846" spans="1:2" ht="15.75" customHeight="1" x14ac:dyDescent="0.25">
      <c r="A2846" s="27" t="s">
        <v>1114</v>
      </c>
      <c r="B2846" s="27" t="s">
        <v>38</v>
      </c>
    </row>
    <row r="2847" spans="1:2" ht="15.75" customHeight="1" x14ac:dyDescent="0.25">
      <c r="A2847" s="27" t="s">
        <v>1114</v>
      </c>
      <c r="B2847" s="27" t="s">
        <v>38</v>
      </c>
    </row>
    <row r="2848" spans="1:2" ht="15.75" customHeight="1" x14ac:dyDescent="0.25">
      <c r="A2848" s="27" t="s">
        <v>1114</v>
      </c>
      <c r="B2848" s="27" t="s">
        <v>38</v>
      </c>
    </row>
    <row r="2849" spans="1:2" ht="15.75" customHeight="1" x14ac:dyDescent="0.25">
      <c r="A2849" s="27" t="s">
        <v>1114</v>
      </c>
      <c r="B2849" s="27" t="s">
        <v>38</v>
      </c>
    </row>
    <row r="2850" spans="1:2" ht="15.75" customHeight="1" x14ac:dyDescent="0.25">
      <c r="A2850" s="27" t="s">
        <v>1114</v>
      </c>
      <c r="B2850" s="27" t="s">
        <v>38</v>
      </c>
    </row>
    <row r="2851" spans="1:2" ht="15.75" customHeight="1" x14ac:dyDescent="0.25">
      <c r="A2851" s="27" t="s">
        <v>1114</v>
      </c>
      <c r="B2851" s="27" t="s">
        <v>38</v>
      </c>
    </row>
    <row r="2852" spans="1:2" ht="15.75" customHeight="1" x14ac:dyDescent="0.25">
      <c r="A2852" s="27" t="s">
        <v>1114</v>
      </c>
      <c r="B2852" s="27" t="s">
        <v>38</v>
      </c>
    </row>
    <row r="2853" spans="1:2" ht="15.75" customHeight="1" x14ac:dyDescent="0.25">
      <c r="A2853" s="27" t="s">
        <v>1114</v>
      </c>
      <c r="B2853" s="27" t="s">
        <v>38</v>
      </c>
    </row>
    <row r="2854" spans="1:2" ht="15.75" customHeight="1" x14ac:dyDescent="0.25">
      <c r="A2854" s="27" t="s">
        <v>1114</v>
      </c>
      <c r="B2854" s="27" t="s">
        <v>38</v>
      </c>
    </row>
    <row r="2855" spans="1:2" ht="15.75" customHeight="1" x14ac:dyDescent="0.25">
      <c r="A2855" s="27" t="s">
        <v>1114</v>
      </c>
      <c r="B2855" s="27" t="s">
        <v>38</v>
      </c>
    </row>
    <row r="2856" spans="1:2" ht="15.75" customHeight="1" x14ac:dyDescent="0.25">
      <c r="A2856" s="27" t="s">
        <v>1114</v>
      </c>
      <c r="B2856" s="27" t="s">
        <v>38</v>
      </c>
    </row>
    <row r="2857" spans="1:2" ht="15.75" customHeight="1" x14ac:dyDescent="0.25">
      <c r="A2857" s="27" t="s">
        <v>1114</v>
      </c>
      <c r="B2857" s="27" t="s">
        <v>38</v>
      </c>
    </row>
    <row r="2858" spans="1:2" ht="15.75" customHeight="1" x14ac:dyDescent="0.25">
      <c r="A2858" s="27" t="s">
        <v>1114</v>
      </c>
      <c r="B2858" s="27" t="s">
        <v>38</v>
      </c>
    </row>
    <row r="2859" spans="1:2" ht="15.75" customHeight="1" x14ac:dyDescent="0.25">
      <c r="A2859" s="27" t="s">
        <v>1114</v>
      </c>
      <c r="B2859" s="27" t="s">
        <v>38</v>
      </c>
    </row>
    <row r="2860" spans="1:2" ht="15.75" customHeight="1" x14ac:dyDescent="0.25">
      <c r="A2860" s="27" t="s">
        <v>1114</v>
      </c>
      <c r="B2860" s="27" t="s">
        <v>38</v>
      </c>
    </row>
    <row r="2861" spans="1:2" ht="15.75" customHeight="1" x14ac:dyDescent="0.25">
      <c r="A2861" s="27" t="s">
        <v>1114</v>
      </c>
      <c r="B2861" s="27" t="s">
        <v>38</v>
      </c>
    </row>
    <row r="2862" spans="1:2" ht="15.75" customHeight="1" x14ac:dyDescent="0.25">
      <c r="A2862" s="27" t="s">
        <v>1114</v>
      </c>
      <c r="B2862" s="27" t="s">
        <v>38</v>
      </c>
    </row>
    <row r="2863" spans="1:2" ht="15.75" customHeight="1" x14ac:dyDescent="0.25">
      <c r="A2863" s="27" t="s">
        <v>1114</v>
      </c>
      <c r="B2863" s="27" t="s">
        <v>38</v>
      </c>
    </row>
    <row r="2864" spans="1:2" ht="15.75" customHeight="1" x14ac:dyDescent="0.25">
      <c r="A2864" s="27" t="s">
        <v>1114</v>
      </c>
      <c r="B2864" s="27" t="s">
        <v>38</v>
      </c>
    </row>
    <row r="2865" spans="1:2" ht="15.75" customHeight="1" x14ac:dyDescent="0.25">
      <c r="A2865" s="27" t="s">
        <v>1114</v>
      </c>
      <c r="B2865" s="27" t="s">
        <v>38</v>
      </c>
    </row>
    <row r="2866" spans="1:2" ht="15.75" customHeight="1" x14ac:dyDescent="0.25">
      <c r="A2866" s="27" t="s">
        <v>1114</v>
      </c>
      <c r="B2866" s="27" t="s">
        <v>38</v>
      </c>
    </row>
    <row r="2867" spans="1:2" ht="15.75" customHeight="1" x14ac:dyDescent="0.25">
      <c r="A2867" s="27" t="s">
        <v>1114</v>
      </c>
      <c r="B2867" s="27" t="s">
        <v>38</v>
      </c>
    </row>
    <row r="2868" spans="1:2" ht="15.75" customHeight="1" x14ac:dyDescent="0.25">
      <c r="A2868" s="27" t="s">
        <v>1114</v>
      </c>
      <c r="B2868" s="27" t="s">
        <v>38</v>
      </c>
    </row>
    <row r="2869" spans="1:2" ht="15.75" customHeight="1" x14ac:dyDescent="0.25">
      <c r="A2869" s="27" t="s">
        <v>1114</v>
      </c>
      <c r="B2869" s="27" t="s">
        <v>38</v>
      </c>
    </row>
    <row r="2870" spans="1:2" ht="15.75" customHeight="1" x14ac:dyDescent="0.25">
      <c r="A2870" s="27" t="s">
        <v>1114</v>
      </c>
      <c r="B2870" s="27" t="s">
        <v>38</v>
      </c>
    </row>
    <row r="2871" spans="1:2" ht="15.75" customHeight="1" x14ac:dyDescent="0.25">
      <c r="A2871" s="27" t="s">
        <v>1114</v>
      </c>
      <c r="B2871" s="27" t="s">
        <v>38</v>
      </c>
    </row>
    <row r="2872" spans="1:2" ht="15.75" customHeight="1" x14ac:dyDescent="0.25">
      <c r="A2872" s="27" t="s">
        <v>1114</v>
      </c>
      <c r="B2872" s="27" t="s">
        <v>38</v>
      </c>
    </row>
    <row r="2873" spans="1:2" ht="15.75" customHeight="1" x14ac:dyDescent="0.25">
      <c r="A2873" s="27" t="s">
        <v>1114</v>
      </c>
      <c r="B2873" s="27" t="s">
        <v>38</v>
      </c>
    </row>
    <row r="2874" spans="1:2" ht="15.75" customHeight="1" x14ac:dyDescent="0.25">
      <c r="A2874" s="27" t="s">
        <v>1114</v>
      </c>
      <c r="B2874" s="27" t="s">
        <v>38</v>
      </c>
    </row>
    <row r="2875" spans="1:2" ht="15.75" customHeight="1" x14ac:dyDescent="0.25">
      <c r="A2875" s="27" t="s">
        <v>1114</v>
      </c>
      <c r="B2875" s="27" t="s">
        <v>38</v>
      </c>
    </row>
    <row r="2876" spans="1:2" ht="15.75" customHeight="1" x14ac:dyDescent="0.25">
      <c r="A2876" s="27" t="s">
        <v>1114</v>
      </c>
      <c r="B2876" s="27" t="s">
        <v>38</v>
      </c>
    </row>
    <row r="2877" spans="1:2" ht="15.75" customHeight="1" x14ac:dyDescent="0.25">
      <c r="A2877" s="27" t="s">
        <v>1114</v>
      </c>
      <c r="B2877" s="27" t="s">
        <v>38</v>
      </c>
    </row>
    <row r="2878" spans="1:2" ht="15.75" customHeight="1" x14ac:dyDescent="0.25">
      <c r="A2878" s="27" t="s">
        <v>1114</v>
      </c>
      <c r="B2878" s="27" t="s">
        <v>38</v>
      </c>
    </row>
    <row r="2879" spans="1:2" ht="15.75" customHeight="1" x14ac:dyDescent="0.25">
      <c r="A2879" s="27" t="s">
        <v>1114</v>
      </c>
      <c r="B2879" s="27" t="s">
        <v>38</v>
      </c>
    </row>
    <row r="2880" spans="1:2" ht="15.75" customHeight="1" x14ac:dyDescent="0.25">
      <c r="A2880" s="27" t="s">
        <v>1114</v>
      </c>
      <c r="B2880" s="27" t="s">
        <v>38</v>
      </c>
    </row>
    <row r="2881" spans="1:2" ht="15.75" customHeight="1" x14ac:dyDescent="0.25">
      <c r="A2881" s="27" t="s">
        <v>1114</v>
      </c>
      <c r="B2881" s="27" t="s">
        <v>38</v>
      </c>
    </row>
    <row r="2882" spans="1:2" ht="15.75" customHeight="1" x14ac:dyDescent="0.25">
      <c r="A2882" s="27" t="s">
        <v>1114</v>
      </c>
      <c r="B2882" s="27" t="s">
        <v>38</v>
      </c>
    </row>
    <row r="2883" spans="1:2" ht="15.75" customHeight="1" x14ac:dyDescent="0.25">
      <c r="A2883" s="27" t="s">
        <v>1114</v>
      </c>
      <c r="B2883" s="27" t="s">
        <v>38</v>
      </c>
    </row>
    <row r="2884" spans="1:2" ht="15.75" customHeight="1" x14ac:dyDescent="0.25">
      <c r="A2884" s="27" t="s">
        <v>1114</v>
      </c>
      <c r="B2884" s="27" t="s">
        <v>38</v>
      </c>
    </row>
    <row r="2885" spans="1:2" ht="15.75" customHeight="1" x14ac:dyDescent="0.25">
      <c r="A2885" s="27" t="s">
        <v>1114</v>
      </c>
      <c r="B2885" s="27" t="s">
        <v>38</v>
      </c>
    </row>
    <row r="2886" spans="1:2" ht="15.75" customHeight="1" x14ac:dyDescent="0.25">
      <c r="A2886" s="27" t="s">
        <v>1114</v>
      </c>
      <c r="B2886" s="27" t="s">
        <v>38</v>
      </c>
    </row>
    <row r="2887" spans="1:2" ht="15.75" customHeight="1" x14ac:dyDescent="0.25">
      <c r="A2887" s="27" t="s">
        <v>1115</v>
      </c>
      <c r="B2887" s="27" t="s">
        <v>39</v>
      </c>
    </row>
    <row r="2888" spans="1:2" ht="15.75" customHeight="1" x14ac:dyDescent="0.25">
      <c r="A2888" s="27" t="s">
        <v>1115</v>
      </c>
      <c r="B2888" s="27" t="s">
        <v>39</v>
      </c>
    </row>
    <row r="2889" spans="1:2" ht="15.75" customHeight="1" x14ac:dyDescent="0.25">
      <c r="A2889" s="27" t="s">
        <v>1115</v>
      </c>
      <c r="B2889" s="27" t="s">
        <v>39</v>
      </c>
    </row>
    <row r="2890" spans="1:2" ht="15.75" customHeight="1" x14ac:dyDescent="0.25">
      <c r="A2890" s="27" t="s">
        <v>1116</v>
      </c>
      <c r="B2890" s="27" t="s">
        <v>152</v>
      </c>
    </row>
    <row r="2891" spans="1:2" ht="15.75" customHeight="1" x14ac:dyDescent="0.25">
      <c r="A2891" s="27" t="s">
        <v>1116</v>
      </c>
      <c r="B2891" s="27" t="s">
        <v>152</v>
      </c>
    </row>
    <row r="2892" spans="1:2" ht="15.75" customHeight="1" x14ac:dyDescent="0.25">
      <c r="A2892" s="27" t="s">
        <v>1116</v>
      </c>
      <c r="B2892" s="27" t="s">
        <v>152</v>
      </c>
    </row>
    <row r="2893" spans="1:2" ht="15.75" customHeight="1" x14ac:dyDescent="0.25">
      <c r="A2893" s="27" t="s">
        <v>1116</v>
      </c>
      <c r="B2893" s="27" t="s">
        <v>152</v>
      </c>
    </row>
    <row r="2894" spans="1:2" ht="15.75" customHeight="1" x14ac:dyDescent="0.25">
      <c r="A2894" s="27" t="s">
        <v>1116</v>
      </c>
      <c r="B2894" s="27" t="s">
        <v>152</v>
      </c>
    </row>
    <row r="2895" spans="1:2" ht="15.75" customHeight="1" x14ac:dyDescent="0.25">
      <c r="A2895" s="27" t="s">
        <v>1116</v>
      </c>
      <c r="B2895" s="27" t="s">
        <v>152</v>
      </c>
    </row>
    <row r="2896" spans="1:2" ht="15.75" customHeight="1" x14ac:dyDescent="0.25">
      <c r="A2896" s="27" t="s">
        <v>1116</v>
      </c>
      <c r="B2896" s="27" t="s">
        <v>152</v>
      </c>
    </row>
    <row r="2897" spans="1:2" ht="15.75" customHeight="1" x14ac:dyDescent="0.25">
      <c r="A2897" s="27" t="s">
        <v>1116</v>
      </c>
      <c r="B2897" s="27" t="s">
        <v>152</v>
      </c>
    </row>
    <row r="2898" spans="1:2" ht="15.75" customHeight="1" x14ac:dyDescent="0.25">
      <c r="A2898" s="27" t="s">
        <v>1116</v>
      </c>
      <c r="B2898" s="27" t="s">
        <v>152</v>
      </c>
    </row>
    <row r="2899" spans="1:2" ht="15.75" customHeight="1" x14ac:dyDescent="0.25">
      <c r="A2899" s="27" t="s">
        <v>1117</v>
      </c>
      <c r="B2899" s="27" t="s">
        <v>153</v>
      </c>
    </row>
    <row r="2900" spans="1:2" ht="15.75" customHeight="1" x14ac:dyDescent="0.25">
      <c r="A2900" s="27" t="s">
        <v>1117</v>
      </c>
      <c r="B2900" s="27" t="s">
        <v>153</v>
      </c>
    </row>
    <row r="2901" spans="1:2" ht="15.75" customHeight="1" x14ac:dyDescent="0.25">
      <c r="A2901" s="27" t="s">
        <v>1117</v>
      </c>
      <c r="B2901" s="27" t="s">
        <v>153</v>
      </c>
    </row>
    <row r="2902" spans="1:2" ht="15.75" customHeight="1" x14ac:dyDescent="0.25">
      <c r="A2902" s="27" t="s">
        <v>1117</v>
      </c>
      <c r="B2902" s="27" t="s">
        <v>153</v>
      </c>
    </row>
    <row r="2903" spans="1:2" ht="15.75" customHeight="1" x14ac:dyDescent="0.25">
      <c r="A2903" s="27" t="s">
        <v>1117</v>
      </c>
      <c r="B2903" s="27" t="s">
        <v>153</v>
      </c>
    </row>
    <row r="2904" spans="1:2" ht="15.75" customHeight="1" x14ac:dyDescent="0.25">
      <c r="A2904" s="27" t="s">
        <v>1117</v>
      </c>
      <c r="B2904" s="27" t="s">
        <v>153</v>
      </c>
    </row>
    <row r="2905" spans="1:2" ht="15.75" customHeight="1" x14ac:dyDescent="0.25">
      <c r="A2905" s="27" t="s">
        <v>1117</v>
      </c>
      <c r="B2905" s="27" t="s">
        <v>153</v>
      </c>
    </row>
    <row r="2906" spans="1:2" ht="15.75" customHeight="1" x14ac:dyDescent="0.25">
      <c r="A2906" s="27" t="s">
        <v>1117</v>
      </c>
      <c r="B2906" s="27" t="s">
        <v>153</v>
      </c>
    </row>
    <row r="2907" spans="1:2" ht="15.75" customHeight="1" x14ac:dyDescent="0.25">
      <c r="A2907" s="27" t="s">
        <v>1117</v>
      </c>
      <c r="B2907" s="27" t="s">
        <v>153</v>
      </c>
    </row>
    <row r="2908" spans="1:2" ht="15.75" customHeight="1" x14ac:dyDescent="0.25">
      <c r="A2908" s="27" t="s">
        <v>1117</v>
      </c>
      <c r="B2908" s="27" t="s">
        <v>153</v>
      </c>
    </row>
    <row r="2909" spans="1:2" ht="15.75" customHeight="1" x14ac:dyDescent="0.25">
      <c r="A2909" s="27" t="s">
        <v>1117</v>
      </c>
      <c r="B2909" s="27" t="s">
        <v>153</v>
      </c>
    </row>
    <row r="2910" spans="1:2" ht="15.75" customHeight="1" x14ac:dyDescent="0.25">
      <c r="A2910" s="27" t="s">
        <v>1117</v>
      </c>
      <c r="B2910" s="27" t="s">
        <v>153</v>
      </c>
    </row>
    <row r="2911" spans="1:2" ht="15.75" customHeight="1" x14ac:dyDescent="0.25">
      <c r="A2911" s="27" t="s">
        <v>1117</v>
      </c>
      <c r="B2911" s="27" t="s">
        <v>153</v>
      </c>
    </row>
    <row r="2912" spans="1:2" ht="15.75" customHeight="1" x14ac:dyDescent="0.25">
      <c r="A2912" s="27" t="s">
        <v>1118</v>
      </c>
      <c r="B2912" s="27" t="s">
        <v>1119</v>
      </c>
    </row>
    <row r="2913" spans="1:2" ht="15.75" customHeight="1" x14ac:dyDescent="0.25">
      <c r="A2913" s="27" t="s">
        <v>1120</v>
      </c>
      <c r="B2913" s="27" t="s">
        <v>1121</v>
      </c>
    </row>
    <row r="2914" spans="1:2" ht="15.75" customHeight="1" x14ac:dyDescent="0.25">
      <c r="A2914" s="27" t="s">
        <v>1122</v>
      </c>
      <c r="B2914" s="27" t="s">
        <v>1123</v>
      </c>
    </row>
    <row r="2915" spans="1:2" ht="15.75" customHeight="1" x14ac:dyDescent="0.25">
      <c r="A2915" s="27" t="s">
        <v>1124</v>
      </c>
      <c r="B2915" s="27" t="s">
        <v>1125</v>
      </c>
    </row>
    <row r="2916" spans="1:2" ht="15.75" customHeight="1" x14ac:dyDescent="0.25">
      <c r="A2916" s="27" t="s">
        <v>1126</v>
      </c>
      <c r="B2916" s="27" t="s">
        <v>1125</v>
      </c>
    </row>
    <row r="2917" spans="1:2" ht="15.75" customHeight="1" x14ac:dyDescent="0.25">
      <c r="A2917" s="27" t="s">
        <v>1124</v>
      </c>
      <c r="B2917" s="27" t="s">
        <v>1125</v>
      </c>
    </row>
    <row r="2918" spans="1:2" ht="15.75" customHeight="1" x14ac:dyDescent="0.25">
      <c r="A2918" s="27" t="s">
        <v>1127</v>
      </c>
      <c r="B2918" s="27" t="s">
        <v>457</v>
      </c>
    </row>
    <row r="2919" spans="1:2" ht="15.75" customHeight="1" x14ac:dyDescent="0.25">
      <c r="A2919" s="27" t="s">
        <v>1127</v>
      </c>
      <c r="B2919" s="27" t="s">
        <v>457</v>
      </c>
    </row>
    <row r="2920" spans="1:2" ht="15.75" customHeight="1" x14ac:dyDescent="0.25">
      <c r="A2920" s="27" t="s">
        <v>1127</v>
      </c>
      <c r="B2920" s="27" t="s">
        <v>457</v>
      </c>
    </row>
    <row r="2921" spans="1:2" ht="15.75" customHeight="1" x14ac:dyDescent="0.25">
      <c r="A2921" s="27" t="s">
        <v>1127</v>
      </c>
      <c r="B2921" s="27" t="s">
        <v>457</v>
      </c>
    </row>
    <row r="2922" spans="1:2" ht="15.75" customHeight="1" x14ac:dyDescent="0.25">
      <c r="A2922" s="27" t="s">
        <v>1127</v>
      </c>
      <c r="B2922" s="27" t="s">
        <v>457</v>
      </c>
    </row>
    <row r="2923" spans="1:2" ht="15.75" customHeight="1" x14ac:dyDescent="0.25">
      <c r="A2923" s="27" t="s">
        <v>1128</v>
      </c>
      <c r="B2923" s="27" t="s">
        <v>40</v>
      </c>
    </row>
    <row r="2924" spans="1:2" ht="15.75" customHeight="1" x14ac:dyDescent="0.25">
      <c r="A2924" s="27" t="s">
        <v>1128</v>
      </c>
      <c r="B2924" s="27" t="s">
        <v>40</v>
      </c>
    </row>
    <row r="2925" spans="1:2" ht="15.75" customHeight="1" x14ac:dyDescent="0.25">
      <c r="A2925" s="27" t="s">
        <v>1128</v>
      </c>
      <c r="B2925" s="27" t="s">
        <v>40</v>
      </c>
    </row>
    <row r="2926" spans="1:2" ht="15.75" customHeight="1" x14ac:dyDescent="0.25">
      <c r="A2926" s="27" t="s">
        <v>1128</v>
      </c>
      <c r="B2926" s="27" t="s">
        <v>40</v>
      </c>
    </row>
    <row r="2927" spans="1:2" ht="15.75" customHeight="1" x14ac:dyDescent="0.25">
      <c r="A2927" s="27" t="s">
        <v>1128</v>
      </c>
      <c r="B2927" s="27" t="s">
        <v>40</v>
      </c>
    </row>
    <row r="2928" spans="1:2" ht="15.75" customHeight="1" x14ac:dyDescent="0.25">
      <c r="A2928" s="27" t="s">
        <v>1128</v>
      </c>
      <c r="B2928" s="27" t="s">
        <v>40</v>
      </c>
    </row>
    <row r="2929" spans="1:2" ht="15.75" customHeight="1" x14ac:dyDescent="0.25">
      <c r="A2929" s="27" t="s">
        <v>1128</v>
      </c>
      <c r="B2929" s="27" t="s">
        <v>40</v>
      </c>
    </row>
    <row r="2930" spans="1:2" ht="15.75" customHeight="1" x14ac:dyDescent="0.25">
      <c r="A2930" s="27" t="s">
        <v>1128</v>
      </c>
      <c r="B2930" s="27" t="s">
        <v>40</v>
      </c>
    </row>
    <row r="2931" spans="1:2" ht="15.75" customHeight="1" x14ac:dyDescent="0.25">
      <c r="A2931" s="27" t="s">
        <v>1128</v>
      </c>
      <c r="B2931" s="27" t="s">
        <v>40</v>
      </c>
    </row>
    <row r="2932" spans="1:2" ht="15.75" customHeight="1" x14ac:dyDescent="0.25">
      <c r="A2932" s="27" t="s">
        <v>1129</v>
      </c>
      <c r="B2932" s="27" t="s">
        <v>154</v>
      </c>
    </row>
    <row r="2933" spans="1:2" ht="15.75" customHeight="1" x14ac:dyDescent="0.25">
      <c r="A2933" s="27" t="s">
        <v>1129</v>
      </c>
      <c r="B2933" s="27" t="s">
        <v>154</v>
      </c>
    </row>
    <row r="2934" spans="1:2" ht="15.75" customHeight="1" x14ac:dyDescent="0.25">
      <c r="A2934" s="27" t="s">
        <v>1129</v>
      </c>
      <c r="B2934" s="27" t="s">
        <v>154</v>
      </c>
    </row>
    <row r="2935" spans="1:2" ht="15.75" customHeight="1" x14ac:dyDescent="0.25">
      <c r="A2935" s="27" t="s">
        <v>1129</v>
      </c>
      <c r="B2935" s="27" t="s">
        <v>154</v>
      </c>
    </row>
    <row r="2936" spans="1:2" ht="15.75" customHeight="1" x14ac:dyDescent="0.25">
      <c r="A2936" s="27" t="s">
        <v>1129</v>
      </c>
      <c r="B2936" s="27" t="s">
        <v>154</v>
      </c>
    </row>
    <row r="2937" spans="1:2" ht="15.75" customHeight="1" x14ac:dyDescent="0.25">
      <c r="A2937" s="27" t="s">
        <v>1129</v>
      </c>
      <c r="B2937" s="27" t="s">
        <v>154</v>
      </c>
    </row>
    <row r="2938" spans="1:2" ht="15.75" customHeight="1" x14ac:dyDescent="0.25">
      <c r="A2938" s="27" t="s">
        <v>1129</v>
      </c>
      <c r="B2938" s="27" t="s">
        <v>154</v>
      </c>
    </row>
    <row r="2939" spans="1:2" ht="15.75" customHeight="1" x14ac:dyDescent="0.25">
      <c r="A2939" s="27" t="s">
        <v>1129</v>
      </c>
      <c r="B2939" s="27" t="s">
        <v>154</v>
      </c>
    </row>
    <row r="2940" spans="1:2" ht="15.75" customHeight="1" x14ac:dyDescent="0.25">
      <c r="A2940" s="27" t="s">
        <v>1130</v>
      </c>
      <c r="B2940" s="27" t="s">
        <v>1131</v>
      </c>
    </row>
    <row r="2941" spans="1:2" ht="15.75" customHeight="1" x14ac:dyDescent="0.25">
      <c r="A2941" s="27" t="s">
        <v>1130</v>
      </c>
      <c r="B2941" s="27" t="s">
        <v>1131</v>
      </c>
    </row>
    <row r="2942" spans="1:2" ht="15.75" customHeight="1" x14ac:dyDescent="0.25">
      <c r="A2942" s="27" t="s">
        <v>1130</v>
      </c>
      <c r="B2942" s="27" t="s">
        <v>1131</v>
      </c>
    </row>
    <row r="2943" spans="1:2" ht="15.75" customHeight="1" x14ac:dyDescent="0.25">
      <c r="A2943" s="27" t="s">
        <v>1130</v>
      </c>
      <c r="B2943" s="27" t="s">
        <v>1131</v>
      </c>
    </row>
    <row r="2944" spans="1:2" ht="15.75" customHeight="1" x14ac:dyDescent="0.25">
      <c r="A2944" s="27" t="s">
        <v>1132</v>
      </c>
      <c r="B2944" s="27" t="s">
        <v>462</v>
      </c>
    </row>
    <row r="2945" spans="1:2" ht="15.75" customHeight="1" x14ac:dyDescent="0.25">
      <c r="A2945" s="27" t="s">
        <v>1132</v>
      </c>
      <c r="B2945" s="27" t="s">
        <v>462</v>
      </c>
    </row>
    <row r="2946" spans="1:2" ht="15.75" customHeight="1" x14ac:dyDescent="0.25">
      <c r="A2946" s="27" t="s">
        <v>1132</v>
      </c>
      <c r="B2946" s="27" t="s">
        <v>462</v>
      </c>
    </row>
    <row r="2947" spans="1:2" ht="15.75" customHeight="1" x14ac:dyDescent="0.25">
      <c r="A2947" s="27" t="s">
        <v>1132</v>
      </c>
      <c r="B2947" s="27" t="s">
        <v>462</v>
      </c>
    </row>
    <row r="2948" spans="1:2" ht="15.75" customHeight="1" x14ac:dyDescent="0.25">
      <c r="A2948" s="27" t="s">
        <v>1132</v>
      </c>
      <c r="B2948" s="27" t="s">
        <v>462</v>
      </c>
    </row>
    <row r="2949" spans="1:2" ht="15.75" customHeight="1" x14ac:dyDescent="0.25">
      <c r="A2949" s="27" t="s">
        <v>1133</v>
      </c>
      <c r="B2949" s="27" t="s">
        <v>155</v>
      </c>
    </row>
    <row r="2950" spans="1:2" ht="15.75" customHeight="1" x14ac:dyDescent="0.25">
      <c r="A2950" s="27" t="s">
        <v>1133</v>
      </c>
      <c r="B2950" s="27" t="s">
        <v>155</v>
      </c>
    </row>
    <row r="2951" spans="1:2" ht="15.75" customHeight="1" x14ac:dyDescent="0.25">
      <c r="A2951" s="27" t="s">
        <v>1133</v>
      </c>
      <c r="B2951" s="27" t="s">
        <v>155</v>
      </c>
    </row>
    <row r="2952" spans="1:2" ht="15.75" customHeight="1" x14ac:dyDescent="0.25">
      <c r="A2952" s="27" t="s">
        <v>1133</v>
      </c>
      <c r="B2952" s="27" t="s">
        <v>155</v>
      </c>
    </row>
    <row r="2953" spans="1:2" ht="15.75" customHeight="1" x14ac:dyDescent="0.25">
      <c r="A2953" s="27" t="s">
        <v>1133</v>
      </c>
      <c r="B2953" s="27" t="s">
        <v>155</v>
      </c>
    </row>
    <row r="2954" spans="1:2" ht="15.75" customHeight="1" x14ac:dyDescent="0.25">
      <c r="A2954" s="27" t="s">
        <v>1133</v>
      </c>
      <c r="B2954" s="27" t="s">
        <v>155</v>
      </c>
    </row>
    <row r="2955" spans="1:2" ht="15.75" customHeight="1" x14ac:dyDescent="0.25">
      <c r="A2955" s="27" t="s">
        <v>1134</v>
      </c>
      <c r="B2955" s="27" t="s">
        <v>111</v>
      </c>
    </row>
    <row r="2956" spans="1:2" ht="15.75" customHeight="1" x14ac:dyDescent="0.25">
      <c r="A2956" s="27" t="s">
        <v>1134</v>
      </c>
      <c r="B2956" s="27" t="s">
        <v>111</v>
      </c>
    </row>
    <row r="2957" spans="1:2" ht="15.75" customHeight="1" x14ac:dyDescent="0.25">
      <c r="A2957" s="27" t="s">
        <v>1134</v>
      </c>
      <c r="B2957" s="27" t="s">
        <v>111</v>
      </c>
    </row>
    <row r="2958" spans="1:2" ht="15.75" customHeight="1" x14ac:dyDescent="0.25">
      <c r="A2958" s="27" t="s">
        <v>1134</v>
      </c>
      <c r="B2958" s="27" t="s">
        <v>111</v>
      </c>
    </row>
    <row r="2959" spans="1:2" ht="15.75" customHeight="1" x14ac:dyDescent="0.25">
      <c r="A2959" s="27" t="s">
        <v>1134</v>
      </c>
      <c r="B2959" s="27" t="s">
        <v>111</v>
      </c>
    </row>
    <row r="2960" spans="1:2" ht="15.75" customHeight="1" x14ac:dyDescent="0.25">
      <c r="A2960" s="27" t="s">
        <v>1134</v>
      </c>
      <c r="B2960" s="27" t="s">
        <v>111</v>
      </c>
    </row>
    <row r="2961" spans="1:2" ht="15.75" customHeight="1" x14ac:dyDescent="0.25">
      <c r="A2961" s="27" t="s">
        <v>1134</v>
      </c>
      <c r="B2961" s="27" t="s">
        <v>111</v>
      </c>
    </row>
    <row r="2962" spans="1:2" ht="15.75" customHeight="1" x14ac:dyDescent="0.25">
      <c r="A2962" s="27" t="s">
        <v>1134</v>
      </c>
      <c r="B2962" s="27" t="s">
        <v>111</v>
      </c>
    </row>
    <row r="2963" spans="1:2" ht="15.75" customHeight="1" x14ac:dyDescent="0.25">
      <c r="A2963" s="27" t="s">
        <v>1134</v>
      </c>
      <c r="B2963" s="27" t="s">
        <v>111</v>
      </c>
    </row>
    <row r="2964" spans="1:2" ht="15.75" customHeight="1" x14ac:dyDescent="0.25">
      <c r="A2964" s="27" t="s">
        <v>1134</v>
      </c>
      <c r="B2964" s="27" t="s">
        <v>111</v>
      </c>
    </row>
    <row r="2965" spans="1:2" ht="15.75" customHeight="1" x14ac:dyDescent="0.25">
      <c r="A2965" s="27" t="s">
        <v>1134</v>
      </c>
      <c r="B2965" s="27" t="s">
        <v>111</v>
      </c>
    </row>
    <row r="2966" spans="1:2" ht="15.75" customHeight="1" x14ac:dyDescent="0.25">
      <c r="A2966" s="27" t="s">
        <v>1134</v>
      </c>
      <c r="B2966" s="27" t="s">
        <v>111</v>
      </c>
    </row>
    <row r="2967" spans="1:2" ht="15.75" customHeight="1" x14ac:dyDescent="0.25">
      <c r="A2967" s="27" t="s">
        <v>1134</v>
      </c>
      <c r="B2967" s="27" t="s">
        <v>111</v>
      </c>
    </row>
    <row r="2968" spans="1:2" ht="15.75" customHeight="1" x14ac:dyDescent="0.25">
      <c r="A2968" s="27" t="s">
        <v>1134</v>
      </c>
      <c r="B2968" s="27" t="s">
        <v>111</v>
      </c>
    </row>
    <row r="2969" spans="1:2" ht="15.75" customHeight="1" x14ac:dyDescent="0.25">
      <c r="A2969" s="27" t="s">
        <v>1134</v>
      </c>
      <c r="B2969" s="27" t="s">
        <v>111</v>
      </c>
    </row>
    <row r="2970" spans="1:2" ht="15.75" customHeight="1" x14ac:dyDescent="0.25">
      <c r="A2970" s="27" t="s">
        <v>1134</v>
      </c>
      <c r="B2970" s="27" t="s">
        <v>111</v>
      </c>
    </row>
    <row r="2971" spans="1:2" ht="15.75" customHeight="1" x14ac:dyDescent="0.25">
      <c r="A2971" s="27" t="s">
        <v>1134</v>
      </c>
      <c r="B2971" s="27" t="s">
        <v>111</v>
      </c>
    </row>
    <row r="2972" spans="1:2" ht="15.75" customHeight="1" x14ac:dyDescent="0.25">
      <c r="A2972" s="27" t="s">
        <v>1135</v>
      </c>
      <c r="B2972" s="27" t="s">
        <v>1136</v>
      </c>
    </row>
    <row r="2973" spans="1:2" ht="15.75" customHeight="1" x14ac:dyDescent="0.25">
      <c r="A2973" s="27" t="s">
        <v>1137</v>
      </c>
      <c r="B2973" s="27" t="s">
        <v>1138</v>
      </c>
    </row>
    <row r="2974" spans="1:2" ht="15.75" customHeight="1" x14ac:dyDescent="0.25">
      <c r="A2974" s="27" t="s">
        <v>1139</v>
      </c>
      <c r="B2974" s="27" t="s">
        <v>1140</v>
      </c>
    </row>
    <row r="2975" spans="1:2" ht="15.75" customHeight="1" x14ac:dyDescent="0.25">
      <c r="A2975" s="27" t="s">
        <v>1139</v>
      </c>
      <c r="B2975" s="27" t="s">
        <v>1140</v>
      </c>
    </row>
    <row r="2976" spans="1:2" ht="15.75" customHeight="1" x14ac:dyDescent="0.25">
      <c r="A2976" s="27" t="s">
        <v>1139</v>
      </c>
      <c r="B2976" s="27" t="s">
        <v>1140</v>
      </c>
    </row>
    <row r="2977" spans="1:2" ht="15.75" customHeight="1" x14ac:dyDescent="0.25">
      <c r="A2977" s="27" t="s">
        <v>1139</v>
      </c>
      <c r="B2977" s="27" t="s">
        <v>1140</v>
      </c>
    </row>
    <row r="2978" spans="1:2" ht="15.75" customHeight="1" x14ac:dyDescent="0.25">
      <c r="A2978" s="27" t="s">
        <v>1139</v>
      </c>
      <c r="B2978" s="27" t="s">
        <v>1140</v>
      </c>
    </row>
    <row r="2979" spans="1:2" ht="15.75" customHeight="1" x14ac:dyDescent="0.25">
      <c r="A2979" s="27" t="s">
        <v>1141</v>
      </c>
      <c r="B2979" s="27" t="s">
        <v>1142</v>
      </c>
    </row>
    <row r="2980" spans="1:2" ht="15.75" customHeight="1" x14ac:dyDescent="0.25">
      <c r="A2980" s="27" t="s">
        <v>1143</v>
      </c>
      <c r="B2980" s="27" t="s">
        <v>54</v>
      </c>
    </row>
    <row r="2981" spans="1:2" ht="15.75" customHeight="1" x14ac:dyDescent="0.25">
      <c r="A2981" s="27" t="s">
        <v>1143</v>
      </c>
      <c r="B2981" s="27" t="s">
        <v>54</v>
      </c>
    </row>
    <row r="2982" spans="1:2" ht="15.75" customHeight="1" x14ac:dyDescent="0.25">
      <c r="A2982" s="27" t="s">
        <v>1143</v>
      </c>
      <c r="B2982" s="27" t="s">
        <v>54</v>
      </c>
    </row>
    <row r="2983" spans="1:2" ht="15.75" customHeight="1" x14ac:dyDescent="0.25">
      <c r="A2983" s="27" t="s">
        <v>1143</v>
      </c>
      <c r="B2983" s="27" t="s">
        <v>54</v>
      </c>
    </row>
    <row r="2984" spans="1:2" ht="15.75" customHeight="1" x14ac:dyDescent="0.25">
      <c r="A2984" s="27" t="s">
        <v>1143</v>
      </c>
      <c r="B2984" s="27" t="s">
        <v>54</v>
      </c>
    </row>
    <row r="2985" spans="1:2" ht="15.75" customHeight="1" x14ac:dyDescent="0.25">
      <c r="A2985" s="27" t="s">
        <v>1143</v>
      </c>
      <c r="B2985" s="27" t="s">
        <v>54</v>
      </c>
    </row>
    <row r="2986" spans="1:2" ht="15.75" customHeight="1" x14ac:dyDescent="0.25">
      <c r="A2986" s="27" t="s">
        <v>1143</v>
      </c>
      <c r="B2986" s="27" t="s">
        <v>54</v>
      </c>
    </row>
    <row r="2987" spans="1:2" ht="15.75" customHeight="1" x14ac:dyDescent="0.25">
      <c r="A2987" s="27" t="s">
        <v>1143</v>
      </c>
      <c r="B2987" s="27" t="s">
        <v>54</v>
      </c>
    </row>
    <row r="2988" spans="1:2" ht="15.75" customHeight="1" x14ac:dyDescent="0.25">
      <c r="A2988" s="27" t="s">
        <v>1143</v>
      </c>
      <c r="B2988" s="27" t="s">
        <v>54</v>
      </c>
    </row>
    <row r="2989" spans="1:2" ht="15.75" customHeight="1" x14ac:dyDescent="0.25">
      <c r="A2989" s="27" t="s">
        <v>1143</v>
      </c>
      <c r="B2989" s="27" t="s">
        <v>54</v>
      </c>
    </row>
    <row r="2990" spans="1:2" ht="15.75" customHeight="1" x14ac:dyDescent="0.25">
      <c r="A2990" s="27" t="s">
        <v>1143</v>
      </c>
      <c r="B2990" s="27" t="s">
        <v>54</v>
      </c>
    </row>
    <row r="2991" spans="1:2" ht="15.75" customHeight="1" x14ac:dyDescent="0.25">
      <c r="A2991" s="27" t="s">
        <v>1143</v>
      </c>
      <c r="B2991" s="27" t="s">
        <v>54</v>
      </c>
    </row>
    <row r="2992" spans="1:2" ht="15.75" customHeight="1" x14ac:dyDescent="0.25">
      <c r="A2992" s="27" t="s">
        <v>1143</v>
      </c>
      <c r="B2992" s="27" t="s">
        <v>54</v>
      </c>
    </row>
    <row r="2993" spans="1:2" ht="15.75" customHeight="1" x14ac:dyDescent="0.25">
      <c r="A2993" s="27" t="s">
        <v>1143</v>
      </c>
      <c r="B2993" s="27" t="s">
        <v>54</v>
      </c>
    </row>
    <row r="2994" spans="1:2" ht="15.75" customHeight="1" x14ac:dyDescent="0.25">
      <c r="A2994" s="27" t="s">
        <v>1143</v>
      </c>
      <c r="B2994" s="27" t="s">
        <v>54</v>
      </c>
    </row>
    <row r="2995" spans="1:2" ht="15.75" customHeight="1" x14ac:dyDescent="0.25">
      <c r="A2995" s="27" t="s">
        <v>1144</v>
      </c>
      <c r="B2995" s="27" t="s">
        <v>286</v>
      </c>
    </row>
    <row r="2996" spans="1:2" ht="15.75" customHeight="1" x14ac:dyDescent="0.25">
      <c r="A2996" s="27" t="s">
        <v>1145</v>
      </c>
      <c r="B2996" s="27" t="s">
        <v>1146</v>
      </c>
    </row>
    <row r="2997" spans="1:2" ht="15.75" customHeight="1" x14ac:dyDescent="0.25">
      <c r="A2997" s="27" t="s">
        <v>1147</v>
      </c>
      <c r="B2997" s="27" t="s">
        <v>1148</v>
      </c>
    </row>
    <row r="2998" spans="1:2" ht="15.75" customHeight="1" x14ac:dyDescent="0.25">
      <c r="A2998" s="27" t="s">
        <v>1149</v>
      </c>
      <c r="B2998" s="27" t="s">
        <v>41</v>
      </c>
    </row>
    <row r="2999" spans="1:2" ht="15.75" customHeight="1" x14ac:dyDescent="0.25">
      <c r="A2999" s="27" t="s">
        <v>1149</v>
      </c>
      <c r="B2999" s="27" t="s">
        <v>41</v>
      </c>
    </row>
    <row r="3000" spans="1:2" ht="15.75" customHeight="1" x14ac:dyDescent="0.25">
      <c r="A3000" s="27" t="s">
        <v>1149</v>
      </c>
      <c r="B3000" s="27" t="s">
        <v>41</v>
      </c>
    </row>
    <row r="3001" spans="1:2" ht="15.75" customHeight="1" x14ac:dyDescent="0.25">
      <c r="A3001" s="27" t="s">
        <v>1149</v>
      </c>
      <c r="B3001" s="27" t="s">
        <v>41</v>
      </c>
    </row>
    <row r="3002" spans="1:2" ht="15.75" customHeight="1" x14ac:dyDescent="0.25">
      <c r="A3002" s="27" t="s">
        <v>1149</v>
      </c>
      <c r="B3002" s="27" t="s">
        <v>41</v>
      </c>
    </row>
    <row r="3003" spans="1:2" ht="15.75" customHeight="1" x14ac:dyDescent="0.25">
      <c r="A3003" s="27" t="s">
        <v>1149</v>
      </c>
      <c r="B3003" s="27" t="s">
        <v>41</v>
      </c>
    </row>
    <row r="3004" spans="1:2" ht="15.75" customHeight="1" x14ac:dyDescent="0.25">
      <c r="A3004" s="27" t="s">
        <v>1149</v>
      </c>
      <c r="B3004" s="27" t="s">
        <v>41</v>
      </c>
    </row>
    <row r="3005" spans="1:2" ht="15.75" customHeight="1" x14ac:dyDescent="0.25">
      <c r="A3005" s="27" t="s">
        <v>1149</v>
      </c>
      <c r="B3005" s="27" t="s">
        <v>41</v>
      </c>
    </row>
    <row r="3006" spans="1:2" ht="15.75" customHeight="1" x14ac:dyDescent="0.25">
      <c r="A3006" s="27" t="s">
        <v>1149</v>
      </c>
      <c r="B3006" s="27" t="s">
        <v>41</v>
      </c>
    </row>
    <row r="3007" spans="1:2" ht="15.75" customHeight="1" x14ac:dyDescent="0.25">
      <c r="A3007" s="27" t="s">
        <v>1149</v>
      </c>
      <c r="B3007" s="27" t="s">
        <v>41</v>
      </c>
    </row>
    <row r="3008" spans="1:2" ht="15.75" customHeight="1" x14ac:dyDescent="0.25">
      <c r="A3008" s="27" t="s">
        <v>1149</v>
      </c>
      <c r="B3008" s="27" t="s">
        <v>41</v>
      </c>
    </row>
    <row r="3009" spans="1:2" ht="15.75" customHeight="1" x14ac:dyDescent="0.25">
      <c r="A3009" s="27" t="s">
        <v>1149</v>
      </c>
      <c r="B3009" s="27" t="s">
        <v>41</v>
      </c>
    </row>
    <row r="3010" spans="1:2" ht="15.75" customHeight="1" x14ac:dyDescent="0.25">
      <c r="A3010" s="27" t="s">
        <v>1149</v>
      </c>
      <c r="B3010" s="27" t="s">
        <v>41</v>
      </c>
    </row>
    <row r="3011" spans="1:2" ht="15.75" customHeight="1" x14ac:dyDescent="0.25">
      <c r="A3011" s="27" t="s">
        <v>1149</v>
      </c>
      <c r="B3011" s="27" t="s">
        <v>41</v>
      </c>
    </row>
    <row r="3012" spans="1:2" ht="15.75" customHeight="1" x14ac:dyDescent="0.25">
      <c r="A3012" s="27" t="s">
        <v>1149</v>
      </c>
      <c r="B3012" s="27" t="s">
        <v>41</v>
      </c>
    </row>
    <row r="3013" spans="1:2" ht="15.75" customHeight="1" x14ac:dyDescent="0.25">
      <c r="A3013" s="27" t="s">
        <v>1149</v>
      </c>
      <c r="B3013" s="27" t="s">
        <v>41</v>
      </c>
    </row>
    <row r="3014" spans="1:2" ht="15.75" customHeight="1" x14ac:dyDescent="0.25">
      <c r="A3014" s="27" t="s">
        <v>1150</v>
      </c>
      <c r="B3014" s="27" t="s">
        <v>1151</v>
      </c>
    </row>
    <row r="3015" spans="1:2" ht="15.75" customHeight="1" x14ac:dyDescent="0.25">
      <c r="A3015" s="27" t="s">
        <v>1150</v>
      </c>
      <c r="B3015" s="27" t="s">
        <v>1151</v>
      </c>
    </row>
    <row r="3016" spans="1:2" ht="15.75" customHeight="1" x14ac:dyDescent="0.25">
      <c r="A3016" s="27" t="s">
        <v>1150</v>
      </c>
      <c r="B3016" s="27" t="s">
        <v>1151</v>
      </c>
    </row>
    <row r="3017" spans="1:2" ht="15.75" customHeight="1" x14ac:dyDescent="0.25">
      <c r="A3017" s="27" t="s">
        <v>1152</v>
      </c>
      <c r="B3017" s="27" t="s">
        <v>1153</v>
      </c>
    </row>
    <row r="3018" spans="1:2" ht="15.75" customHeight="1" x14ac:dyDescent="0.25">
      <c r="A3018" s="27" t="s">
        <v>1152</v>
      </c>
      <c r="B3018" s="27" t="s">
        <v>1153</v>
      </c>
    </row>
    <row r="3019" spans="1:2" ht="15.75" customHeight="1" x14ac:dyDescent="0.25">
      <c r="A3019" s="27" t="s">
        <v>1152</v>
      </c>
      <c r="B3019" s="27" t="s">
        <v>1153</v>
      </c>
    </row>
    <row r="3020" spans="1:2" ht="15.75" customHeight="1" x14ac:dyDescent="0.25">
      <c r="A3020" s="27" t="s">
        <v>1152</v>
      </c>
      <c r="B3020" s="27" t="s">
        <v>1153</v>
      </c>
    </row>
    <row r="3021" spans="1:2" ht="15.75" customHeight="1" x14ac:dyDescent="0.25">
      <c r="A3021" s="27" t="s">
        <v>1154</v>
      </c>
      <c r="B3021" s="27" t="s">
        <v>113</v>
      </c>
    </row>
    <row r="3022" spans="1:2" ht="15.75" customHeight="1" x14ac:dyDescent="0.25">
      <c r="A3022" s="27" t="s">
        <v>1154</v>
      </c>
      <c r="B3022" s="27" t="s">
        <v>113</v>
      </c>
    </row>
    <row r="3023" spans="1:2" ht="15.75" customHeight="1" x14ac:dyDescent="0.25">
      <c r="A3023" s="27" t="s">
        <v>1154</v>
      </c>
      <c r="B3023" s="27" t="s">
        <v>113</v>
      </c>
    </row>
    <row r="3024" spans="1:2" ht="15.75" customHeight="1" x14ac:dyDescent="0.25">
      <c r="A3024" s="27" t="s">
        <v>1154</v>
      </c>
      <c r="B3024" s="27" t="s">
        <v>113</v>
      </c>
    </row>
    <row r="3025" spans="1:2" ht="15.75" customHeight="1" x14ac:dyDescent="0.25">
      <c r="A3025" s="27" t="s">
        <v>1154</v>
      </c>
      <c r="B3025" s="27" t="s">
        <v>113</v>
      </c>
    </row>
    <row r="3026" spans="1:2" ht="15.75" customHeight="1" x14ac:dyDescent="0.25">
      <c r="A3026" s="27" t="s">
        <v>1154</v>
      </c>
      <c r="B3026" s="27" t="s">
        <v>113</v>
      </c>
    </row>
    <row r="3027" spans="1:2" ht="15.75" customHeight="1" x14ac:dyDescent="0.25">
      <c r="A3027" s="27" t="s">
        <v>1154</v>
      </c>
      <c r="B3027" s="27" t="s">
        <v>113</v>
      </c>
    </row>
    <row r="3028" spans="1:2" ht="15.75" customHeight="1" x14ac:dyDescent="0.25">
      <c r="A3028" s="27" t="s">
        <v>1154</v>
      </c>
      <c r="B3028" s="27" t="s">
        <v>113</v>
      </c>
    </row>
    <row r="3029" spans="1:2" ht="15.75" customHeight="1" x14ac:dyDescent="0.25">
      <c r="A3029" s="27" t="s">
        <v>1154</v>
      </c>
      <c r="B3029" s="27" t="s">
        <v>113</v>
      </c>
    </row>
    <row r="3030" spans="1:2" ht="15.75" customHeight="1" x14ac:dyDescent="0.25">
      <c r="A3030" s="27" t="s">
        <v>1154</v>
      </c>
      <c r="B3030" s="27" t="s">
        <v>113</v>
      </c>
    </row>
    <row r="3031" spans="1:2" ht="15.75" customHeight="1" x14ac:dyDescent="0.25">
      <c r="A3031" s="27" t="s">
        <v>1154</v>
      </c>
      <c r="B3031" s="27" t="s">
        <v>113</v>
      </c>
    </row>
    <row r="3032" spans="1:2" ht="15.75" customHeight="1" x14ac:dyDescent="0.25">
      <c r="A3032" s="27" t="s">
        <v>1154</v>
      </c>
      <c r="B3032" s="27" t="s">
        <v>113</v>
      </c>
    </row>
    <row r="3033" spans="1:2" ht="15.75" customHeight="1" x14ac:dyDescent="0.25">
      <c r="A3033" s="27" t="s">
        <v>1154</v>
      </c>
      <c r="B3033" s="27" t="s">
        <v>113</v>
      </c>
    </row>
    <row r="3034" spans="1:2" ht="15.75" customHeight="1" x14ac:dyDescent="0.25">
      <c r="A3034" s="27" t="s">
        <v>1154</v>
      </c>
      <c r="B3034" s="27" t="s">
        <v>113</v>
      </c>
    </row>
    <row r="3035" spans="1:2" ht="15.75" customHeight="1" x14ac:dyDescent="0.25">
      <c r="A3035" s="27" t="s">
        <v>1154</v>
      </c>
      <c r="B3035" s="27" t="s">
        <v>113</v>
      </c>
    </row>
    <row r="3036" spans="1:2" ht="15.75" customHeight="1" x14ac:dyDescent="0.25">
      <c r="A3036" s="27" t="s">
        <v>1154</v>
      </c>
      <c r="B3036" s="27" t="s">
        <v>113</v>
      </c>
    </row>
    <row r="3037" spans="1:2" ht="15.75" customHeight="1" x14ac:dyDescent="0.25">
      <c r="A3037" s="27" t="s">
        <v>1155</v>
      </c>
      <c r="B3037" s="27" t="s">
        <v>114</v>
      </c>
    </row>
    <row r="3038" spans="1:2" ht="15.75" customHeight="1" x14ac:dyDescent="0.25">
      <c r="A3038" s="27" t="s">
        <v>1155</v>
      </c>
      <c r="B3038" s="27" t="s">
        <v>114</v>
      </c>
    </row>
    <row r="3039" spans="1:2" ht="15.75" customHeight="1" x14ac:dyDescent="0.25">
      <c r="A3039" s="27" t="s">
        <v>1155</v>
      </c>
      <c r="B3039" s="27" t="s">
        <v>114</v>
      </c>
    </row>
    <row r="3040" spans="1:2" ht="15.75" customHeight="1" x14ac:dyDescent="0.25">
      <c r="A3040" s="27" t="s">
        <v>1155</v>
      </c>
      <c r="B3040" s="27" t="s">
        <v>114</v>
      </c>
    </row>
    <row r="3041" spans="1:2" ht="15.75" customHeight="1" x14ac:dyDescent="0.25">
      <c r="A3041" s="27" t="s">
        <v>1155</v>
      </c>
      <c r="B3041" s="27" t="s">
        <v>114</v>
      </c>
    </row>
    <row r="3042" spans="1:2" ht="15.75" customHeight="1" x14ac:dyDescent="0.25">
      <c r="A3042" s="27" t="s">
        <v>1155</v>
      </c>
      <c r="B3042" s="27" t="s">
        <v>114</v>
      </c>
    </row>
    <row r="3043" spans="1:2" ht="15.75" customHeight="1" x14ac:dyDescent="0.25">
      <c r="A3043" s="27" t="s">
        <v>1155</v>
      </c>
      <c r="B3043" s="27" t="s">
        <v>114</v>
      </c>
    </row>
    <row r="3044" spans="1:2" ht="15.75" customHeight="1" x14ac:dyDescent="0.25">
      <c r="A3044" s="27" t="s">
        <v>1155</v>
      </c>
      <c r="B3044" s="27" t="s">
        <v>114</v>
      </c>
    </row>
    <row r="3045" spans="1:2" ht="15.75" customHeight="1" x14ac:dyDescent="0.25">
      <c r="A3045" s="27" t="s">
        <v>1155</v>
      </c>
      <c r="B3045" s="27" t="s">
        <v>114</v>
      </c>
    </row>
    <row r="3046" spans="1:2" ht="15.75" customHeight="1" x14ac:dyDescent="0.25">
      <c r="A3046" s="27" t="s">
        <v>1155</v>
      </c>
      <c r="B3046" s="27" t="s">
        <v>114</v>
      </c>
    </row>
    <row r="3047" spans="1:2" ht="15.75" customHeight="1" x14ac:dyDescent="0.25">
      <c r="A3047" s="27" t="s">
        <v>1155</v>
      </c>
      <c r="B3047" s="27" t="s">
        <v>114</v>
      </c>
    </row>
    <row r="3048" spans="1:2" ht="15.75" customHeight="1" x14ac:dyDescent="0.25">
      <c r="A3048" s="27" t="s">
        <v>1155</v>
      </c>
      <c r="B3048" s="27" t="s">
        <v>114</v>
      </c>
    </row>
    <row r="3049" spans="1:2" ht="15.75" customHeight="1" x14ac:dyDescent="0.25">
      <c r="A3049" s="27" t="s">
        <v>1155</v>
      </c>
      <c r="B3049" s="27" t="s">
        <v>114</v>
      </c>
    </row>
    <row r="3050" spans="1:2" ht="15.75" customHeight="1" x14ac:dyDescent="0.25">
      <c r="A3050" s="27" t="s">
        <v>1155</v>
      </c>
      <c r="B3050" s="27" t="s">
        <v>114</v>
      </c>
    </row>
    <row r="3051" spans="1:2" ht="15.75" customHeight="1" x14ac:dyDescent="0.25">
      <c r="A3051" s="27" t="s">
        <v>1155</v>
      </c>
      <c r="B3051" s="27" t="s">
        <v>114</v>
      </c>
    </row>
    <row r="3052" spans="1:2" ht="15.75" customHeight="1" x14ac:dyDescent="0.25">
      <c r="A3052" s="27" t="s">
        <v>1156</v>
      </c>
      <c r="B3052" s="27" t="s">
        <v>115</v>
      </c>
    </row>
    <row r="3053" spans="1:2" ht="15.75" customHeight="1" x14ac:dyDescent="0.25">
      <c r="A3053" s="27" t="s">
        <v>1156</v>
      </c>
      <c r="B3053" s="27" t="s">
        <v>115</v>
      </c>
    </row>
    <row r="3054" spans="1:2" ht="15.75" customHeight="1" x14ac:dyDescent="0.25">
      <c r="A3054" s="27" t="s">
        <v>1156</v>
      </c>
      <c r="B3054" s="27" t="s">
        <v>115</v>
      </c>
    </row>
    <row r="3055" spans="1:2" ht="15.75" customHeight="1" x14ac:dyDescent="0.25">
      <c r="A3055" s="27" t="s">
        <v>1156</v>
      </c>
      <c r="B3055" s="27" t="s">
        <v>115</v>
      </c>
    </row>
    <row r="3056" spans="1:2" ht="15.75" customHeight="1" x14ac:dyDescent="0.25">
      <c r="A3056" s="27" t="s">
        <v>1156</v>
      </c>
      <c r="B3056" s="27" t="s">
        <v>115</v>
      </c>
    </row>
    <row r="3057" spans="1:2" ht="15.75" customHeight="1" x14ac:dyDescent="0.25">
      <c r="A3057" s="27" t="s">
        <v>1156</v>
      </c>
      <c r="B3057" s="27" t="s">
        <v>115</v>
      </c>
    </row>
    <row r="3058" spans="1:2" ht="15.75" customHeight="1" x14ac:dyDescent="0.25">
      <c r="A3058" s="27" t="s">
        <v>1156</v>
      </c>
      <c r="B3058" s="27" t="s">
        <v>115</v>
      </c>
    </row>
    <row r="3059" spans="1:2" ht="15.75" customHeight="1" x14ac:dyDescent="0.25">
      <c r="A3059" s="27" t="s">
        <v>1156</v>
      </c>
      <c r="B3059" s="27" t="s">
        <v>115</v>
      </c>
    </row>
    <row r="3060" spans="1:2" ht="15.75" customHeight="1" x14ac:dyDescent="0.25">
      <c r="A3060" s="27" t="s">
        <v>1156</v>
      </c>
      <c r="B3060" s="27" t="s">
        <v>115</v>
      </c>
    </row>
    <row r="3061" spans="1:2" ht="15.75" customHeight="1" x14ac:dyDescent="0.25">
      <c r="A3061" s="27" t="s">
        <v>1156</v>
      </c>
      <c r="B3061" s="27" t="s">
        <v>115</v>
      </c>
    </row>
    <row r="3062" spans="1:2" ht="15.75" customHeight="1" x14ac:dyDescent="0.25">
      <c r="A3062" s="27" t="s">
        <v>1156</v>
      </c>
      <c r="B3062" s="27" t="s">
        <v>115</v>
      </c>
    </row>
    <row r="3063" spans="1:2" ht="15.75" customHeight="1" x14ac:dyDescent="0.25">
      <c r="A3063" s="27" t="s">
        <v>1156</v>
      </c>
      <c r="B3063" s="27" t="s">
        <v>115</v>
      </c>
    </row>
    <row r="3064" spans="1:2" ht="15.75" customHeight="1" x14ac:dyDescent="0.25">
      <c r="A3064" s="27" t="s">
        <v>1156</v>
      </c>
      <c r="B3064" s="27" t="s">
        <v>115</v>
      </c>
    </row>
    <row r="3065" spans="1:2" ht="15.75" customHeight="1" x14ac:dyDescent="0.25">
      <c r="A3065" s="27" t="s">
        <v>1156</v>
      </c>
      <c r="B3065" s="27" t="s">
        <v>115</v>
      </c>
    </row>
    <row r="3066" spans="1:2" ht="15.75" customHeight="1" x14ac:dyDescent="0.25">
      <c r="A3066" s="27" t="s">
        <v>1156</v>
      </c>
      <c r="B3066" s="27" t="s">
        <v>115</v>
      </c>
    </row>
    <row r="3067" spans="1:2" ht="15.75" customHeight="1" x14ac:dyDescent="0.25">
      <c r="A3067" s="27" t="s">
        <v>1157</v>
      </c>
      <c r="B3067" s="27" t="s">
        <v>524</v>
      </c>
    </row>
    <row r="3068" spans="1:2" ht="15.75" customHeight="1" x14ac:dyDescent="0.25">
      <c r="A3068" s="27" t="s">
        <v>1158</v>
      </c>
      <c r="B3068" s="27" t="s">
        <v>287</v>
      </c>
    </row>
    <row r="3069" spans="1:2" ht="15.75" customHeight="1" x14ac:dyDescent="0.25">
      <c r="A3069" s="27" t="s">
        <v>1159</v>
      </c>
      <c r="B3069" s="27" t="s">
        <v>525</v>
      </c>
    </row>
    <row r="3070" spans="1:2" ht="15.75" customHeight="1" x14ac:dyDescent="0.25">
      <c r="A3070" s="27" t="s">
        <v>1160</v>
      </c>
      <c r="B3070" s="27" t="s">
        <v>288</v>
      </c>
    </row>
    <row r="3071" spans="1:2" ht="15.75" customHeight="1" x14ac:dyDescent="0.25">
      <c r="A3071" s="27" t="s">
        <v>1160</v>
      </c>
      <c r="B3071" s="27" t="s">
        <v>288</v>
      </c>
    </row>
    <row r="3072" spans="1:2" ht="15.75" customHeight="1" x14ac:dyDescent="0.25">
      <c r="A3072" s="27" t="s">
        <v>1160</v>
      </c>
      <c r="B3072" s="27" t="s">
        <v>288</v>
      </c>
    </row>
    <row r="3073" spans="1:2" ht="15.75" customHeight="1" x14ac:dyDescent="0.25">
      <c r="A3073" s="27" t="s">
        <v>1160</v>
      </c>
      <c r="B3073" s="27" t="s">
        <v>288</v>
      </c>
    </row>
    <row r="3074" spans="1:2" ht="15.75" customHeight="1" x14ac:dyDescent="0.25">
      <c r="A3074" s="27" t="s">
        <v>1161</v>
      </c>
      <c r="B3074" s="27" t="s">
        <v>184</v>
      </c>
    </row>
    <row r="3075" spans="1:2" ht="15.75" customHeight="1" x14ac:dyDescent="0.25">
      <c r="A3075" s="27" t="s">
        <v>1161</v>
      </c>
      <c r="B3075" s="27" t="s">
        <v>184</v>
      </c>
    </row>
    <row r="3076" spans="1:2" ht="15.75" customHeight="1" x14ac:dyDescent="0.25">
      <c r="A3076" s="27" t="s">
        <v>1161</v>
      </c>
      <c r="B3076" s="27" t="s">
        <v>184</v>
      </c>
    </row>
    <row r="3077" spans="1:2" ht="15.75" customHeight="1" x14ac:dyDescent="0.25">
      <c r="A3077" s="27" t="s">
        <v>1161</v>
      </c>
      <c r="B3077" s="27" t="s">
        <v>184</v>
      </c>
    </row>
    <row r="3078" spans="1:2" ht="15.75" customHeight="1" x14ac:dyDescent="0.25">
      <c r="A3078" s="27" t="s">
        <v>1161</v>
      </c>
      <c r="B3078" s="27" t="s">
        <v>184</v>
      </c>
    </row>
    <row r="3079" spans="1:2" ht="15.75" customHeight="1" x14ac:dyDescent="0.25">
      <c r="A3079" s="27" t="s">
        <v>1161</v>
      </c>
      <c r="B3079" s="27" t="s">
        <v>184</v>
      </c>
    </row>
    <row r="3080" spans="1:2" ht="15.75" customHeight="1" x14ac:dyDescent="0.25">
      <c r="A3080" s="27" t="s">
        <v>1161</v>
      </c>
      <c r="B3080" s="27" t="s">
        <v>184</v>
      </c>
    </row>
    <row r="3081" spans="1:2" ht="15.75" customHeight="1" x14ac:dyDescent="0.25">
      <c r="A3081" s="27" t="s">
        <v>1161</v>
      </c>
      <c r="B3081" s="27" t="s">
        <v>184</v>
      </c>
    </row>
    <row r="3082" spans="1:2" ht="15.75" customHeight="1" x14ac:dyDescent="0.25">
      <c r="A3082" s="27" t="s">
        <v>1161</v>
      </c>
      <c r="B3082" s="27" t="s">
        <v>184</v>
      </c>
    </row>
    <row r="3083" spans="1:2" ht="15.75" customHeight="1" x14ac:dyDescent="0.25">
      <c r="A3083" s="27" t="s">
        <v>1161</v>
      </c>
      <c r="B3083" s="27" t="s">
        <v>184</v>
      </c>
    </row>
    <row r="3084" spans="1:2" ht="15.75" customHeight="1" x14ac:dyDescent="0.25">
      <c r="A3084" s="27" t="s">
        <v>1162</v>
      </c>
      <c r="B3084" s="27" t="s">
        <v>526</v>
      </c>
    </row>
    <row r="3085" spans="1:2" ht="15.75" customHeight="1" x14ac:dyDescent="0.25">
      <c r="A3085" s="27" t="s">
        <v>1163</v>
      </c>
      <c r="B3085" s="27" t="s">
        <v>1164</v>
      </c>
    </row>
    <row r="3086" spans="1:2" ht="15.75" customHeight="1" x14ac:dyDescent="0.25">
      <c r="A3086" s="27" t="s">
        <v>1165</v>
      </c>
      <c r="B3086" s="27" t="s">
        <v>527</v>
      </c>
    </row>
    <row r="3087" spans="1:2" ht="15.75" customHeight="1" x14ac:dyDescent="0.25">
      <c r="A3087" s="27" t="s">
        <v>1165</v>
      </c>
      <c r="B3087" s="27" t="s">
        <v>527</v>
      </c>
    </row>
    <row r="3088" spans="1:2" ht="15.75" customHeight="1" x14ac:dyDescent="0.25">
      <c r="A3088" s="27" t="s">
        <v>1166</v>
      </c>
      <c r="B3088" s="27" t="s">
        <v>1167</v>
      </c>
    </row>
    <row r="3089" spans="1:2" ht="15.75" customHeight="1" x14ac:dyDescent="0.25">
      <c r="A3089" s="27" t="s">
        <v>1168</v>
      </c>
      <c r="B3089" s="27" t="s">
        <v>1167</v>
      </c>
    </row>
    <row r="3090" spans="1:2" ht="15.75" customHeight="1" x14ac:dyDescent="0.25">
      <c r="A3090" s="27" t="s">
        <v>1168</v>
      </c>
      <c r="B3090" s="27" t="s">
        <v>1167</v>
      </c>
    </row>
    <row r="3091" spans="1:2" ht="15.75" customHeight="1" x14ac:dyDescent="0.25">
      <c r="A3091" s="27" t="s">
        <v>1168</v>
      </c>
      <c r="B3091" s="27" t="s">
        <v>1167</v>
      </c>
    </row>
    <row r="3092" spans="1:2" ht="15.75" customHeight="1" x14ac:dyDescent="0.25">
      <c r="A3092" s="27" t="s">
        <v>1168</v>
      </c>
      <c r="B3092" s="27" t="s">
        <v>1167</v>
      </c>
    </row>
    <row r="3093" spans="1:2" ht="15.75" customHeight="1" x14ac:dyDescent="0.25">
      <c r="A3093" s="27" t="s">
        <v>1168</v>
      </c>
      <c r="B3093" s="27" t="s">
        <v>1167</v>
      </c>
    </row>
    <row r="3094" spans="1:2" ht="15.75" customHeight="1" x14ac:dyDescent="0.25">
      <c r="A3094" s="27" t="s">
        <v>1168</v>
      </c>
      <c r="B3094" s="27" t="s">
        <v>1167</v>
      </c>
    </row>
    <row r="3095" spans="1:2" ht="15.75" customHeight="1" x14ac:dyDescent="0.25">
      <c r="A3095" s="27" t="s">
        <v>1169</v>
      </c>
      <c r="B3095" s="27" t="s">
        <v>1170</v>
      </c>
    </row>
    <row r="3096" spans="1:2" ht="15.75" customHeight="1" x14ac:dyDescent="0.25">
      <c r="A3096" s="27" t="s">
        <v>1169</v>
      </c>
      <c r="B3096" s="27" t="s">
        <v>1170</v>
      </c>
    </row>
    <row r="3097" spans="1:2" ht="15.75" customHeight="1" x14ac:dyDescent="0.25">
      <c r="A3097" s="27" t="s">
        <v>1169</v>
      </c>
      <c r="B3097" s="27" t="s">
        <v>1170</v>
      </c>
    </row>
    <row r="3098" spans="1:2" ht="15.75" customHeight="1" x14ac:dyDescent="0.25">
      <c r="A3098" s="27" t="s">
        <v>1169</v>
      </c>
      <c r="B3098" s="27" t="s">
        <v>1170</v>
      </c>
    </row>
    <row r="3099" spans="1:2" ht="15.75" customHeight="1" x14ac:dyDescent="0.25">
      <c r="A3099" s="27" t="s">
        <v>1171</v>
      </c>
      <c r="B3099" s="27" t="s">
        <v>1172</v>
      </c>
    </row>
    <row r="3100" spans="1:2" ht="15.75" customHeight="1" x14ac:dyDescent="0.25">
      <c r="A3100" s="27" t="s">
        <v>1173</v>
      </c>
      <c r="B3100" s="27" t="s">
        <v>1174</v>
      </c>
    </row>
    <row r="3101" spans="1:2" ht="15.75" customHeight="1" x14ac:dyDescent="0.25">
      <c r="A3101" s="27" t="s">
        <v>1173</v>
      </c>
      <c r="B3101" s="27" t="s">
        <v>1174</v>
      </c>
    </row>
    <row r="3102" spans="1:2" ht="15.75" customHeight="1" x14ac:dyDescent="0.25">
      <c r="A3102" s="27" t="s">
        <v>1173</v>
      </c>
      <c r="B3102" s="27" t="s">
        <v>1174</v>
      </c>
    </row>
    <row r="3103" spans="1:2" ht="15.75" customHeight="1" x14ac:dyDescent="0.25">
      <c r="A3103" s="27" t="s">
        <v>1175</v>
      </c>
      <c r="B3103" s="27" t="s">
        <v>159</v>
      </c>
    </row>
    <row r="3104" spans="1:2" ht="15.75" customHeight="1" x14ac:dyDescent="0.25">
      <c r="A3104" s="27" t="s">
        <v>1175</v>
      </c>
      <c r="B3104" s="27" t="s">
        <v>159</v>
      </c>
    </row>
    <row r="3105" spans="1:2" ht="15.75" customHeight="1" x14ac:dyDescent="0.25">
      <c r="A3105" s="27" t="s">
        <v>1175</v>
      </c>
      <c r="B3105" s="27" t="s">
        <v>159</v>
      </c>
    </row>
    <row r="3106" spans="1:2" ht="15.75" customHeight="1" x14ac:dyDescent="0.25">
      <c r="A3106" s="27" t="s">
        <v>1175</v>
      </c>
      <c r="B3106" s="27" t="s">
        <v>159</v>
      </c>
    </row>
    <row r="3107" spans="1:2" ht="15.75" customHeight="1" x14ac:dyDescent="0.25">
      <c r="A3107" s="27" t="s">
        <v>1175</v>
      </c>
      <c r="B3107" s="27" t="s">
        <v>159</v>
      </c>
    </row>
    <row r="3108" spans="1:2" ht="15.75" customHeight="1" x14ac:dyDescent="0.25">
      <c r="A3108" s="27" t="s">
        <v>1175</v>
      </c>
      <c r="B3108" s="27" t="s">
        <v>159</v>
      </c>
    </row>
    <row r="3109" spans="1:2" ht="15.75" customHeight="1" x14ac:dyDescent="0.25">
      <c r="A3109" s="27" t="s">
        <v>1175</v>
      </c>
      <c r="B3109" s="27" t="s">
        <v>159</v>
      </c>
    </row>
    <row r="3110" spans="1:2" ht="15.75" customHeight="1" x14ac:dyDescent="0.25">
      <c r="A3110" s="27" t="s">
        <v>1175</v>
      </c>
      <c r="B3110" s="27" t="s">
        <v>159</v>
      </c>
    </row>
    <row r="3111" spans="1:2" ht="15.75" customHeight="1" x14ac:dyDescent="0.25">
      <c r="A3111" s="27" t="s">
        <v>1175</v>
      </c>
      <c r="B3111" s="27" t="s">
        <v>159</v>
      </c>
    </row>
    <row r="3112" spans="1:2" ht="15.75" customHeight="1" x14ac:dyDescent="0.25">
      <c r="A3112" s="27" t="s">
        <v>1175</v>
      </c>
      <c r="B3112" s="27" t="s">
        <v>159</v>
      </c>
    </row>
    <row r="3113" spans="1:2" ht="15.75" customHeight="1" x14ac:dyDescent="0.25">
      <c r="A3113" s="27" t="s">
        <v>1175</v>
      </c>
      <c r="B3113" s="27" t="s">
        <v>159</v>
      </c>
    </row>
    <row r="3114" spans="1:2" ht="15.75" customHeight="1" x14ac:dyDescent="0.25">
      <c r="A3114" s="27" t="s">
        <v>1175</v>
      </c>
      <c r="B3114" s="27" t="s">
        <v>159</v>
      </c>
    </row>
    <row r="3115" spans="1:2" ht="15.75" customHeight="1" x14ac:dyDescent="0.25">
      <c r="A3115" s="27" t="s">
        <v>1175</v>
      </c>
      <c r="B3115" s="27" t="s">
        <v>159</v>
      </c>
    </row>
    <row r="3116" spans="1:2" ht="15.75" customHeight="1" x14ac:dyDescent="0.25">
      <c r="A3116" s="27" t="s">
        <v>1175</v>
      </c>
      <c r="B3116" s="27" t="s">
        <v>159</v>
      </c>
    </row>
    <row r="3117" spans="1:2" ht="15.75" customHeight="1" x14ac:dyDescent="0.25">
      <c r="A3117" s="27" t="s">
        <v>1175</v>
      </c>
      <c r="B3117" s="27" t="s">
        <v>159</v>
      </c>
    </row>
    <row r="3118" spans="1:2" ht="15.75" customHeight="1" x14ac:dyDescent="0.25">
      <c r="A3118" s="27" t="s">
        <v>1175</v>
      </c>
      <c r="B3118" s="27" t="s">
        <v>159</v>
      </c>
    </row>
    <row r="3119" spans="1:2" ht="15.75" customHeight="1" x14ac:dyDescent="0.25">
      <c r="A3119" s="27" t="s">
        <v>1175</v>
      </c>
      <c r="B3119" s="27" t="s">
        <v>159</v>
      </c>
    </row>
    <row r="3120" spans="1:2" ht="15.75" customHeight="1" x14ac:dyDescent="0.25">
      <c r="A3120" s="27" t="s">
        <v>1176</v>
      </c>
      <c r="B3120" s="27" t="s">
        <v>1177</v>
      </c>
    </row>
    <row r="3121" spans="1:2" ht="15.75" customHeight="1" x14ac:dyDescent="0.25">
      <c r="A3121" s="27" t="s">
        <v>1176</v>
      </c>
      <c r="B3121" s="27" t="s">
        <v>1177</v>
      </c>
    </row>
    <row r="3122" spans="1:2" ht="15.75" customHeight="1" x14ac:dyDescent="0.25">
      <c r="A3122" s="27" t="s">
        <v>1176</v>
      </c>
      <c r="B3122" s="27" t="s">
        <v>1177</v>
      </c>
    </row>
    <row r="3123" spans="1:2" ht="15.75" customHeight="1" x14ac:dyDescent="0.25">
      <c r="A3123" s="27" t="s">
        <v>1176</v>
      </c>
      <c r="B3123" s="27" t="s">
        <v>1177</v>
      </c>
    </row>
    <row r="3124" spans="1:2" ht="15.75" customHeight="1" x14ac:dyDescent="0.25">
      <c r="A3124" s="27" t="s">
        <v>1178</v>
      </c>
      <c r="B3124" s="27" t="s">
        <v>43</v>
      </c>
    </row>
    <row r="3125" spans="1:2" ht="15.75" customHeight="1" x14ac:dyDescent="0.25">
      <c r="A3125" s="27" t="s">
        <v>1178</v>
      </c>
      <c r="B3125" s="27" t="s">
        <v>43</v>
      </c>
    </row>
    <row r="3126" spans="1:2" ht="15.75" customHeight="1" x14ac:dyDescent="0.25">
      <c r="A3126" s="27" t="s">
        <v>1178</v>
      </c>
      <c r="B3126" s="27" t="s">
        <v>43</v>
      </c>
    </row>
    <row r="3127" spans="1:2" ht="15.75" customHeight="1" x14ac:dyDescent="0.25">
      <c r="A3127" s="27" t="s">
        <v>1178</v>
      </c>
      <c r="B3127" s="27" t="s">
        <v>43</v>
      </c>
    </row>
    <row r="3128" spans="1:2" ht="15.75" customHeight="1" x14ac:dyDescent="0.25">
      <c r="A3128" s="27" t="s">
        <v>1178</v>
      </c>
      <c r="B3128" s="27" t="s">
        <v>43</v>
      </c>
    </row>
    <row r="3129" spans="1:2" ht="15.75" customHeight="1" x14ac:dyDescent="0.25">
      <c r="A3129" s="27" t="s">
        <v>1178</v>
      </c>
      <c r="B3129" s="27" t="s">
        <v>43</v>
      </c>
    </row>
    <row r="3130" spans="1:2" ht="15.75" customHeight="1" x14ac:dyDescent="0.25">
      <c r="A3130" s="27" t="s">
        <v>1178</v>
      </c>
      <c r="B3130" s="27" t="s">
        <v>43</v>
      </c>
    </row>
    <row r="3131" spans="1:2" ht="15.75" customHeight="1" x14ac:dyDescent="0.25">
      <c r="A3131" s="27" t="s">
        <v>1178</v>
      </c>
      <c r="B3131" s="27" t="s">
        <v>43</v>
      </c>
    </row>
    <row r="3132" spans="1:2" ht="15.75" customHeight="1" x14ac:dyDescent="0.25">
      <c r="A3132" s="27" t="s">
        <v>1178</v>
      </c>
      <c r="B3132" s="27" t="s">
        <v>43</v>
      </c>
    </row>
    <row r="3133" spans="1:2" ht="15.75" customHeight="1" x14ac:dyDescent="0.25">
      <c r="A3133" s="27" t="s">
        <v>1178</v>
      </c>
      <c r="B3133" s="27" t="s">
        <v>43</v>
      </c>
    </row>
    <row r="3134" spans="1:2" ht="15.75" customHeight="1" x14ac:dyDescent="0.25">
      <c r="A3134" s="27" t="s">
        <v>1178</v>
      </c>
      <c r="B3134" s="27" t="s">
        <v>43</v>
      </c>
    </row>
    <row r="3135" spans="1:2" ht="15.75" customHeight="1" x14ac:dyDescent="0.25">
      <c r="A3135" s="27" t="s">
        <v>1178</v>
      </c>
      <c r="B3135" s="27" t="s">
        <v>43</v>
      </c>
    </row>
    <row r="3136" spans="1:2" ht="15.75" customHeight="1" x14ac:dyDescent="0.25">
      <c r="A3136" s="27" t="s">
        <v>1178</v>
      </c>
      <c r="B3136" s="27" t="s">
        <v>43</v>
      </c>
    </row>
    <row r="3137" spans="1:2" ht="15.75" customHeight="1" x14ac:dyDescent="0.25">
      <c r="A3137" s="27" t="s">
        <v>1178</v>
      </c>
      <c r="B3137" s="27" t="s">
        <v>43</v>
      </c>
    </row>
    <row r="3138" spans="1:2" ht="15.75" customHeight="1" x14ac:dyDescent="0.25">
      <c r="A3138" s="27" t="s">
        <v>1178</v>
      </c>
      <c r="B3138" s="27" t="s">
        <v>43</v>
      </c>
    </row>
    <row r="3139" spans="1:2" ht="15.75" customHeight="1" x14ac:dyDescent="0.25">
      <c r="A3139" s="27" t="s">
        <v>1178</v>
      </c>
      <c r="B3139" s="27" t="s">
        <v>43</v>
      </c>
    </row>
    <row r="3140" spans="1:2" ht="15.75" customHeight="1" x14ac:dyDescent="0.25">
      <c r="A3140" s="27" t="s">
        <v>1179</v>
      </c>
      <c r="B3140" s="27" t="s">
        <v>289</v>
      </c>
    </row>
    <row r="3141" spans="1:2" ht="15.75" customHeight="1" x14ac:dyDescent="0.25">
      <c r="A3141" s="27" t="s">
        <v>1179</v>
      </c>
      <c r="B3141" s="27" t="s">
        <v>289</v>
      </c>
    </row>
    <row r="3142" spans="1:2" ht="15.75" customHeight="1" x14ac:dyDescent="0.25">
      <c r="A3142" s="27" t="s">
        <v>1180</v>
      </c>
      <c r="B3142" s="27" t="s">
        <v>1181</v>
      </c>
    </row>
    <row r="3143" spans="1:2" ht="15.75" customHeight="1" x14ac:dyDescent="0.25">
      <c r="A3143" s="27" t="s">
        <v>1182</v>
      </c>
      <c r="B3143" s="27" t="s">
        <v>1183</v>
      </c>
    </row>
    <row r="3144" spans="1:2" ht="15.75" customHeight="1" x14ac:dyDescent="0.25">
      <c r="A3144" s="27" t="s">
        <v>1182</v>
      </c>
      <c r="B3144" s="27" t="s">
        <v>1183</v>
      </c>
    </row>
    <row r="3145" spans="1:2" ht="15.75" customHeight="1" x14ac:dyDescent="0.25">
      <c r="A3145" s="27" t="s">
        <v>1184</v>
      </c>
      <c r="B3145" s="27" t="s">
        <v>1185</v>
      </c>
    </row>
    <row r="3146" spans="1:2" ht="15.75" customHeight="1" x14ac:dyDescent="0.25">
      <c r="A3146" s="27" t="s">
        <v>1186</v>
      </c>
      <c r="B3146" s="27" t="s">
        <v>160</v>
      </c>
    </row>
    <row r="3147" spans="1:2" ht="15.75" customHeight="1" x14ac:dyDescent="0.25">
      <c r="A3147" s="27" t="s">
        <v>1186</v>
      </c>
      <c r="B3147" s="27" t="s">
        <v>160</v>
      </c>
    </row>
    <row r="3148" spans="1:2" ht="15.75" customHeight="1" x14ac:dyDescent="0.25">
      <c r="A3148" s="27" t="s">
        <v>1186</v>
      </c>
      <c r="B3148" s="27" t="s">
        <v>160</v>
      </c>
    </row>
    <row r="3149" spans="1:2" ht="15.75" customHeight="1" x14ac:dyDescent="0.25">
      <c r="A3149" s="27" t="s">
        <v>1186</v>
      </c>
      <c r="B3149" s="27" t="s">
        <v>160</v>
      </c>
    </row>
    <row r="3150" spans="1:2" ht="15.75" customHeight="1" x14ac:dyDescent="0.25">
      <c r="A3150" s="27" t="s">
        <v>1186</v>
      </c>
      <c r="B3150" s="27" t="s">
        <v>160</v>
      </c>
    </row>
    <row r="3151" spans="1:2" ht="15.75" customHeight="1" x14ac:dyDescent="0.25">
      <c r="A3151" s="27" t="s">
        <v>1186</v>
      </c>
      <c r="B3151" s="27" t="s">
        <v>160</v>
      </c>
    </row>
    <row r="3152" spans="1:2" ht="15.75" customHeight="1" x14ac:dyDescent="0.25">
      <c r="A3152" s="27" t="s">
        <v>1186</v>
      </c>
      <c r="B3152" s="27" t="s">
        <v>160</v>
      </c>
    </row>
    <row r="3153" spans="1:2" ht="15.75" customHeight="1" x14ac:dyDescent="0.25">
      <c r="A3153" s="27" t="s">
        <v>1186</v>
      </c>
      <c r="B3153" s="27" t="s">
        <v>160</v>
      </c>
    </row>
    <row r="3154" spans="1:2" ht="15.75" customHeight="1" x14ac:dyDescent="0.25">
      <c r="A3154" s="27" t="s">
        <v>1186</v>
      </c>
      <c r="B3154" s="27" t="s">
        <v>160</v>
      </c>
    </row>
    <row r="3155" spans="1:2" ht="15.75" customHeight="1" x14ac:dyDescent="0.25">
      <c r="A3155" s="27" t="s">
        <v>1186</v>
      </c>
      <c r="B3155" s="27" t="s">
        <v>160</v>
      </c>
    </row>
    <row r="3156" spans="1:2" ht="15.75" customHeight="1" x14ac:dyDescent="0.25">
      <c r="A3156" s="27" t="s">
        <v>1186</v>
      </c>
      <c r="B3156" s="27" t="s">
        <v>160</v>
      </c>
    </row>
    <row r="3157" spans="1:2" ht="15.75" customHeight="1" x14ac:dyDescent="0.25">
      <c r="A3157" s="27" t="s">
        <v>1186</v>
      </c>
      <c r="B3157" s="27" t="s">
        <v>160</v>
      </c>
    </row>
    <row r="3158" spans="1:2" ht="15.75" customHeight="1" x14ac:dyDescent="0.25">
      <c r="A3158" s="27" t="s">
        <v>1186</v>
      </c>
      <c r="B3158" s="27" t="s">
        <v>160</v>
      </c>
    </row>
    <row r="3159" spans="1:2" ht="15.75" customHeight="1" x14ac:dyDescent="0.25">
      <c r="A3159" s="27" t="s">
        <v>1186</v>
      </c>
      <c r="B3159" s="27" t="s">
        <v>160</v>
      </c>
    </row>
    <row r="3160" spans="1:2" ht="15.75" customHeight="1" x14ac:dyDescent="0.25">
      <c r="A3160" s="27" t="s">
        <v>1186</v>
      </c>
      <c r="B3160" s="27" t="s">
        <v>160</v>
      </c>
    </row>
    <row r="3161" spans="1:2" ht="15.75" customHeight="1" x14ac:dyDescent="0.25">
      <c r="A3161" s="27" t="s">
        <v>1186</v>
      </c>
      <c r="B3161" s="27" t="s">
        <v>160</v>
      </c>
    </row>
    <row r="3162" spans="1:2" ht="15.75" customHeight="1" x14ac:dyDescent="0.25">
      <c r="A3162" s="27" t="s">
        <v>1186</v>
      </c>
      <c r="B3162" s="27" t="s">
        <v>160</v>
      </c>
    </row>
    <row r="3163" spans="1:2" ht="15.75" customHeight="1" x14ac:dyDescent="0.25">
      <c r="A3163" s="27" t="s">
        <v>1187</v>
      </c>
      <c r="B3163" s="27" t="s">
        <v>1188</v>
      </c>
    </row>
    <row r="3164" spans="1:2" ht="15.75" customHeight="1" x14ac:dyDescent="0.25">
      <c r="A3164" s="27" t="s">
        <v>1189</v>
      </c>
      <c r="B3164" s="27" t="s">
        <v>1190</v>
      </c>
    </row>
    <row r="3165" spans="1:2" ht="15.75" customHeight="1" x14ac:dyDescent="0.25">
      <c r="A3165" s="27" t="s">
        <v>1189</v>
      </c>
      <c r="B3165" s="27" t="s">
        <v>1190</v>
      </c>
    </row>
    <row r="3166" spans="1:2" ht="15.75" customHeight="1" x14ac:dyDescent="0.25">
      <c r="A3166" s="27" t="s">
        <v>1189</v>
      </c>
      <c r="B3166" s="27" t="s">
        <v>1190</v>
      </c>
    </row>
    <row r="3167" spans="1:2" ht="15.75" customHeight="1" x14ac:dyDescent="0.25">
      <c r="A3167" s="27" t="s">
        <v>1189</v>
      </c>
      <c r="B3167" s="27" t="s">
        <v>1190</v>
      </c>
    </row>
    <row r="3168" spans="1:2" ht="15.75" customHeight="1" x14ac:dyDescent="0.25">
      <c r="A3168" s="27" t="s">
        <v>1189</v>
      </c>
      <c r="B3168" s="27" t="s">
        <v>1190</v>
      </c>
    </row>
    <row r="3169" spans="1:2" ht="15.75" customHeight="1" x14ac:dyDescent="0.25">
      <c r="A3169" s="27" t="s">
        <v>1189</v>
      </c>
      <c r="B3169" s="27" t="s">
        <v>1190</v>
      </c>
    </row>
    <row r="3170" spans="1:2" ht="15.75" customHeight="1" x14ac:dyDescent="0.25">
      <c r="A3170" s="27" t="s">
        <v>1189</v>
      </c>
      <c r="B3170" s="27" t="s">
        <v>1190</v>
      </c>
    </row>
    <row r="3171" spans="1:2" ht="15.75" customHeight="1" x14ac:dyDescent="0.25">
      <c r="A3171" s="27" t="s">
        <v>1189</v>
      </c>
      <c r="B3171" s="27" t="s">
        <v>1190</v>
      </c>
    </row>
    <row r="3172" spans="1:2" ht="15.75" customHeight="1" x14ac:dyDescent="0.25">
      <c r="A3172" s="27" t="s">
        <v>1189</v>
      </c>
      <c r="B3172" s="27" t="s">
        <v>1190</v>
      </c>
    </row>
    <row r="3173" spans="1:2" ht="15.75" customHeight="1" x14ac:dyDescent="0.25">
      <c r="A3173" s="27" t="s">
        <v>1189</v>
      </c>
      <c r="B3173" s="27" t="s">
        <v>1190</v>
      </c>
    </row>
    <row r="3174" spans="1:2" ht="15.75" customHeight="1" x14ac:dyDescent="0.25">
      <c r="A3174" s="27" t="s">
        <v>1189</v>
      </c>
      <c r="B3174" s="27" t="s">
        <v>1190</v>
      </c>
    </row>
    <row r="3175" spans="1:2" ht="15.75" customHeight="1" x14ac:dyDescent="0.25">
      <c r="A3175" s="27" t="s">
        <v>1189</v>
      </c>
      <c r="B3175" s="27" t="s">
        <v>1190</v>
      </c>
    </row>
    <row r="3176" spans="1:2" ht="15.75" customHeight="1" x14ac:dyDescent="0.25">
      <c r="A3176" s="27" t="s">
        <v>1189</v>
      </c>
      <c r="B3176" s="27" t="s">
        <v>1190</v>
      </c>
    </row>
    <row r="3177" spans="1:2" ht="15.75" customHeight="1" x14ac:dyDescent="0.25">
      <c r="A3177" s="27" t="s">
        <v>1189</v>
      </c>
      <c r="B3177" s="27" t="s">
        <v>1190</v>
      </c>
    </row>
    <row r="3178" spans="1:2" ht="15.75" customHeight="1" x14ac:dyDescent="0.25">
      <c r="A3178" s="27" t="s">
        <v>1189</v>
      </c>
      <c r="B3178" s="27" t="s">
        <v>1190</v>
      </c>
    </row>
    <row r="3179" spans="1:2" ht="15.75" customHeight="1" x14ac:dyDescent="0.25">
      <c r="A3179" s="27" t="s">
        <v>1189</v>
      </c>
      <c r="B3179" s="27" t="s">
        <v>1190</v>
      </c>
    </row>
    <row r="3180" spans="1:2" ht="15.75" customHeight="1" x14ac:dyDescent="0.25">
      <c r="A3180" s="27" t="s">
        <v>1189</v>
      </c>
      <c r="B3180" s="27" t="s">
        <v>1190</v>
      </c>
    </row>
    <row r="3181" spans="1:2" ht="15.75" customHeight="1" x14ac:dyDescent="0.25">
      <c r="A3181" s="27" t="s">
        <v>1189</v>
      </c>
      <c r="B3181" s="27" t="s">
        <v>1190</v>
      </c>
    </row>
    <row r="3182" spans="1:2" ht="15.75" customHeight="1" x14ac:dyDescent="0.25">
      <c r="A3182" s="27" t="s">
        <v>1191</v>
      </c>
      <c r="B3182" s="27" t="s">
        <v>117</v>
      </c>
    </row>
    <row r="3183" spans="1:2" ht="15.75" customHeight="1" x14ac:dyDescent="0.25">
      <c r="A3183" s="27" t="s">
        <v>1191</v>
      </c>
      <c r="B3183" s="27" t="s">
        <v>117</v>
      </c>
    </row>
    <row r="3184" spans="1:2" ht="15.75" customHeight="1" x14ac:dyDescent="0.25">
      <c r="A3184" s="27" t="s">
        <v>1191</v>
      </c>
      <c r="B3184" s="27" t="s">
        <v>117</v>
      </c>
    </row>
    <row r="3185" spans="1:2" ht="15.75" customHeight="1" x14ac:dyDescent="0.25">
      <c r="A3185" s="27" t="s">
        <v>1191</v>
      </c>
      <c r="B3185" s="27" t="s">
        <v>117</v>
      </c>
    </row>
    <row r="3186" spans="1:2" ht="15.75" customHeight="1" x14ac:dyDescent="0.25">
      <c r="A3186" s="27" t="s">
        <v>1191</v>
      </c>
      <c r="B3186" s="27" t="s">
        <v>117</v>
      </c>
    </row>
    <row r="3187" spans="1:2" ht="15.75" customHeight="1" x14ac:dyDescent="0.25">
      <c r="A3187" s="27" t="s">
        <v>1191</v>
      </c>
      <c r="B3187" s="27" t="s">
        <v>117</v>
      </c>
    </row>
    <row r="3188" spans="1:2" ht="15.75" customHeight="1" x14ac:dyDescent="0.25">
      <c r="A3188" s="27" t="s">
        <v>1191</v>
      </c>
      <c r="B3188" s="27" t="s">
        <v>117</v>
      </c>
    </row>
    <row r="3189" spans="1:2" ht="15.75" customHeight="1" x14ac:dyDescent="0.25">
      <c r="A3189" s="27" t="s">
        <v>1191</v>
      </c>
      <c r="B3189" s="27" t="s">
        <v>117</v>
      </c>
    </row>
    <row r="3190" spans="1:2" ht="15.75" customHeight="1" x14ac:dyDescent="0.25">
      <c r="A3190" s="27" t="s">
        <v>1191</v>
      </c>
      <c r="B3190" s="27" t="s">
        <v>117</v>
      </c>
    </row>
    <row r="3191" spans="1:2" ht="15.75" customHeight="1" x14ac:dyDescent="0.25">
      <c r="A3191" s="27" t="s">
        <v>1191</v>
      </c>
      <c r="B3191" s="27" t="s">
        <v>117</v>
      </c>
    </row>
    <row r="3192" spans="1:2" ht="15.75" customHeight="1" x14ac:dyDescent="0.25">
      <c r="A3192" s="27" t="s">
        <v>1191</v>
      </c>
      <c r="B3192" s="27" t="s">
        <v>117</v>
      </c>
    </row>
    <row r="3193" spans="1:2" ht="15.75" customHeight="1" x14ac:dyDescent="0.25">
      <c r="A3193" s="27" t="s">
        <v>1191</v>
      </c>
      <c r="B3193" s="27" t="s">
        <v>117</v>
      </c>
    </row>
    <row r="3194" spans="1:2" ht="15.75" customHeight="1" x14ac:dyDescent="0.25">
      <c r="A3194" s="27" t="s">
        <v>1192</v>
      </c>
      <c r="B3194" s="27" t="s">
        <v>124</v>
      </c>
    </row>
    <row r="3195" spans="1:2" ht="15.75" customHeight="1" x14ac:dyDescent="0.25">
      <c r="A3195" s="27" t="s">
        <v>1192</v>
      </c>
      <c r="B3195" s="27" t="s">
        <v>124</v>
      </c>
    </row>
    <row r="3196" spans="1:2" ht="15.75" customHeight="1" x14ac:dyDescent="0.25">
      <c r="A3196" s="27" t="s">
        <v>1192</v>
      </c>
      <c r="B3196" s="27" t="s">
        <v>124</v>
      </c>
    </row>
    <row r="3197" spans="1:2" ht="15.75" customHeight="1" x14ac:dyDescent="0.25">
      <c r="A3197" s="27" t="s">
        <v>1192</v>
      </c>
      <c r="B3197" s="27" t="s">
        <v>124</v>
      </c>
    </row>
    <row r="3198" spans="1:2" ht="15.75" customHeight="1" x14ac:dyDescent="0.25">
      <c r="A3198" s="27" t="s">
        <v>1192</v>
      </c>
      <c r="B3198" s="27" t="s">
        <v>124</v>
      </c>
    </row>
    <row r="3199" spans="1:2" ht="15.75" customHeight="1" x14ac:dyDescent="0.25">
      <c r="A3199" s="27" t="s">
        <v>1192</v>
      </c>
      <c r="B3199" s="27" t="s">
        <v>124</v>
      </c>
    </row>
    <row r="3200" spans="1:2" ht="15.75" customHeight="1" x14ac:dyDescent="0.25">
      <c r="A3200" s="27" t="s">
        <v>1192</v>
      </c>
      <c r="B3200" s="27" t="s">
        <v>124</v>
      </c>
    </row>
    <row r="3201" spans="1:2" ht="15.75" customHeight="1" x14ac:dyDescent="0.25">
      <c r="A3201" s="27" t="s">
        <v>1192</v>
      </c>
      <c r="B3201" s="27" t="s">
        <v>124</v>
      </c>
    </row>
    <row r="3202" spans="1:2" ht="15.75" customHeight="1" x14ac:dyDescent="0.25">
      <c r="A3202" s="27" t="s">
        <v>1192</v>
      </c>
      <c r="B3202" s="27" t="s">
        <v>124</v>
      </c>
    </row>
    <row r="3203" spans="1:2" ht="15.75" customHeight="1" x14ac:dyDescent="0.25">
      <c r="A3203" s="27" t="s">
        <v>1192</v>
      </c>
      <c r="B3203" s="27" t="s">
        <v>124</v>
      </c>
    </row>
    <row r="3204" spans="1:2" ht="15.75" customHeight="1" x14ac:dyDescent="0.25">
      <c r="A3204" s="27" t="s">
        <v>1192</v>
      </c>
      <c r="B3204" s="27" t="s">
        <v>124</v>
      </c>
    </row>
    <row r="3205" spans="1:2" ht="15.75" customHeight="1" x14ac:dyDescent="0.25">
      <c r="A3205" s="27" t="s">
        <v>1192</v>
      </c>
      <c r="B3205" s="27" t="s">
        <v>124</v>
      </c>
    </row>
    <row r="3206" spans="1:2" ht="15.75" customHeight="1" x14ac:dyDescent="0.25">
      <c r="A3206" s="27" t="s">
        <v>1192</v>
      </c>
      <c r="B3206" s="27" t="s">
        <v>124</v>
      </c>
    </row>
    <row r="3207" spans="1:2" ht="15.75" customHeight="1" x14ac:dyDescent="0.25">
      <c r="A3207" s="27" t="s">
        <v>1192</v>
      </c>
      <c r="B3207" s="27" t="s">
        <v>124</v>
      </c>
    </row>
    <row r="3208" spans="1:2" ht="15.75" customHeight="1" x14ac:dyDescent="0.25">
      <c r="A3208" s="27" t="s">
        <v>1192</v>
      </c>
      <c r="B3208" s="27" t="s">
        <v>124</v>
      </c>
    </row>
    <row r="3209" spans="1:2" ht="15.75" customHeight="1" x14ac:dyDescent="0.25">
      <c r="A3209" s="27" t="s">
        <v>1192</v>
      </c>
      <c r="B3209" s="27" t="s">
        <v>124</v>
      </c>
    </row>
    <row r="3210" spans="1:2" ht="15.75" customHeight="1" x14ac:dyDescent="0.25">
      <c r="A3210" s="27" t="s">
        <v>1192</v>
      </c>
      <c r="B3210" s="27" t="s">
        <v>124</v>
      </c>
    </row>
    <row r="3211" spans="1:2" ht="15.75" customHeight="1" x14ac:dyDescent="0.25">
      <c r="A3211" s="27" t="s">
        <v>1193</v>
      </c>
      <c r="B3211" s="27" t="s">
        <v>291</v>
      </c>
    </row>
    <row r="3212" spans="1:2" ht="15.75" customHeight="1" x14ac:dyDescent="0.25">
      <c r="A3212" s="27" t="s">
        <v>1193</v>
      </c>
      <c r="B3212" s="27" t="s">
        <v>291</v>
      </c>
    </row>
    <row r="3213" spans="1:2" ht="15.75" customHeight="1" x14ac:dyDescent="0.25">
      <c r="A3213" s="27" t="s">
        <v>1193</v>
      </c>
      <c r="B3213" s="27" t="s">
        <v>291</v>
      </c>
    </row>
    <row r="3214" spans="1:2" ht="15.75" customHeight="1" x14ac:dyDescent="0.25">
      <c r="A3214" s="27" t="s">
        <v>1194</v>
      </c>
      <c r="B3214" s="27" t="s">
        <v>186</v>
      </c>
    </row>
    <row r="3215" spans="1:2" ht="15.75" customHeight="1" x14ac:dyDescent="0.25">
      <c r="A3215" s="27" t="s">
        <v>1194</v>
      </c>
      <c r="B3215" s="27" t="s">
        <v>186</v>
      </c>
    </row>
    <row r="3216" spans="1:2" ht="15.75" customHeight="1" x14ac:dyDescent="0.25">
      <c r="A3216" s="27" t="s">
        <v>1194</v>
      </c>
      <c r="B3216" s="27" t="s">
        <v>186</v>
      </c>
    </row>
    <row r="3217" spans="1:2" ht="15.75" customHeight="1" x14ac:dyDescent="0.25">
      <c r="A3217" s="27" t="s">
        <v>1194</v>
      </c>
      <c r="B3217" s="27" t="s">
        <v>186</v>
      </c>
    </row>
    <row r="3218" spans="1:2" ht="15.75" customHeight="1" x14ac:dyDescent="0.25">
      <c r="A3218" s="27" t="s">
        <v>1194</v>
      </c>
      <c r="B3218" s="27" t="s">
        <v>186</v>
      </c>
    </row>
    <row r="3219" spans="1:2" ht="15.75" customHeight="1" x14ac:dyDescent="0.25">
      <c r="A3219" s="27" t="s">
        <v>1194</v>
      </c>
      <c r="B3219" s="27" t="s">
        <v>186</v>
      </c>
    </row>
    <row r="3220" spans="1:2" ht="15.75" customHeight="1" x14ac:dyDescent="0.25">
      <c r="A3220" s="27" t="s">
        <v>1194</v>
      </c>
      <c r="B3220" s="27" t="s">
        <v>186</v>
      </c>
    </row>
    <row r="3221" spans="1:2" ht="15.75" customHeight="1" x14ac:dyDescent="0.25">
      <c r="A3221" s="27" t="s">
        <v>1194</v>
      </c>
      <c r="B3221" s="27" t="s">
        <v>186</v>
      </c>
    </row>
    <row r="3222" spans="1:2" ht="15.75" customHeight="1" x14ac:dyDescent="0.25">
      <c r="A3222" s="27" t="s">
        <v>1194</v>
      </c>
      <c r="B3222" s="27" t="s">
        <v>186</v>
      </c>
    </row>
    <row r="3223" spans="1:2" ht="15.75" customHeight="1" x14ac:dyDescent="0.25">
      <c r="A3223" s="27" t="s">
        <v>1194</v>
      </c>
      <c r="B3223" s="27" t="s">
        <v>186</v>
      </c>
    </row>
    <row r="3224" spans="1:2" ht="15.75" customHeight="1" x14ac:dyDescent="0.25">
      <c r="A3224" s="27" t="s">
        <v>1194</v>
      </c>
      <c r="B3224" s="27" t="s">
        <v>186</v>
      </c>
    </row>
    <row r="3225" spans="1:2" ht="15.75" customHeight="1" x14ac:dyDescent="0.25">
      <c r="A3225" s="27" t="s">
        <v>1194</v>
      </c>
      <c r="B3225" s="27" t="s">
        <v>186</v>
      </c>
    </row>
    <row r="3226" spans="1:2" ht="15.75" customHeight="1" x14ac:dyDescent="0.25">
      <c r="A3226" s="27" t="s">
        <v>1194</v>
      </c>
      <c r="B3226" s="27" t="s">
        <v>186</v>
      </c>
    </row>
    <row r="3227" spans="1:2" ht="15.75" customHeight="1" x14ac:dyDescent="0.25">
      <c r="A3227" s="27" t="s">
        <v>1195</v>
      </c>
      <c r="B3227" s="27" t="s">
        <v>1196</v>
      </c>
    </row>
    <row r="3228" spans="1:2" ht="15.75" customHeight="1" x14ac:dyDescent="0.25">
      <c r="A3228" s="27" t="s">
        <v>1197</v>
      </c>
      <c r="B3228" s="27" t="s">
        <v>473</v>
      </c>
    </row>
    <row r="3229" spans="1:2" ht="15.75" customHeight="1" x14ac:dyDescent="0.25">
      <c r="A3229" s="27" t="s">
        <v>1197</v>
      </c>
      <c r="B3229" s="27" t="s">
        <v>473</v>
      </c>
    </row>
    <row r="3230" spans="1:2" ht="15.75" customHeight="1" x14ac:dyDescent="0.25">
      <c r="A3230" s="27" t="s">
        <v>1197</v>
      </c>
      <c r="B3230" s="27" t="s">
        <v>473</v>
      </c>
    </row>
    <row r="3231" spans="1:2" ht="15.75" customHeight="1" x14ac:dyDescent="0.25">
      <c r="A3231" s="27" t="s">
        <v>1197</v>
      </c>
      <c r="B3231" s="27" t="s">
        <v>473</v>
      </c>
    </row>
    <row r="3232" spans="1:2" ht="15.75" customHeight="1" x14ac:dyDescent="0.25">
      <c r="A3232" s="27" t="s">
        <v>1197</v>
      </c>
      <c r="B3232" s="27" t="s">
        <v>473</v>
      </c>
    </row>
    <row r="3233" spans="1:2" ht="15.75" customHeight="1" x14ac:dyDescent="0.25">
      <c r="A3233" s="27" t="s">
        <v>1197</v>
      </c>
      <c r="B3233" s="27" t="s">
        <v>473</v>
      </c>
    </row>
    <row r="3234" spans="1:2" ht="15.75" customHeight="1" x14ac:dyDescent="0.25">
      <c r="A3234" s="27" t="s">
        <v>1197</v>
      </c>
      <c r="B3234" s="27" t="s">
        <v>473</v>
      </c>
    </row>
    <row r="3235" spans="1:2" ht="15.75" customHeight="1" x14ac:dyDescent="0.25">
      <c r="A3235" s="27" t="s">
        <v>1197</v>
      </c>
      <c r="B3235" s="27" t="s">
        <v>473</v>
      </c>
    </row>
    <row r="3236" spans="1:2" ht="15.75" customHeight="1" x14ac:dyDescent="0.25">
      <c r="A3236" s="27" t="s">
        <v>1198</v>
      </c>
      <c r="B3236" s="27" t="s">
        <v>1199</v>
      </c>
    </row>
    <row r="3237" spans="1:2" ht="15.75" customHeight="1" x14ac:dyDescent="0.25">
      <c r="A3237" s="27" t="s">
        <v>1198</v>
      </c>
      <c r="B3237" s="27" t="s">
        <v>1199</v>
      </c>
    </row>
    <row r="3238" spans="1:2" ht="15.75" customHeight="1" x14ac:dyDescent="0.25">
      <c r="A3238" s="27" t="s">
        <v>1198</v>
      </c>
      <c r="B3238" s="27" t="s">
        <v>1199</v>
      </c>
    </row>
    <row r="3239" spans="1:2" ht="15.75" customHeight="1" x14ac:dyDescent="0.25">
      <c r="A3239" s="27" t="s">
        <v>1200</v>
      </c>
      <c r="B3239" s="27" t="s">
        <v>528</v>
      </c>
    </row>
    <row r="3240" spans="1:2" ht="15.75" customHeight="1" x14ac:dyDescent="0.25">
      <c r="A3240" s="27" t="s">
        <v>1200</v>
      </c>
      <c r="B3240" s="27" t="s">
        <v>528</v>
      </c>
    </row>
    <row r="3241" spans="1:2" ht="15.75" customHeight="1" x14ac:dyDescent="0.25">
      <c r="A3241" s="27" t="s">
        <v>1200</v>
      </c>
      <c r="B3241" s="27" t="s">
        <v>528</v>
      </c>
    </row>
    <row r="3242" spans="1:2" ht="15.75" customHeight="1" x14ac:dyDescent="0.25">
      <c r="A3242" s="27" t="s">
        <v>1200</v>
      </c>
      <c r="B3242" s="27" t="s">
        <v>528</v>
      </c>
    </row>
    <row r="3243" spans="1:2" ht="15.75" customHeight="1" x14ac:dyDescent="0.25">
      <c r="A3243" s="27" t="s">
        <v>1200</v>
      </c>
      <c r="B3243" s="27" t="s">
        <v>528</v>
      </c>
    </row>
    <row r="3244" spans="1:2" ht="15.75" customHeight="1" x14ac:dyDescent="0.25">
      <c r="A3244" s="27" t="s">
        <v>1200</v>
      </c>
      <c r="B3244" s="27" t="s">
        <v>528</v>
      </c>
    </row>
    <row r="3245" spans="1:2" ht="15.75" customHeight="1" x14ac:dyDescent="0.25">
      <c r="A3245" s="27" t="s">
        <v>1201</v>
      </c>
      <c r="B3245" s="27" t="s">
        <v>480</v>
      </c>
    </row>
    <row r="3246" spans="1:2" ht="15.75" customHeight="1" x14ac:dyDescent="0.25">
      <c r="A3246" s="27" t="s">
        <v>1201</v>
      </c>
      <c r="B3246" s="27" t="s">
        <v>480</v>
      </c>
    </row>
    <row r="3247" spans="1:2" ht="15.75" customHeight="1" x14ac:dyDescent="0.25">
      <c r="A3247" s="27" t="s">
        <v>1202</v>
      </c>
      <c r="B3247" s="27" t="s">
        <v>1203</v>
      </c>
    </row>
    <row r="3248" spans="1:2" ht="15.75" customHeight="1" x14ac:dyDescent="0.25">
      <c r="A3248" s="27" t="s">
        <v>1202</v>
      </c>
      <c r="B3248" s="27" t="s">
        <v>1203</v>
      </c>
    </row>
    <row r="3249" spans="1:2" ht="15.75" customHeight="1" x14ac:dyDescent="0.25">
      <c r="A3249" s="27" t="s">
        <v>1202</v>
      </c>
      <c r="B3249" s="27" t="s">
        <v>1203</v>
      </c>
    </row>
    <row r="3250" spans="1:2" ht="15.75" customHeight="1" x14ac:dyDescent="0.25">
      <c r="A3250" s="27" t="s">
        <v>1204</v>
      </c>
      <c r="B3250" s="27" t="s">
        <v>1205</v>
      </c>
    </row>
    <row r="3251" spans="1:2" ht="15.75" customHeight="1" x14ac:dyDescent="0.25">
      <c r="A3251" s="27" t="s">
        <v>1206</v>
      </c>
      <c r="B3251" s="27" t="s">
        <v>1207</v>
      </c>
    </row>
    <row r="3252" spans="1:2" ht="15.75" customHeight="1" x14ac:dyDescent="0.25">
      <c r="A3252" s="27" t="s">
        <v>1208</v>
      </c>
      <c r="B3252" s="27" t="s">
        <v>1209</v>
      </c>
    </row>
    <row r="3253" spans="1:2" ht="15.75" customHeight="1" x14ac:dyDescent="0.25">
      <c r="A3253" s="27" t="s">
        <v>1210</v>
      </c>
      <c r="B3253" s="27" t="s">
        <v>1211</v>
      </c>
    </row>
    <row r="3254" spans="1:2" ht="15.75" customHeight="1" x14ac:dyDescent="0.25">
      <c r="A3254" s="27" t="s">
        <v>1210</v>
      </c>
      <c r="B3254" s="27" t="s">
        <v>1211</v>
      </c>
    </row>
    <row r="3255" spans="1:2" ht="15.75" customHeight="1" x14ac:dyDescent="0.25">
      <c r="A3255" s="27" t="s">
        <v>1210</v>
      </c>
      <c r="B3255" s="27" t="s">
        <v>1211</v>
      </c>
    </row>
    <row r="3256" spans="1:2" ht="15.75" customHeight="1" x14ac:dyDescent="0.25">
      <c r="A3256" s="27" t="s">
        <v>1212</v>
      </c>
      <c r="B3256" s="27" t="s">
        <v>1213</v>
      </c>
    </row>
    <row r="3257" spans="1:2" ht="15.75" customHeight="1" x14ac:dyDescent="0.25">
      <c r="A3257" s="27" t="s">
        <v>1212</v>
      </c>
      <c r="B3257" s="27" t="s">
        <v>1213</v>
      </c>
    </row>
    <row r="3258" spans="1:2" ht="15.75" customHeight="1" x14ac:dyDescent="0.25">
      <c r="A3258" s="27" t="s">
        <v>1212</v>
      </c>
      <c r="B3258" s="27" t="s">
        <v>1213</v>
      </c>
    </row>
    <row r="3259" spans="1:2" ht="15.75" customHeight="1" x14ac:dyDescent="0.25">
      <c r="A3259" s="27" t="s">
        <v>1214</v>
      </c>
      <c r="B3259" s="27" t="s">
        <v>1215</v>
      </c>
    </row>
    <row r="3260" spans="1:2" ht="15.75" customHeight="1" x14ac:dyDescent="0.25">
      <c r="A3260" s="27" t="s">
        <v>1216</v>
      </c>
      <c r="B3260" s="27" t="s">
        <v>1217</v>
      </c>
    </row>
    <row r="3261" spans="1:2" ht="15.75" customHeight="1" x14ac:dyDescent="0.25">
      <c r="A3261" s="27" t="s">
        <v>1216</v>
      </c>
      <c r="B3261" s="27" t="s">
        <v>1217</v>
      </c>
    </row>
    <row r="3262" spans="1:2" ht="15.75" customHeight="1" x14ac:dyDescent="0.25">
      <c r="A3262" s="27" t="s">
        <v>1218</v>
      </c>
      <c r="B3262" s="27" t="s">
        <v>1219</v>
      </c>
    </row>
    <row r="3263" spans="1:2" ht="15.75" customHeight="1" x14ac:dyDescent="0.25">
      <c r="A3263" s="27" t="s">
        <v>1218</v>
      </c>
      <c r="B3263" s="27" t="s">
        <v>1219</v>
      </c>
    </row>
    <row r="3264" spans="1:2" ht="15.75" customHeight="1" x14ac:dyDescent="0.25">
      <c r="A3264" s="27" t="s">
        <v>1220</v>
      </c>
      <c r="B3264" s="27" t="s">
        <v>1221</v>
      </c>
    </row>
    <row r="3265" spans="1:2" ht="15.75" customHeight="1" x14ac:dyDescent="0.25">
      <c r="A3265" s="27" t="s">
        <v>1222</v>
      </c>
      <c r="B3265" s="27" t="s">
        <v>1223</v>
      </c>
    </row>
    <row r="3266" spans="1:2" ht="15.75" customHeight="1" x14ac:dyDescent="0.25">
      <c r="A3266" s="27" t="s">
        <v>1224</v>
      </c>
      <c r="B3266" s="27" t="s">
        <v>483</v>
      </c>
    </row>
    <row r="3267" spans="1:2" ht="15.75" customHeight="1" x14ac:dyDescent="0.25">
      <c r="A3267" s="27" t="s">
        <v>1225</v>
      </c>
      <c r="B3267" s="27" t="s">
        <v>1226</v>
      </c>
    </row>
    <row r="3268" spans="1:2" ht="15.75" customHeight="1" x14ac:dyDescent="0.25">
      <c r="A3268" s="27" t="s">
        <v>1227</v>
      </c>
      <c r="B3268" s="27" t="s">
        <v>1228</v>
      </c>
    </row>
    <row r="3269" spans="1:2" ht="15.75" customHeight="1" x14ac:dyDescent="0.25">
      <c r="A3269" s="27" t="s">
        <v>1229</v>
      </c>
      <c r="B3269" s="27" t="s">
        <v>1230</v>
      </c>
    </row>
    <row r="3270" spans="1:2" ht="15.75" customHeight="1" x14ac:dyDescent="0.25">
      <c r="A3270" s="27" t="s">
        <v>1231</v>
      </c>
      <c r="B3270" s="27" t="s">
        <v>163</v>
      </c>
    </row>
    <row r="3271" spans="1:2" ht="15.75" customHeight="1" x14ac:dyDescent="0.25">
      <c r="A3271" s="27" t="s">
        <v>1231</v>
      </c>
      <c r="B3271" s="27" t="s">
        <v>163</v>
      </c>
    </row>
    <row r="3272" spans="1:2" ht="15.75" customHeight="1" x14ac:dyDescent="0.25">
      <c r="A3272" s="27" t="s">
        <v>1231</v>
      </c>
      <c r="B3272" s="27" t="s">
        <v>163</v>
      </c>
    </row>
    <row r="3273" spans="1:2" ht="15.75" customHeight="1" x14ac:dyDescent="0.25">
      <c r="A3273" s="27" t="s">
        <v>1231</v>
      </c>
      <c r="B3273" s="27" t="s">
        <v>163</v>
      </c>
    </row>
    <row r="3274" spans="1:2" ht="15.75" customHeight="1" x14ac:dyDescent="0.25">
      <c r="A3274" s="27" t="s">
        <v>1231</v>
      </c>
      <c r="B3274" s="27" t="s">
        <v>163</v>
      </c>
    </row>
    <row r="3275" spans="1:2" ht="15.75" customHeight="1" x14ac:dyDescent="0.25">
      <c r="A3275" s="27" t="s">
        <v>1231</v>
      </c>
      <c r="B3275" s="27" t="s">
        <v>163</v>
      </c>
    </row>
    <row r="3276" spans="1:2" ht="15.75" customHeight="1" x14ac:dyDescent="0.25">
      <c r="A3276" s="27" t="s">
        <v>1231</v>
      </c>
      <c r="B3276" s="27" t="s">
        <v>163</v>
      </c>
    </row>
    <row r="3277" spans="1:2" ht="15.75" customHeight="1" x14ac:dyDescent="0.25">
      <c r="A3277" s="27" t="s">
        <v>1231</v>
      </c>
      <c r="B3277" s="27" t="s">
        <v>163</v>
      </c>
    </row>
    <row r="3278" spans="1:2" ht="15.75" customHeight="1" x14ac:dyDescent="0.25">
      <c r="A3278" s="27" t="s">
        <v>1231</v>
      </c>
      <c r="B3278" s="27" t="s">
        <v>163</v>
      </c>
    </row>
    <row r="3279" spans="1:2" ht="15.75" customHeight="1" x14ac:dyDescent="0.25">
      <c r="A3279" s="27" t="s">
        <v>1231</v>
      </c>
      <c r="B3279" s="27" t="s">
        <v>163</v>
      </c>
    </row>
    <row r="3280" spans="1:2" ht="15.75" customHeight="1" x14ac:dyDescent="0.25">
      <c r="A3280" s="27" t="s">
        <v>1231</v>
      </c>
      <c r="B3280" s="27" t="s">
        <v>163</v>
      </c>
    </row>
    <row r="3281" spans="1:2" ht="15.75" customHeight="1" x14ac:dyDescent="0.25">
      <c r="A3281" s="27" t="s">
        <v>1231</v>
      </c>
      <c r="B3281" s="27" t="s">
        <v>163</v>
      </c>
    </row>
    <row r="3282" spans="1:2" ht="15.75" customHeight="1" x14ac:dyDescent="0.25">
      <c r="A3282" s="27" t="s">
        <v>1231</v>
      </c>
      <c r="B3282" s="27" t="s">
        <v>163</v>
      </c>
    </row>
    <row r="3283" spans="1:2" ht="15.75" customHeight="1" x14ac:dyDescent="0.25">
      <c r="A3283" s="27" t="s">
        <v>1231</v>
      </c>
      <c r="B3283" s="27" t="s">
        <v>163</v>
      </c>
    </row>
    <row r="3284" spans="1:2" ht="15.75" customHeight="1" x14ac:dyDescent="0.25">
      <c r="A3284" s="27" t="s">
        <v>1231</v>
      </c>
      <c r="B3284" s="27" t="s">
        <v>163</v>
      </c>
    </row>
    <row r="3285" spans="1:2" ht="15.75" customHeight="1" x14ac:dyDescent="0.25">
      <c r="A3285" s="27" t="s">
        <v>1231</v>
      </c>
      <c r="B3285" s="27" t="s">
        <v>163</v>
      </c>
    </row>
    <row r="3286" spans="1:2" ht="15.75" customHeight="1" x14ac:dyDescent="0.25">
      <c r="A3286" s="27" t="s">
        <v>1231</v>
      </c>
      <c r="B3286" s="27" t="s">
        <v>163</v>
      </c>
    </row>
    <row r="3287" spans="1:2" ht="15.75" customHeight="1" x14ac:dyDescent="0.25">
      <c r="A3287" s="27" t="s">
        <v>1231</v>
      </c>
      <c r="B3287" s="27" t="s">
        <v>163</v>
      </c>
    </row>
    <row r="3288" spans="1:2" ht="15.75" customHeight="1" x14ac:dyDescent="0.25">
      <c r="A3288" s="27" t="s">
        <v>1231</v>
      </c>
      <c r="B3288" s="27" t="s">
        <v>163</v>
      </c>
    </row>
    <row r="3289" spans="1:2" ht="15.75" customHeight="1" x14ac:dyDescent="0.25">
      <c r="A3289" s="27" t="s">
        <v>1231</v>
      </c>
      <c r="B3289" s="27" t="s">
        <v>163</v>
      </c>
    </row>
    <row r="3290" spans="1:2" ht="15.75" customHeight="1" x14ac:dyDescent="0.25">
      <c r="A3290" s="27" t="s">
        <v>1231</v>
      </c>
      <c r="B3290" s="27" t="s">
        <v>163</v>
      </c>
    </row>
    <row r="3291" spans="1:2" ht="15.75" customHeight="1" x14ac:dyDescent="0.25">
      <c r="A3291" s="27" t="s">
        <v>1231</v>
      </c>
      <c r="B3291" s="27" t="s">
        <v>163</v>
      </c>
    </row>
    <row r="3292" spans="1:2" ht="15.75" customHeight="1" x14ac:dyDescent="0.25">
      <c r="A3292" s="27" t="s">
        <v>1231</v>
      </c>
      <c r="B3292" s="27" t="s">
        <v>163</v>
      </c>
    </row>
    <row r="3293" spans="1:2" ht="15.75" customHeight="1" x14ac:dyDescent="0.25">
      <c r="A3293" s="27" t="s">
        <v>1231</v>
      </c>
      <c r="B3293" s="27" t="s">
        <v>163</v>
      </c>
    </row>
    <row r="3294" spans="1:2" ht="15.75" customHeight="1" x14ac:dyDescent="0.25">
      <c r="A3294" s="27" t="s">
        <v>1231</v>
      </c>
      <c r="B3294" s="27" t="s">
        <v>163</v>
      </c>
    </row>
    <row r="3295" spans="1:2" ht="15.75" customHeight="1" x14ac:dyDescent="0.25">
      <c r="A3295" s="27" t="s">
        <v>1231</v>
      </c>
      <c r="B3295" s="27" t="s">
        <v>163</v>
      </c>
    </row>
    <row r="3296" spans="1:2" ht="15.75" customHeight="1" x14ac:dyDescent="0.25">
      <c r="A3296" s="27" t="s">
        <v>1231</v>
      </c>
      <c r="B3296" s="27" t="s">
        <v>163</v>
      </c>
    </row>
    <row r="3297" spans="1:2" ht="15.75" customHeight="1" x14ac:dyDescent="0.25">
      <c r="A3297" s="27" t="s">
        <v>1231</v>
      </c>
      <c r="B3297" s="27" t="s">
        <v>163</v>
      </c>
    </row>
    <row r="3298" spans="1:2" ht="15.75" customHeight="1" x14ac:dyDescent="0.25">
      <c r="A3298" s="27" t="s">
        <v>1231</v>
      </c>
      <c r="B3298" s="27" t="s">
        <v>163</v>
      </c>
    </row>
    <row r="3299" spans="1:2" ht="15.75" customHeight="1" x14ac:dyDescent="0.25">
      <c r="A3299" s="27" t="s">
        <v>1231</v>
      </c>
      <c r="B3299" s="27" t="s">
        <v>163</v>
      </c>
    </row>
    <row r="3300" spans="1:2" ht="15.75" customHeight="1" x14ac:dyDescent="0.25">
      <c r="A3300" s="27" t="s">
        <v>1231</v>
      </c>
      <c r="B3300" s="27" t="s">
        <v>163</v>
      </c>
    </row>
    <row r="3301" spans="1:2" ht="15.75" customHeight="1" x14ac:dyDescent="0.25">
      <c r="A3301" s="27" t="s">
        <v>1231</v>
      </c>
      <c r="B3301" s="27" t="s">
        <v>163</v>
      </c>
    </row>
    <row r="3302" spans="1:2" ht="15.75" customHeight="1" x14ac:dyDescent="0.25">
      <c r="A3302" s="27" t="s">
        <v>1231</v>
      </c>
      <c r="B3302" s="27" t="s">
        <v>163</v>
      </c>
    </row>
    <row r="3303" spans="1:2" ht="15.75" customHeight="1" x14ac:dyDescent="0.25">
      <c r="A3303" s="27" t="s">
        <v>1231</v>
      </c>
      <c r="B3303" s="27" t="s">
        <v>163</v>
      </c>
    </row>
    <row r="3304" spans="1:2" ht="15.75" customHeight="1" x14ac:dyDescent="0.25">
      <c r="A3304" s="27" t="s">
        <v>1231</v>
      </c>
      <c r="B3304" s="27" t="s">
        <v>163</v>
      </c>
    </row>
    <row r="3305" spans="1:2" ht="15.75" customHeight="1" x14ac:dyDescent="0.25">
      <c r="A3305" s="27" t="s">
        <v>1231</v>
      </c>
      <c r="B3305" s="27" t="s">
        <v>163</v>
      </c>
    </row>
    <row r="3306" spans="1:2" ht="15.75" customHeight="1" x14ac:dyDescent="0.25">
      <c r="A3306" s="27" t="s">
        <v>1231</v>
      </c>
      <c r="B3306" s="27" t="s">
        <v>163</v>
      </c>
    </row>
    <row r="3307" spans="1:2" ht="15.75" customHeight="1" x14ac:dyDescent="0.25">
      <c r="A3307" s="27" t="s">
        <v>1231</v>
      </c>
      <c r="B3307" s="27" t="s">
        <v>163</v>
      </c>
    </row>
    <row r="3308" spans="1:2" ht="15.75" customHeight="1" x14ac:dyDescent="0.25">
      <c r="A3308" s="27" t="s">
        <v>1231</v>
      </c>
      <c r="B3308" s="27" t="s">
        <v>163</v>
      </c>
    </row>
    <row r="3309" spans="1:2" ht="15.75" customHeight="1" x14ac:dyDescent="0.25">
      <c r="A3309" s="27" t="s">
        <v>1231</v>
      </c>
      <c r="B3309" s="27" t="s">
        <v>163</v>
      </c>
    </row>
    <row r="3310" spans="1:2" ht="15.75" customHeight="1" x14ac:dyDescent="0.25">
      <c r="A3310" s="27" t="s">
        <v>1231</v>
      </c>
      <c r="B3310" s="27" t="s">
        <v>163</v>
      </c>
    </row>
    <row r="3311" spans="1:2" ht="15.75" customHeight="1" x14ac:dyDescent="0.25">
      <c r="A3311" s="27" t="s">
        <v>1231</v>
      </c>
      <c r="B3311" s="27" t="s">
        <v>163</v>
      </c>
    </row>
    <row r="3312" spans="1:2" ht="15.75" customHeight="1" x14ac:dyDescent="0.25">
      <c r="A3312" s="27" t="s">
        <v>1231</v>
      </c>
      <c r="B3312" s="27" t="s">
        <v>163</v>
      </c>
    </row>
    <row r="3313" spans="1:2" ht="15.75" customHeight="1" x14ac:dyDescent="0.25">
      <c r="A3313" s="27" t="s">
        <v>1231</v>
      </c>
      <c r="B3313" s="27" t="s">
        <v>163</v>
      </c>
    </row>
    <row r="3314" spans="1:2" ht="15.75" customHeight="1" x14ac:dyDescent="0.25">
      <c r="A3314" s="27" t="s">
        <v>1231</v>
      </c>
      <c r="B3314" s="27" t="s">
        <v>163</v>
      </c>
    </row>
    <row r="3315" spans="1:2" ht="15.75" customHeight="1" x14ac:dyDescent="0.25">
      <c r="A3315" s="27" t="s">
        <v>1231</v>
      </c>
      <c r="B3315" s="27" t="s">
        <v>163</v>
      </c>
    </row>
    <row r="3316" spans="1:2" ht="15.75" customHeight="1" x14ac:dyDescent="0.25">
      <c r="A3316" s="27" t="s">
        <v>1231</v>
      </c>
      <c r="B3316" s="27" t="s">
        <v>163</v>
      </c>
    </row>
    <row r="3317" spans="1:2" ht="15.75" customHeight="1" x14ac:dyDescent="0.25">
      <c r="A3317" s="27" t="s">
        <v>1231</v>
      </c>
      <c r="B3317" s="27" t="s">
        <v>163</v>
      </c>
    </row>
    <row r="3318" spans="1:2" ht="15.75" customHeight="1" x14ac:dyDescent="0.25">
      <c r="A3318" s="27" t="s">
        <v>1231</v>
      </c>
      <c r="B3318" s="27" t="s">
        <v>163</v>
      </c>
    </row>
    <row r="3319" spans="1:2" ht="15.75" customHeight="1" x14ac:dyDescent="0.25">
      <c r="A3319" s="27" t="s">
        <v>1231</v>
      </c>
      <c r="B3319" s="27" t="s">
        <v>163</v>
      </c>
    </row>
    <row r="3320" spans="1:2" ht="15.75" customHeight="1" x14ac:dyDescent="0.25">
      <c r="A3320" s="27" t="s">
        <v>1231</v>
      </c>
      <c r="B3320" s="27" t="s">
        <v>163</v>
      </c>
    </row>
    <row r="3321" spans="1:2" ht="15.75" customHeight="1" x14ac:dyDescent="0.25">
      <c r="A3321" s="27" t="s">
        <v>1231</v>
      </c>
      <c r="B3321" s="27" t="s">
        <v>163</v>
      </c>
    </row>
    <row r="3322" spans="1:2" ht="15.75" customHeight="1" x14ac:dyDescent="0.25">
      <c r="A3322" s="27" t="s">
        <v>1231</v>
      </c>
      <c r="B3322" s="27" t="s">
        <v>163</v>
      </c>
    </row>
    <row r="3323" spans="1:2" ht="15.75" customHeight="1" x14ac:dyDescent="0.25">
      <c r="A3323" s="27" t="s">
        <v>1231</v>
      </c>
      <c r="B3323" s="27" t="s">
        <v>163</v>
      </c>
    </row>
    <row r="3324" spans="1:2" ht="15.75" customHeight="1" x14ac:dyDescent="0.25">
      <c r="A3324" s="27" t="s">
        <v>1231</v>
      </c>
      <c r="B3324" s="27" t="s">
        <v>163</v>
      </c>
    </row>
    <row r="3325" spans="1:2" ht="15.75" customHeight="1" x14ac:dyDescent="0.25">
      <c r="A3325" s="27" t="s">
        <v>1231</v>
      </c>
      <c r="B3325" s="27" t="s">
        <v>163</v>
      </c>
    </row>
    <row r="3326" spans="1:2" ht="15.75" customHeight="1" x14ac:dyDescent="0.25">
      <c r="A3326" s="27" t="s">
        <v>1231</v>
      </c>
      <c r="B3326" s="27" t="s">
        <v>163</v>
      </c>
    </row>
    <row r="3327" spans="1:2" ht="15.75" customHeight="1" x14ac:dyDescent="0.25">
      <c r="A3327" s="27" t="s">
        <v>1231</v>
      </c>
      <c r="B3327" s="27" t="s">
        <v>163</v>
      </c>
    </row>
    <row r="3328" spans="1:2" ht="15.75" customHeight="1" x14ac:dyDescent="0.25">
      <c r="A3328" s="27" t="s">
        <v>1231</v>
      </c>
      <c r="B3328" s="27" t="s">
        <v>163</v>
      </c>
    </row>
    <row r="3329" spans="1:2" ht="15.75" customHeight="1" x14ac:dyDescent="0.25">
      <c r="A3329" s="27" t="s">
        <v>1231</v>
      </c>
      <c r="B3329" s="27" t="s">
        <v>163</v>
      </c>
    </row>
    <row r="3330" spans="1:2" ht="15.75" customHeight="1" x14ac:dyDescent="0.25">
      <c r="A3330" s="27" t="s">
        <v>1231</v>
      </c>
      <c r="B3330" s="27" t="s">
        <v>163</v>
      </c>
    </row>
    <row r="3331" spans="1:2" ht="15.75" customHeight="1" x14ac:dyDescent="0.25">
      <c r="A3331" s="27" t="s">
        <v>1231</v>
      </c>
      <c r="B3331" s="27" t="s">
        <v>163</v>
      </c>
    </row>
    <row r="3332" spans="1:2" ht="15.75" customHeight="1" x14ac:dyDescent="0.25">
      <c r="A3332" s="27" t="s">
        <v>1231</v>
      </c>
      <c r="B3332" s="27" t="s">
        <v>163</v>
      </c>
    </row>
    <row r="3333" spans="1:2" ht="15.75" customHeight="1" x14ac:dyDescent="0.25">
      <c r="A3333" s="27" t="s">
        <v>1231</v>
      </c>
      <c r="B3333" s="27" t="s">
        <v>163</v>
      </c>
    </row>
    <row r="3334" spans="1:2" ht="15.75" customHeight="1" x14ac:dyDescent="0.25">
      <c r="A3334" s="27" t="s">
        <v>1231</v>
      </c>
      <c r="B3334" s="27" t="s">
        <v>163</v>
      </c>
    </row>
    <row r="3335" spans="1:2" ht="15.75" customHeight="1" x14ac:dyDescent="0.25">
      <c r="A3335" s="27" t="s">
        <v>1231</v>
      </c>
      <c r="B3335" s="27" t="s">
        <v>163</v>
      </c>
    </row>
    <row r="3336" spans="1:2" ht="15.75" customHeight="1" x14ac:dyDescent="0.25">
      <c r="A3336" s="27" t="s">
        <v>1231</v>
      </c>
      <c r="B3336" s="27" t="s">
        <v>163</v>
      </c>
    </row>
    <row r="3337" spans="1:2" ht="15.75" customHeight="1" x14ac:dyDescent="0.25">
      <c r="A3337" s="27" t="s">
        <v>1231</v>
      </c>
      <c r="B3337" s="27" t="s">
        <v>163</v>
      </c>
    </row>
    <row r="3338" spans="1:2" ht="15.75" customHeight="1" x14ac:dyDescent="0.25">
      <c r="A3338" s="27" t="s">
        <v>1231</v>
      </c>
      <c r="B3338" s="27" t="s">
        <v>163</v>
      </c>
    </row>
    <row r="3339" spans="1:2" ht="15.75" customHeight="1" x14ac:dyDescent="0.25">
      <c r="A3339" s="27" t="s">
        <v>1231</v>
      </c>
      <c r="B3339" s="27" t="s">
        <v>163</v>
      </c>
    </row>
    <row r="3340" spans="1:2" ht="15.75" customHeight="1" x14ac:dyDescent="0.25">
      <c r="A3340" s="27" t="s">
        <v>1231</v>
      </c>
      <c r="B3340" s="27" t="s">
        <v>163</v>
      </c>
    </row>
    <row r="3341" spans="1:2" ht="15.75" customHeight="1" x14ac:dyDescent="0.25">
      <c r="A3341" s="27" t="s">
        <v>1231</v>
      </c>
      <c r="B3341" s="27" t="s">
        <v>163</v>
      </c>
    </row>
    <row r="3342" spans="1:2" ht="15.75" customHeight="1" x14ac:dyDescent="0.25">
      <c r="A3342" s="27" t="s">
        <v>1231</v>
      </c>
      <c r="B3342" s="27" t="s">
        <v>163</v>
      </c>
    </row>
    <row r="3343" spans="1:2" ht="15.75" customHeight="1" x14ac:dyDescent="0.25">
      <c r="A3343" s="27" t="s">
        <v>1231</v>
      </c>
      <c r="B3343" s="27" t="s">
        <v>163</v>
      </c>
    </row>
    <row r="3344" spans="1:2" ht="15.75" customHeight="1" x14ac:dyDescent="0.25">
      <c r="A3344" s="27" t="s">
        <v>1231</v>
      </c>
      <c r="B3344" s="27" t="s">
        <v>163</v>
      </c>
    </row>
    <row r="3345" spans="1:2" ht="15.75" customHeight="1" x14ac:dyDescent="0.25">
      <c r="A3345" s="27" t="s">
        <v>1231</v>
      </c>
      <c r="B3345" s="27" t="s">
        <v>163</v>
      </c>
    </row>
    <row r="3346" spans="1:2" ht="15.75" customHeight="1" x14ac:dyDescent="0.25">
      <c r="A3346" s="27" t="s">
        <v>1231</v>
      </c>
      <c r="B3346" s="27" t="s">
        <v>163</v>
      </c>
    </row>
    <row r="3347" spans="1:2" ht="15.75" customHeight="1" x14ac:dyDescent="0.25">
      <c r="A3347" s="27" t="s">
        <v>1231</v>
      </c>
      <c r="B3347" s="27" t="s">
        <v>163</v>
      </c>
    </row>
    <row r="3348" spans="1:2" ht="15.75" customHeight="1" x14ac:dyDescent="0.25">
      <c r="A3348" s="27" t="s">
        <v>1231</v>
      </c>
      <c r="B3348" s="27" t="s">
        <v>163</v>
      </c>
    </row>
    <row r="3349" spans="1:2" ht="15.75" customHeight="1" x14ac:dyDescent="0.25">
      <c r="A3349" s="27" t="s">
        <v>1231</v>
      </c>
      <c r="B3349" s="27" t="s">
        <v>163</v>
      </c>
    </row>
    <row r="3350" spans="1:2" ht="15.75" customHeight="1" x14ac:dyDescent="0.25">
      <c r="A3350" s="27" t="s">
        <v>1231</v>
      </c>
      <c r="B3350" s="27" t="s">
        <v>163</v>
      </c>
    </row>
    <row r="3351" spans="1:2" ht="15.75" customHeight="1" x14ac:dyDescent="0.25">
      <c r="A3351" s="27" t="s">
        <v>1231</v>
      </c>
      <c r="B3351" s="27" t="s">
        <v>163</v>
      </c>
    </row>
    <row r="3352" spans="1:2" ht="15.75" customHeight="1" x14ac:dyDescent="0.25">
      <c r="A3352" s="27" t="s">
        <v>1231</v>
      </c>
      <c r="B3352" s="27" t="s">
        <v>163</v>
      </c>
    </row>
    <row r="3353" spans="1:2" ht="15.75" customHeight="1" x14ac:dyDescent="0.25">
      <c r="A3353" s="27" t="s">
        <v>1231</v>
      </c>
      <c r="B3353" s="27" t="s">
        <v>163</v>
      </c>
    </row>
    <row r="3354" spans="1:2" ht="15.75" customHeight="1" x14ac:dyDescent="0.25">
      <c r="A3354" s="27" t="s">
        <v>1231</v>
      </c>
      <c r="B3354" s="27" t="s">
        <v>163</v>
      </c>
    </row>
    <row r="3355" spans="1:2" ht="15.75" customHeight="1" x14ac:dyDescent="0.25">
      <c r="A3355" s="27" t="s">
        <v>1231</v>
      </c>
      <c r="B3355" s="27" t="s">
        <v>163</v>
      </c>
    </row>
    <row r="3356" spans="1:2" ht="15.75" customHeight="1" x14ac:dyDescent="0.25">
      <c r="A3356" s="27" t="s">
        <v>1231</v>
      </c>
      <c r="B3356" s="27" t="s">
        <v>163</v>
      </c>
    </row>
    <row r="3357" spans="1:2" ht="15.75" customHeight="1" x14ac:dyDescent="0.25">
      <c r="A3357" s="27" t="s">
        <v>1231</v>
      </c>
      <c r="B3357" s="27" t="s">
        <v>163</v>
      </c>
    </row>
    <row r="3358" spans="1:2" ht="15.75" customHeight="1" x14ac:dyDescent="0.25">
      <c r="A3358" s="27" t="s">
        <v>1231</v>
      </c>
      <c r="B3358" s="27" t="s">
        <v>163</v>
      </c>
    </row>
    <row r="3359" spans="1:2" ht="15.75" customHeight="1" x14ac:dyDescent="0.25">
      <c r="A3359" s="27" t="s">
        <v>1231</v>
      </c>
      <c r="B3359" s="27" t="s">
        <v>163</v>
      </c>
    </row>
    <row r="3360" spans="1:2" ht="15.75" customHeight="1" x14ac:dyDescent="0.25">
      <c r="A3360" s="27" t="s">
        <v>1231</v>
      </c>
      <c r="B3360" s="27" t="s">
        <v>163</v>
      </c>
    </row>
    <row r="3361" spans="1:2" ht="15.75" customHeight="1" x14ac:dyDescent="0.25">
      <c r="A3361" s="27" t="s">
        <v>1231</v>
      </c>
      <c r="B3361" s="27" t="s">
        <v>163</v>
      </c>
    </row>
    <row r="3362" spans="1:2" ht="15.75" customHeight="1" x14ac:dyDescent="0.25">
      <c r="A3362" s="27" t="s">
        <v>1231</v>
      </c>
      <c r="B3362" s="27" t="s">
        <v>163</v>
      </c>
    </row>
    <row r="3363" spans="1:2" ht="15.75" customHeight="1" x14ac:dyDescent="0.25">
      <c r="A3363" s="27" t="s">
        <v>1231</v>
      </c>
      <c r="B3363" s="27" t="s">
        <v>163</v>
      </c>
    </row>
    <row r="3364" spans="1:2" ht="15.75" customHeight="1" x14ac:dyDescent="0.25">
      <c r="A3364" s="27" t="s">
        <v>1231</v>
      </c>
      <c r="B3364" s="27" t="s">
        <v>163</v>
      </c>
    </row>
    <row r="3365" spans="1:2" ht="15.75" customHeight="1" x14ac:dyDescent="0.25">
      <c r="A3365" s="27" t="s">
        <v>1231</v>
      </c>
      <c r="B3365" s="27" t="s">
        <v>163</v>
      </c>
    </row>
    <row r="3366" spans="1:2" ht="15.75" customHeight="1" x14ac:dyDescent="0.25">
      <c r="A3366" s="27" t="s">
        <v>1231</v>
      </c>
      <c r="B3366" s="27" t="s">
        <v>163</v>
      </c>
    </row>
    <row r="3367" spans="1:2" ht="15.75" customHeight="1" x14ac:dyDescent="0.25">
      <c r="A3367" s="27" t="s">
        <v>1231</v>
      </c>
      <c r="B3367" s="27" t="s">
        <v>163</v>
      </c>
    </row>
    <row r="3368" spans="1:2" ht="15.75" customHeight="1" x14ac:dyDescent="0.25">
      <c r="A3368" s="27" t="s">
        <v>1231</v>
      </c>
      <c r="B3368" s="27" t="s">
        <v>163</v>
      </c>
    </row>
    <row r="3369" spans="1:2" ht="15.75" customHeight="1" x14ac:dyDescent="0.25">
      <c r="A3369" s="27" t="s">
        <v>1231</v>
      </c>
      <c r="B3369" s="27" t="s">
        <v>163</v>
      </c>
    </row>
    <row r="3370" spans="1:2" ht="15.75" customHeight="1" x14ac:dyDescent="0.25">
      <c r="A3370" s="27" t="s">
        <v>1231</v>
      </c>
      <c r="B3370" s="27" t="s">
        <v>163</v>
      </c>
    </row>
    <row r="3371" spans="1:2" ht="15.75" customHeight="1" x14ac:dyDescent="0.25">
      <c r="A3371" s="27" t="s">
        <v>1231</v>
      </c>
      <c r="B3371" s="27" t="s">
        <v>163</v>
      </c>
    </row>
    <row r="3372" spans="1:2" ht="15.75" customHeight="1" x14ac:dyDescent="0.25">
      <c r="A3372" s="27" t="s">
        <v>1231</v>
      </c>
      <c r="B3372" s="27" t="s">
        <v>163</v>
      </c>
    </row>
    <row r="3373" spans="1:2" ht="15.75" customHeight="1" x14ac:dyDescent="0.25">
      <c r="A3373" s="27" t="s">
        <v>1231</v>
      </c>
      <c r="B3373" s="27" t="s">
        <v>163</v>
      </c>
    </row>
    <row r="3374" spans="1:2" ht="15.75" customHeight="1" x14ac:dyDescent="0.25">
      <c r="A3374" s="27" t="s">
        <v>1231</v>
      </c>
      <c r="B3374" s="27" t="s">
        <v>163</v>
      </c>
    </row>
    <row r="3375" spans="1:2" ht="15.75" customHeight="1" x14ac:dyDescent="0.25">
      <c r="A3375" s="27" t="s">
        <v>1231</v>
      </c>
      <c r="B3375" s="27" t="s">
        <v>163</v>
      </c>
    </row>
    <row r="3376" spans="1:2" ht="15.75" customHeight="1" x14ac:dyDescent="0.25">
      <c r="A3376" s="27" t="s">
        <v>1231</v>
      </c>
      <c r="B3376" s="27" t="s">
        <v>163</v>
      </c>
    </row>
    <row r="3377" spans="1:2" ht="15.75" customHeight="1" x14ac:dyDescent="0.25">
      <c r="A3377" s="27" t="s">
        <v>1231</v>
      </c>
      <c r="B3377" s="27" t="s">
        <v>163</v>
      </c>
    </row>
    <row r="3378" spans="1:2" ht="15.75" customHeight="1" x14ac:dyDescent="0.25">
      <c r="A3378" s="27" t="s">
        <v>1231</v>
      </c>
      <c r="B3378" s="27" t="s">
        <v>163</v>
      </c>
    </row>
    <row r="3379" spans="1:2" ht="15.75" customHeight="1" x14ac:dyDescent="0.25">
      <c r="A3379" s="27" t="s">
        <v>1231</v>
      </c>
      <c r="B3379" s="27" t="s">
        <v>163</v>
      </c>
    </row>
    <row r="3380" spans="1:2" ht="15.75" customHeight="1" x14ac:dyDescent="0.25">
      <c r="A3380" s="27" t="s">
        <v>1231</v>
      </c>
      <c r="B3380" s="27" t="s">
        <v>163</v>
      </c>
    </row>
    <row r="3381" spans="1:2" ht="15.75" customHeight="1" x14ac:dyDescent="0.25">
      <c r="A3381" s="27" t="s">
        <v>1231</v>
      </c>
      <c r="B3381" s="27" t="s">
        <v>163</v>
      </c>
    </row>
    <row r="3382" spans="1:2" ht="15.75" customHeight="1" x14ac:dyDescent="0.25">
      <c r="A3382" s="27" t="s">
        <v>1231</v>
      </c>
      <c r="B3382" s="27" t="s">
        <v>163</v>
      </c>
    </row>
    <row r="3383" spans="1:2" ht="15.75" customHeight="1" x14ac:dyDescent="0.25">
      <c r="A3383" s="27" t="s">
        <v>1231</v>
      </c>
      <c r="B3383" s="27" t="s">
        <v>163</v>
      </c>
    </row>
    <row r="3384" spans="1:2" ht="15.75" customHeight="1" x14ac:dyDescent="0.25">
      <c r="A3384" s="27" t="s">
        <v>1231</v>
      </c>
      <c r="B3384" s="27" t="s">
        <v>163</v>
      </c>
    </row>
    <row r="3385" spans="1:2" ht="15.75" customHeight="1" x14ac:dyDescent="0.25">
      <c r="A3385" s="27" t="s">
        <v>1231</v>
      </c>
      <c r="B3385" s="27" t="s">
        <v>163</v>
      </c>
    </row>
    <row r="3386" spans="1:2" ht="15.75" customHeight="1" x14ac:dyDescent="0.25">
      <c r="A3386" s="27" t="s">
        <v>1231</v>
      </c>
      <c r="B3386" s="27" t="s">
        <v>163</v>
      </c>
    </row>
    <row r="3387" spans="1:2" ht="15.75" customHeight="1" x14ac:dyDescent="0.25">
      <c r="A3387" s="27" t="s">
        <v>1231</v>
      </c>
      <c r="B3387" s="27" t="s">
        <v>163</v>
      </c>
    </row>
    <row r="3388" spans="1:2" ht="15.75" customHeight="1" x14ac:dyDescent="0.25">
      <c r="A3388" s="27" t="s">
        <v>1231</v>
      </c>
      <c r="B3388" s="27" t="s">
        <v>163</v>
      </c>
    </row>
    <row r="3389" spans="1:2" ht="15.75" customHeight="1" x14ac:dyDescent="0.25">
      <c r="A3389" s="27" t="s">
        <v>1231</v>
      </c>
      <c r="B3389" s="27" t="s">
        <v>163</v>
      </c>
    </row>
    <row r="3390" spans="1:2" ht="15.75" customHeight="1" x14ac:dyDescent="0.25">
      <c r="A3390" s="27" t="s">
        <v>1231</v>
      </c>
      <c r="B3390" s="27" t="s">
        <v>163</v>
      </c>
    </row>
    <row r="3391" spans="1:2" ht="15.75" customHeight="1" x14ac:dyDescent="0.25">
      <c r="A3391" s="27" t="s">
        <v>1231</v>
      </c>
      <c r="B3391" s="27" t="s">
        <v>163</v>
      </c>
    </row>
    <row r="3392" spans="1:2" ht="15.75" customHeight="1" x14ac:dyDescent="0.25">
      <c r="A3392" s="27" t="s">
        <v>1231</v>
      </c>
      <c r="B3392" s="27" t="s">
        <v>163</v>
      </c>
    </row>
    <row r="3393" spans="1:2" ht="15.75" customHeight="1" x14ac:dyDescent="0.25">
      <c r="A3393" s="27" t="s">
        <v>1231</v>
      </c>
      <c r="B3393" s="27" t="s">
        <v>163</v>
      </c>
    </row>
    <row r="3394" spans="1:2" ht="15.75" customHeight="1" x14ac:dyDescent="0.25">
      <c r="A3394" s="27" t="s">
        <v>1231</v>
      </c>
      <c r="B3394" s="27" t="s">
        <v>163</v>
      </c>
    </row>
    <row r="3395" spans="1:2" ht="15.75" customHeight="1" x14ac:dyDescent="0.25">
      <c r="A3395" s="27" t="s">
        <v>1231</v>
      </c>
      <c r="B3395" s="27" t="s">
        <v>163</v>
      </c>
    </row>
    <row r="3396" spans="1:2" ht="15.75" customHeight="1" x14ac:dyDescent="0.25">
      <c r="A3396" s="27" t="s">
        <v>1231</v>
      </c>
      <c r="B3396" s="27" t="s">
        <v>163</v>
      </c>
    </row>
    <row r="3397" spans="1:2" ht="15.75" customHeight="1" x14ac:dyDescent="0.25">
      <c r="A3397" s="27" t="s">
        <v>1231</v>
      </c>
      <c r="B3397" s="27" t="s">
        <v>163</v>
      </c>
    </row>
    <row r="3398" spans="1:2" ht="15.75" customHeight="1" x14ac:dyDescent="0.25">
      <c r="A3398" s="27" t="s">
        <v>1231</v>
      </c>
      <c r="B3398" s="27" t="s">
        <v>163</v>
      </c>
    </row>
    <row r="3399" spans="1:2" ht="15.75" customHeight="1" x14ac:dyDescent="0.25">
      <c r="A3399" s="27" t="s">
        <v>1231</v>
      </c>
      <c r="B3399" s="27" t="s">
        <v>163</v>
      </c>
    </row>
    <row r="3400" spans="1:2" ht="15.75" customHeight="1" x14ac:dyDescent="0.25">
      <c r="A3400" s="27" t="s">
        <v>1231</v>
      </c>
      <c r="B3400" s="27" t="s">
        <v>163</v>
      </c>
    </row>
    <row r="3401" spans="1:2" ht="15.75" customHeight="1" x14ac:dyDescent="0.25">
      <c r="A3401" s="27" t="s">
        <v>1231</v>
      </c>
      <c r="B3401" s="27" t="s">
        <v>163</v>
      </c>
    </row>
    <row r="3402" spans="1:2" ht="15.75" customHeight="1" x14ac:dyDescent="0.25">
      <c r="A3402" s="27" t="s">
        <v>1231</v>
      </c>
      <c r="B3402" s="27" t="s">
        <v>163</v>
      </c>
    </row>
    <row r="3403" spans="1:2" ht="15.75" customHeight="1" x14ac:dyDescent="0.25">
      <c r="A3403" s="27" t="s">
        <v>1231</v>
      </c>
      <c r="B3403" s="27" t="s">
        <v>163</v>
      </c>
    </row>
    <row r="3404" spans="1:2" ht="15.75" customHeight="1" x14ac:dyDescent="0.25">
      <c r="A3404" s="27" t="s">
        <v>1231</v>
      </c>
      <c r="B3404" s="27" t="s">
        <v>163</v>
      </c>
    </row>
    <row r="3405" spans="1:2" ht="15.75" customHeight="1" x14ac:dyDescent="0.25">
      <c r="A3405" s="27" t="s">
        <v>1231</v>
      </c>
      <c r="B3405" s="27" t="s">
        <v>163</v>
      </c>
    </row>
    <row r="3406" spans="1:2" ht="15.75" customHeight="1" x14ac:dyDescent="0.25">
      <c r="A3406" s="27" t="s">
        <v>1231</v>
      </c>
      <c r="B3406" s="27" t="s">
        <v>163</v>
      </c>
    </row>
    <row r="3407" spans="1:2" ht="15.75" customHeight="1" x14ac:dyDescent="0.25">
      <c r="A3407" s="27" t="s">
        <v>1231</v>
      </c>
      <c r="B3407" s="27" t="s">
        <v>163</v>
      </c>
    </row>
    <row r="3408" spans="1:2" ht="15.75" customHeight="1" x14ac:dyDescent="0.25">
      <c r="A3408" s="27" t="s">
        <v>1231</v>
      </c>
      <c r="B3408" s="27" t="s">
        <v>163</v>
      </c>
    </row>
    <row r="3409" spans="1:2" ht="15.75" customHeight="1" x14ac:dyDescent="0.25">
      <c r="A3409" s="27" t="s">
        <v>1231</v>
      </c>
      <c r="B3409" s="27" t="s">
        <v>163</v>
      </c>
    </row>
    <row r="3410" spans="1:2" ht="15.75" customHeight="1" x14ac:dyDescent="0.25">
      <c r="A3410" s="27" t="s">
        <v>1231</v>
      </c>
      <c r="B3410" s="27" t="s">
        <v>163</v>
      </c>
    </row>
    <row r="3411" spans="1:2" ht="15.75" customHeight="1" x14ac:dyDescent="0.25">
      <c r="A3411" s="27" t="s">
        <v>1231</v>
      </c>
      <c r="B3411" s="27" t="s">
        <v>163</v>
      </c>
    </row>
    <row r="3412" spans="1:2" ht="15.75" customHeight="1" x14ac:dyDescent="0.25">
      <c r="A3412" s="27" t="s">
        <v>1231</v>
      </c>
      <c r="B3412" s="27" t="s">
        <v>163</v>
      </c>
    </row>
    <row r="3413" spans="1:2" ht="15.75" customHeight="1" x14ac:dyDescent="0.25">
      <c r="A3413" s="27" t="s">
        <v>1231</v>
      </c>
      <c r="B3413" s="27" t="s">
        <v>163</v>
      </c>
    </row>
    <row r="3414" spans="1:2" ht="15.75" customHeight="1" x14ac:dyDescent="0.25">
      <c r="A3414" s="27" t="s">
        <v>1231</v>
      </c>
      <c r="B3414" s="27" t="s">
        <v>163</v>
      </c>
    </row>
    <row r="3415" spans="1:2" ht="15.75" customHeight="1" x14ac:dyDescent="0.25">
      <c r="A3415" s="27" t="s">
        <v>1231</v>
      </c>
      <c r="B3415" s="27" t="s">
        <v>163</v>
      </c>
    </row>
    <row r="3416" spans="1:2" ht="15.75" customHeight="1" x14ac:dyDescent="0.25">
      <c r="A3416" s="27" t="s">
        <v>1231</v>
      </c>
      <c r="B3416" s="27" t="s">
        <v>163</v>
      </c>
    </row>
    <row r="3417" spans="1:2" ht="15.75" customHeight="1" x14ac:dyDescent="0.25">
      <c r="A3417" s="27" t="s">
        <v>1231</v>
      </c>
      <c r="B3417" s="27" t="s">
        <v>163</v>
      </c>
    </row>
    <row r="3418" spans="1:2" ht="15.75" customHeight="1" x14ac:dyDescent="0.25">
      <c r="A3418" s="27" t="s">
        <v>1231</v>
      </c>
      <c r="B3418" s="27" t="s">
        <v>163</v>
      </c>
    </row>
    <row r="3419" spans="1:2" ht="15.75" customHeight="1" x14ac:dyDescent="0.25">
      <c r="A3419" s="27" t="s">
        <v>1231</v>
      </c>
      <c r="B3419" s="27" t="s">
        <v>163</v>
      </c>
    </row>
    <row r="3420" spans="1:2" ht="15.75" customHeight="1" x14ac:dyDescent="0.25">
      <c r="A3420" s="27" t="s">
        <v>1231</v>
      </c>
      <c r="B3420" s="27" t="s">
        <v>163</v>
      </c>
    </row>
    <row r="3421" spans="1:2" ht="15.75" customHeight="1" x14ac:dyDescent="0.25">
      <c r="A3421" s="27" t="s">
        <v>1231</v>
      </c>
      <c r="B3421" s="27" t="s">
        <v>163</v>
      </c>
    </row>
    <row r="3422" spans="1:2" ht="15.75" customHeight="1" x14ac:dyDescent="0.25">
      <c r="A3422" s="27" t="s">
        <v>1231</v>
      </c>
      <c r="B3422" s="27" t="s">
        <v>163</v>
      </c>
    </row>
    <row r="3423" spans="1:2" ht="15.75" customHeight="1" x14ac:dyDescent="0.25">
      <c r="A3423" s="27" t="s">
        <v>1231</v>
      </c>
      <c r="B3423" s="27" t="s">
        <v>163</v>
      </c>
    </row>
    <row r="3424" spans="1:2" ht="15.75" customHeight="1" x14ac:dyDescent="0.25">
      <c r="A3424" s="27" t="s">
        <v>1231</v>
      </c>
      <c r="B3424" s="27" t="s">
        <v>163</v>
      </c>
    </row>
    <row r="3425" spans="1:2" ht="15.75" customHeight="1" x14ac:dyDescent="0.25">
      <c r="A3425" s="27" t="s">
        <v>1231</v>
      </c>
      <c r="B3425" s="27" t="s">
        <v>163</v>
      </c>
    </row>
    <row r="3426" spans="1:2" ht="15.75" customHeight="1" x14ac:dyDescent="0.25">
      <c r="A3426" s="27" t="s">
        <v>1231</v>
      </c>
      <c r="B3426" s="27" t="s">
        <v>163</v>
      </c>
    </row>
    <row r="3427" spans="1:2" ht="15.75" customHeight="1" x14ac:dyDescent="0.25">
      <c r="A3427" s="27" t="s">
        <v>1231</v>
      </c>
      <c r="B3427" s="27" t="s">
        <v>163</v>
      </c>
    </row>
    <row r="3428" spans="1:2" ht="15.75" customHeight="1" x14ac:dyDescent="0.25">
      <c r="A3428" s="27" t="s">
        <v>1231</v>
      </c>
      <c r="B3428" s="27" t="s">
        <v>163</v>
      </c>
    </row>
    <row r="3429" spans="1:2" ht="15.75" customHeight="1" x14ac:dyDescent="0.25">
      <c r="A3429" s="27" t="s">
        <v>1231</v>
      </c>
      <c r="B3429" s="27" t="s">
        <v>163</v>
      </c>
    </row>
    <row r="3430" spans="1:2" ht="15.75" customHeight="1" x14ac:dyDescent="0.25">
      <c r="A3430" s="27" t="s">
        <v>1231</v>
      </c>
      <c r="B3430" s="27" t="s">
        <v>163</v>
      </c>
    </row>
    <row r="3431" spans="1:2" ht="15.75" customHeight="1" x14ac:dyDescent="0.25">
      <c r="A3431" s="27" t="s">
        <v>1231</v>
      </c>
      <c r="B3431" s="27" t="s">
        <v>163</v>
      </c>
    </row>
    <row r="3432" spans="1:2" ht="15.75" customHeight="1" x14ac:dyDescent="0.25">
      <c r="A3432" s="27" t="s">
        <v>1231</v>
      </c>
      <c r="B3432" s="27" t="s">
        <v>163</v>
      </c>
    </row>
    <row r="3433" spans="1:2" ht="15.75" customHeight="1" x14ac:dyDescent="0.25">
      <c r="A3433" s="27" t="s">
        <v>1231</v>
      </c>
      <c r="B3433" s="27" t="s">
        <v>163</v>
      </c>
    </row>
    <row r="3434" spans="1:2" ht="15.75" customHeight="1" x14ac:dyDescent="0.25">
      <c r="A3434" s="27" t="s">
        <v>1231</v>
      </c>
      <c r="B3434" s="27" t="s">
        <v>163</v>
      </c>
    </row>
    <row r="3435" spans="1:2" ht="15.75" customHeight="1" x14ac:dyDescent="0.25">
      <c r="A3435" s="27" t="s">
        <v>1231</v>
      </c>
      <c r="B3435" s="27" t="s">
        <v>163</v>
      </c>
    </row>
    <row r="3436" spans="1:2" ht="15.75" customHeight="1" x14ac:dyDescent="0.25">
      <c r="A3436" s="27" t="s">
        <v>1231</v>
      </c>
      <c r="B3436" s="27" t="s">
        <v>163</v>
      </c>
    </row>
    <row r="3437" spans="1:2" ht="15.75" customHeight="1" x14ac:dyDescent="0.25">
      <c r="A3437" s="27" t="s">
        <v>1231</v>
      </c>
      <c r="B3437" s="27" t="s">
        <v>163</v>
      </c>
    </row>
    <row r="3438" spans="1:2" ht="15.75" customHeight="1" x14ac:dyDescent="0.25">
      <c r="A3438" s="27" t="s">
        <v>1231</v>
      </c>
      <c r="B3438" s="27" t="s">
        <v>163</v>
      </c>
    </row>
    <row r="3439" spans="1:2" ht="15.75" customHeight="1" x14ac:dyDescent="0.25">
      <c r="A3439" s="27" t="s">
        <v>1231</v>
      </c>
      <c r="B3439" s="27" t="s">
        <v>163</v>
      </c>
    </row>
    <row r="3440" spans="1:2" ht="15.75" customHeight="1" x14ac:dyDescent="0.25">
      <c r="A3440" s="27" t="s">
        <v>1231</v>
      </c>
      <c r="B3440" s="27" t="s">
        <v>163</v>
      </c>
    </row>
    <row r="3441" spans="1:2" ht="15.75" customHeight="1" x14ac:dyDescent="0.25">
      <c r="A3441" s="27" t="s">
        <v>1231</v>
      </c>
      <c r="B3441" s="27" t="s">
        <v>163</v>
      </c>
    </row>
    <row r="3442" spans="1:2" ht="15.75" customHeight="1" x14ac:dyDescent="0.25">
      <c r="A3442" s="27" t="s">
        <v>1231</v>
      </c>
      <c r="B3442" s="27" t="s">
        <v>163</v>
      </c>
    </row>
    <row r="3443" spans="1:2" ht="15.75" customHeight="1" x14ac:dyDescent="0.25">
      <c r="A3443" s="27" t="s">
        <v>1231</v>
      </c>
      <c r="B3443" s="27" t="s">
        <v>163</v>
      </c>
    </row>
    <row r="3444" spans="1:2" ht="15.75" customHeight="1" x14ac:dyDescent="0.25">
      <c r="A3444" s="27" t="s">
        <v>1231</v>
      </c>
      <c r="B3444" s="27" t="s">
        <v>163</v>
      </c>
    </row>
    <row r="3445" spans="1:2" ht="15.75" customHeight="1" x14ac:dyDescent="0.25">
      <c r="A3445" s="27" t="s">
        <v>1231</v>
      </c>
      <c r="B3445" s="27" t="s">
        <v>163</v>
      </c>
    </row>
    <row r="3446" spans="1:2" ht="15.75" customHeight="1" x14ac:dyDescent="0.25">
      <c r="A3446" s="27" t="s">
        <v>1231</v>
      </c>
      <c r="B3446" s="27" t="s">
        <v>163</v>
      </c>
    </row>
    <row r="3447" spans="1:2" ht="15.75" customHeight="1" x14ac:dyDescent="0.25">
      <c r="A3447" s="27" t="s">
        <v>1231</v>
      </c>
      <c r="B3447" s="27" t="s">
        <v>163</v>
      </c>
    </row>
    <row r="3448" spans="1:2" ht="15.75" customHeight="1" x14ac:dyDescent="0.25">
      <c r="A3448" s="27" t="s">
        <v>1231</v>
      </c>
      <c r="B3448" s="27" t="s">
        <v>163</v>
      </c>
    </row>
    <row r="3449" spans="1:2" ht="15.75" customHeight="1" x14ac:dyDescent="0.25">
      <c r="A3449" s="27" t="s">
        <v>1231</v>
      </c>
      <c r="B3449" s="27" t="s">
        <v>163</v>
      </c>
    </row>
    <row r="3450" spans="1:2" ht="15.75" customHeight="1" x14ac:dyDescent="0.25">
      <c r="A3450" s="27" t="s">
        <v>1231</v>
      </c>
      <c r="B3450" s="27" t="s">
        <v>163</v>
      </c>
    </row>
    <row r="3451" spans="1:2" ht="15.75" customHeight="1" x14ac:dyDescent="0.25">
      <c r="A3451" s="27" t="s">
        <v>1231</v>
      </c>
      <c r="B3451" s="27" t="s">
        <v>163</v>
      </c>
    </row>
    <row r="3452" spans="1:2" ht="15.75" customHeight="1" x14ac:dyDescent="0.25">
      <c r="A3452" s="27" t="s">
        <v>1231</v>
      </c>
      <c r="B3452" s="27" t="s">
        <v>163</v>
      </c>
    </row>
    <row r="3453" spans="1:2" ht="15.75" customHeight="1" x14ac:dyDescent="0.25">
      <c r="A3453" s="27" t="s">
        <v>1231</v>
      </c>
      <c r="B3453" s="27" t="s">
        <v>163</v>
      </c>
    </row>
    <row r="3454" spans="1:2" ht="15.75" customHeight="1" x14ac:dyDescent="0.25">
      <c r="A3454" s="27" t="s">
        <v>1231</v>
      </c>
      <c r="B3454" s="27" t="s">
        <v>163</v>
      </c>
    </row>
    <row r="3455" spans="1:2" ht="15.75" customHeight="1" x14ac:dyDescent="0.25">
      <c r="A3455" s="27" t="s">
        <v>1231</v>
      </c>
      <c r="B3455" s="27" t="s">
        <v>163</v>
      </c>
    </row>
    <row r="3456" spans="1:2" ht="15.75" customHeight="1" x14ac:dyDescent="0.25">
      <c r="A3456" s="27" t="s">
        <v>1231</v>
      </c>
      <c r="B3456" s="27" t="s">
        <v>163</v>
      </c>
    </row>
    <row r="3457" spans="1:2" ht="15.75" customHeight="1" x14ac:dyDescent="0.25">
      <c r="A3457" s="27" t="s">
        <v>1231</v>
      </c>
      <c r="B3457" s="27" t="s">
        <v>163</v>
      </c>
    </row>
    <row r="3458" spans="1:2" ht="15.75" customHeight="1" x14ac:dyDescent="0.25">
      <c r="A3458" s="27" t="s">
        <v>1231</v>
      </c>
      <c r="B3458" s="27" t="s">
        <v>163</v>
      </c>
    </row>
    <row r="3459" spans="1:2" ht="15.75" customHeight="1" x14ac:dyDescent="0.25">
      <c r="A3459" s="27" t="s">
        <v>1231</v>
      </c>
      <c r="B3459" s="27" t="s">
        <v>163</v>
      </c>
    </row>
    <row r="3460" spans="1:2" ht="15.75" customHeight="1" x14ac:dyDescent="0.25">
      <c r="A3460" s="27" t="s">
        <v>1231</v>
      </c>
      <c r="B3460" s="27" t="s">
        <v>163</v>
      </c>
    </row>
    <row r="3461" spans="1:2" ht="15.75" customHeight="1" x14ac:dyDescent="0.25">
      <c r="A3461" s="27" t="s">
        <v>1231</v>
      </c>
      <c r="B3461" s="27" t="s">
        <v>163</v>
      </c>
    </row>
    <row r="3462" spans="1:2" ht="15.75" customHeight="1" x14ac:dyDescent="0.25">
      <c r="A3462" s="27" t="s">
        <v>1231</v>
      </c>
      <c r="B3462" s="27" t="s">
        <v>163</v>
      </c>
    </row>
    <row r="3463" spans="1:2" ht="15.75" customHeight="1" x14ac:dyDescent="0.25">
      <c r="A3463" s="27" t="s">
        <v>1231</v>
      </c>
      <c r="B3463" s="27" t="s">
        <v>163</v>
      </c>
    </row>
    <row r="3464" spans="1:2" ht="15.75" customHeight="1" x14ac:dyDescent="0.25">
      <c r="A3464" s="27" t="s">
        <v>1231</v>
      </c>
      <c r="B3464" s="27" t="s">
        <v>163</v>
      </c>
    </row>
    <row r="3465" spans="1:2" ht="15.75" customHeight="1" x14ac:dyDescent="0.25">
      <c r="A3465" s="27" t="s">
        <v>1231</v>
      </c>
      <c r="B3465" s="27" t="s">
        <v>163</v>
      </c>
    </row>
    <row r="3466" spans="1:2" ht="15.75" customHeight="1" x14ac:dyDescent="0.25">
      <c r="A3466" s="27" t="s">
        <v>1231</v>
      </c>
      <c r="B3466" s="27" t="s">
        <v>163</v>
      </c>
    </row>
    <row r="3467" spans="1:2" ht="15.75" customHeight="1" x14ac:dyDescent="0.25">
      <c r="A3467" s="27" t="s">
        <v>1231</v>
      </c>
      <c r="B3467" s="27" t="s">
        <v>163</v>
      </c>
    </row>
    <row r="3468" spans="1:2" ht="15.75" customHeight="1" x14ac:dyDescent="0.25">
      <c r="A3468" s="27" t="s">
        <v>1231</v>
      </c>
      <c r="B3468" s="27" t="s">
        <v>163</v>
      </c>
    </row>
    <row r="3469" spans="1:2" ht="15.75" customHeight="1" x14ac:dyDescent="0.25">
      <c r="A3469" s="27" t="s">
        <v>1231</v>
      </c>
      <c r="B3469" s="27" t="s">
        <v>163</v>
      </c>
    </row>
    <row r="3470" spans="1:2" ht="15.75" customHeight="1" x14ac:dyDescent="0.25">
      <c r="A3470" s="27" t="s">
        <v>1231</v>
      </c>
      <c r="B3470" s="27" t="s">
        <v>163</v>
      </c>
    </row>
    <row r="3471" spans="1:2" ht="15.75" customHeight="1" x14ac:dyDescent="0.25">
      <c r="A3471" s="27" t="s">
        <v>1231</v>
      </c>
      <c r="B3471" s="27" t="s">
        <v>163</v>
      </c>
    </row>
    <row r="3472" spans="1:2" ht="15.75" customHeight="1" x14ac:dyDescent="0.25">
      <c r="A3472" s="27" t="s">
        <v>1231</v>
      </c>
      <c r="B3472" s="27" t="s">
        <v>163</v>
      </c>
    </row>
    <row r="3473" spans="1:2" ht="15.75" customHeight="1" x14ac:dyDescent="0.25">
      <c r="A3473" s="27" t="s">
        <v>1231</v>
      </c>
      <c r="B3473" s="27" t="s">
        <v>163</v>
      </c>
    </row>
    <row r="3474" spans="1:2" ht="15.75" customHeight="1" x14ac:dyDescent="0.25">
      <c r="A3474" s="27" t="s">
        <v>1231</v>
      </c>
      <c r="B3474" s="27" t="s">
        <v>163</v>
      </c>
    </row>
    <row r="3475" spans="1:2" ht="15.75" customHeight="1" x14ac:dyDescent="0.25">
      <c r="A3475" s="27" t="s">
        <v>1231</v>
      </c>
      <c r="B3475" s="27" t="s">
        <v>163</v>
      </c>
    </row>
    <row r="3476" spans="1:2" ht="15.75" customHeight="1" x14ac:dyDescent="0.25">
      <c r="A3476" s="27" t="s">
        <v>1231</v>
      </c>
      <c r="B3476" s="27" t="s">
        <v>163</v>
      </c>
    </row>
    <row r="3477" spans="1:2" ht="15.75" customHeight="1" x14ac:dyDescent="0.25">
      <c r="A3477" s="27" t="s">
        <v>1231</v>
      </c>
      <c r="B3477" s="27" t="s">
        <v>163</v>
      </c>
    </row>
    <row r="3478" spans="1:2" ht="15.75" customHeight="1" x14ac:dyDescent="0.25">
      <c r="A3478" s="27" t="s">
        <v>1231</v>
      </c>
      <c r="B3478" s="27" t="s">
        <v>163</v>
      </c>
    </row>
    <row r="3479" spans="1:2" ht="15.75" customHeight="1" x14ac:dyDescent="0.25">
      <c r="A3479" s="27" t="s">
        <v>1231</v>
      </c>
      <c r="B3479" s="27" t="s">
        <v>163</v>
      </c>
    </row>
    <row r="3480" spans="1:2" ht="15.75" customHeight="1" x14ac:dyDescent="0.25">
      <c r="A3480" s="27" t="s">
        <v>1231</v>
      </c>
      <c r="B3480" s="27" t="s">
        <v>163</v>
      </c>
    </row>
    <row r="3481" spans="1:2" ht="15.75" customHeight="1" x14ac:dyDescent="0.25">
      <c r="A3481" s="27" t="s">
        <v>1231</v>
      </c>
      <c r="B3481" s="27" t="s">
        <v>163</v>
      </c>
    </row>
    <row r="3482" spans="1:2" ht="15.75" customHeight="1" x14ac:dyDescent="0.25">
      <c r="A3482" s="27" t="s">
        <v>1231</v>
      </c>
      <c r="B3482" s="27" t="s">
        <v>163</v>
      </c>
    </row>
    <row r="3483" spans="1:2" ht="15.75" customHeight="1" x14ac:dyDescent="0.25">
      <c r="A3483" s="27" t="s">
        <v>1231</v>
      </c>
      <c r="B3483" s="27" t="s">
        <v>163</v>
      </c>
    </row>
    <row r="3484" spans="1:2" ht="15.75" customHeight="1" x14ac:dyDescent="0.25">
      <c r="A3484" s="27" t="s">
        <v>1231</v>
      </c>
      <c r="B3484" s="27" t="s">
        <v>163</v>
      </c>
    </row>
    <row r="3485" spans="1:2" ht="15.75" customHeight="1" x14ac:dyDescent="0.25">
      <c r="A3485" s="27" t="s">
        <v>1231</v>
      </c>
      <c r="B3485" s="27" t="s">
        <v>163</v>
      </c>
    </row>
    <row r="3486" spans="1:2" ht="15.75" customHeight="1" x14ac:dyDescent="0.25">
      <c r="A3486" s="27" t="s">
        <v>1231</v>
      </c>
      <c r="B3486" s="27" t="s">
        <v>163</v>
      </c>
    </row>
    <row r="3487" spans="1:2" ht="15.75" customHeight="1" x14ac:dyDescent="0.25">
      <c r="A3487" s="27" t="s">
        <v>1232</v>
      </c>
      <c r="B3487" s="27" t="s">
        <v>1233</v>
      </c>
    </row>
    <row r="3488" spans="1:2" ht="15.75" customHeight="1" x14ac:dyDescent="0.25">
      <c r="A3488" s="27" t="s">
        <v>1234</v>
      </c>
      <c r="B3488" s="27" t="s">
        <v>1235</v>
      </c>
    </row>
    <row r="3489" spans="1:2" ht="15.75" customHeight="1" x14ac:dyDescent="0.25">
      <c r="A3489" s="27" t="s">
        <v>1234</v>
      </c>
      <c r="B3489" s="27" t="s">
        <v>1235</v>
      </c>
    </row>
    <row r="3490" spans="1:2" ht="15.75" customHeight="1" x14ac:dyDescent="0.25">
      <c r="A3490" s="27" t="s">
        <v>1234</v>
      </c>
      <c r="B3490" s="27" t="s">
        <v>1235</v>
      </c>
    </row>
    <row r="3491" spans="1:2" ht="15.75" customHeight="1" x14ac:dyDescent="0.25">
      <c r="A3491" s="27" t="s">
        <v>1236</v>
      </c>
      <c r="B3491" s="27" t="s">
        <v>1237</v>
      </c>
    </row>
    <row r="3492" spans="1:2" ht="15.75" customHeight="1" x14ac:dyDescent="0.25">
      <c r="A3492" s="27" t="s">
        <v>1238</v>
      </c>
      <c r="B3492" s="27" t="s">
        <v>292</v>
      </c>
    </row>
    <row r="3493" spans="1:2" ht="15.75" customHeight="1" x14ac:dyDescent="0.25">
      <c r="A3493" s="27" t="s">
        <v>1238</v>
      </c>
      <c r="B3493" s="27" t="s">
        <v>292</v>
      </c>
    </row>
    <row r="3494" spans="1:2" ht="15.75" customHeight="1" x14ac:dyDescent="0.25">
      <c r="A3494" s="27" t="s">
        <v>1239</v>
      </c>
      <c r="B3494" s="27" t="s">
        <v>121</v>
      </c>
    </row>
    <row r="3495" spans="1:2" ht="15.75" customHeight="1" x14ac:dyDescent="0.25">
      <c r="A3495" s="27" t="s">
        <v>1239</v>
      </c>
      <c r="B3495" s="27" t="s">
        <v>121</v>
      </c>
    </row>
    <row r="3496" spans="1:2" ht="15.75" customHeight="1" x14ac:dyDescent="0.25">
      <c r="A3496" s="27" t="s">
        <v>1239</v>
      </c>
      <c r="B3496" s="27" t="s">
        <v>121</v>
      </c>
    </row>
    <row r="3497" spans="1:2" ht="15.75" customHeight="1" x14ac:dyDescent="0.25">
      <c r="A3497" s="27" t="s">
        <v>1239</v>
      </c>
      <c r="B3497" s="27" t="s">
        <v>121</v>
      </c>
    </row>
    <row r="3498" spans="1:2" ht="15.75" customHeight="1" x14ac:dyDescent="0.25">
      <c r="A3498" s="27" t="s">
        <v>1239</v>
      </c>
      <c r="B3498" s="27" t="s">
        <v>121</v>
      </c>
    </row>
    <row r="3499" spans="1:2" ht="15.75" customHeight="1" x14ac:dyDescent="0.25">
      <c r="A3499" s="27" t="s">
        <v>1239</v>
      </c>
      <c r="B3499" s="27" t="s">
        <v>121</v>
      </c>
    </row>
    <row r="3500" spans="1:2" ht="15.75" customHeight="1" x14ac:dyDescent="0.25">
      <c r="A3500" s="27" t="s">
        <v>1239</v>
      </c>
      <c r="B3500" s="27" t="s">
        <v>121</v>
      </c>
    </row>
    <row r="3501" spans="1:2" ht="15.75" customHeight="1" x14ac:dyDescent="0.25">
      <c r="A3501" s="27" t="s">
        <v>1239</v>
      </c>
      <c r="B3501" s="27" t="s">
        <v>121</v>
      </c>
    </row>
    <row r="3502" spans="1:2" ht="15.75" customHeight="1" x14ac:dyDescent="0.25">
      <c r="A3502" s="27" t="s">
        <v>1239</v>
      </c>
      <c r="B3502" s="27" t="s">
        <v>121</v>
      </c>
    </row>
    <row r="3503" spans="1:2" ht="15.75" customHeight="1" x14ac:dyDescent="0.25">
      <c r="A3503" s="27" t="s">
        <v>1239</v>
      </c>
      <c r="B3503" s="27" t="s">
        <v>121</v>
      </c>
    </row>
    <row r="3504" spans="1:2" ht="15.75" customHeight="1" x14ac:dyDescent="0.25">
      <c r="A3504" s="27" t="s">
        <v>1239</v>
      </c>
      <c r="B3504" s="27" t="s">
        <v>121</v>
      </c>
    </row>
    <row r="3505" spans="1:2" ht="15.75" customHeight="1" x14ac:dyDescent="0.25">
      <c r="A3505" s="27" t="s">
        <v>1239</v>
      </c>
      <c r="B3505" s="27" t="s">
        <v>121</v>
      </c>
    </row>
    <row r="3506" spans="1:2" ht="15.75" customHeight="1" x14ac:dyDescent="0.25">
      <c r="A3506" s="27" t="s">
        <v>1239</v>
      </c>
      <c r="B3506" s="27" t="s">
        <v>121</v>
      </c>
    </row>
    <row r="3507" spans="1:2" ht="15.75" customHeight="1" x14ac:dyDescent="0.25">
      <c r="A3507" s="27" t="s">
        <v>1239</v>
      </c>
      <c r="B3507" s="27" t="s">
        <v>121</v>
      </c>
    </row>
    <row r="3508" spans="1:2" ht="15.75" customHeight="1" x14ac:dyDescent="0.25">
      <c r="A3508" s="27" t="s">
        <v>1239</v>
      </c>
      <c r="B3508" s="27" t="s">
        <v>121</v>
      </c>
    </row>
    <row r="3509" spans="1:2" ht="15.75" customHeight="1" x14ac:dyDescent="0.25">
      <c r="A3509" s="27" t="s">
        <v>1240</v>
      </c>
      <c r="B3509" s="27" t="s">
        <v>293</v>
      </c>
    </row>
    <row r="3510" spans="1:2" ht="15.75" customHeight="1" x14ac:dyDescent="0.25">
      <c r="A3510" s="27" t="s">
        <v>1240</v>
      </c>
      <c r="B3510" s="27" t="s">
        <v>293</v>
      </c>
    </row>
    <row r="3511" spans="1:2" ht="15.75" customHeight="1" x14ac:dyDescent="0.25">
      <c r="A3511" s="27" t="s">
        <v>1240</v>
      </c>
      <c r="B3511" s="27" t="s">
        <v>293</v>
      </c>
    </row>
    <row r="3512" spans="1:2" ht="15.75" customHeight="1" x14ac:dyDescent="0.25">
      <c r="A3512" s="27" t="s">
        <v>1240</v>
      </c>
      <c r="B3512" s="27" t="s">
        <v>293</v>
      </c>
    </row>
    <row r="3513" spans="1:2" ht="15.75" customHeight="1" x14ac:dyDescent="0.25">
      <c r="A3513" s="27" t="s">
        <v>1240</v>
      </c>
      <c r="B3513" s="27" t="s">
        <v>293</v>
      </c>
    </row>
    <row r="3514" spans="1:2" ht="15.75" customHeight="1" x14ac:dyDescent="0.25">
      <c r="A3514" s="27" t="s">
        <v>1240</v>
      </c>
      <c r="B3514" s="27" t="s">
        <v>293</v>
      </c>
    </row>
    <row r="3515" spans="1:2" ht="15.75" customHeight="1" x14ac:dyDescent="0.25">
      <c r="A3515" s="27" t="s">
        <v>1240</v>
      </c>
      <c r="B3515" s="27" t="s">
        <v>293</v>
      </c>
    </row>
    <row r="3516" spans="1:2" ht="15.75" customHeight="1" x14ac:dyDescent="0.25">
      <c r="A3516" s="27" t="s">
        <v>1241</v>
      </c>
      <c r="B3516" s="27" t="s">
        <v>1242</v>
      </c>
    </row>
    <row r="3517" spans="1:2" ht="15.75" customHeight="1" x14ac:dyDescent="0.25">
      <c r="A3517" s="27" t="s">
        <v>1241</v>
      </c>
      <c r="B3517" s="27" t="s">
        <v>1242</v>
      </c>
    </row>
    <row r="3518" spans="1:2" ht="15.75" customHeight="1" x14ac:dyDescent="0.25">
      <c r="A3518" s="27" t="s">
        <v>1241</v>
      </c>
      <c r="B3518" s="27" t="s">
        <v>1242</v>
      </c>
    </row>
    <row r="3519" spans="1:2" ht="15.75" customHeight="1" x14ac:dyDescent="0.25">
      <c r="A3519" s="27" t="s">
        <v>1241</v>
      </c>
      <c r="B3519" s="27" t="s">
        <v>1242</v>
      </c>
    </row>
    <row r="3520" spans="1:2" ht="15.75" customHeight="1" x14ac:dyDescent="0.25">
      <c r="A3520" s="27" t="s">
        <v>1243</v>
      </c>
      <c r="B3520" s="27" t="s">
        <v>1244</v>
      </c>
    </row>
    <row r="3521" spans="1:2" ht="15.75" customHeight="1" x14ac:dyDescent="0.25">
      <c r="A3521" s="27" t="s">
        <v>1243</v>
      </c>
      <c r="B3521" s="27" t="s">
        <v>1244</v>
      </c>
    </row>
    <row r="3522" spans="1:2" ht="15.75" customHeight="1" x14ac:dyDescent="0.25">
      <c r="A3522" s="27" t="s">
        <v>1245</v>
      </c>
      <c r="B3522" s="27" t="s">
        <v>1246</v>
      </c>
    </row>
    <row r="3523" spans="1:2" ht="15.75" customHeight="1" x14ac:dyDescent="0.25">
      <c r="A3523" s="27" t="s">
        <v>1247</v>
      </c>
      <c r="B3523" s="27" t="s">
        <v>1248</v>
      </c>
    </row>
    <row r="3524" spans="1:2" ht="15.75" customHeight="1" x14ac:dyDescent="0.25">
      <c r="A3524" s="27" t="s">
        <v>1247</v>
      </c>
      <c r="B3524" s="27" t="s">
        <v>1248</v>
      </c>
    </row>
    <row r="3525" spans="1:2" ht="15.75" customHeight="1" x14ac:dyDescent="0.25">
      <c r="A3525" s="27" t="s">
        <v>1247</v>
      </c>
      <c r="B3525" s="27" t="s">
        <v>1248</v>
      </c>
    </row>
    <row r="3526" spans="1:2" ht="15.75" customHeight="1" x14ac:dyDescent="0.25">
      <c r="A3526" s="27" t="s">
        <v>1247</v>
      </c>
      <c r="B3526" s="27" t="s">
        <v>1248</v>
      </c>
    </row>
    <row r="3527" spans="1:2" ht="15.75" customHeight="1" x14ac:dyDescent="0.25">
      <c r="A3527" s="27" t="s">
        <v>1247</v>
      </c>
      <c r="B3527" s="27" t="s">
        <v>1248</v>
      </c>
    </row>
    <row r="3528" spans="1:2" ht="15.75" customHeight="1" x14ac:dyDescent="0.25">
      <c r="A3528" s="27" t="s">
        <v>1249</v>
      </c>
      <c r="B3528" s="27" t="s">
        <v>1250</v>
      </c>
    </row>
    <row r="3529" spans="1:2" ht="15.75" customHeight="1" x14ac:dyDescent="0.25">
      <c r="A3529" s="27" t="s">
        <v>1249</v>
      </c>
      <c r="B3529" s="27" t="s">
        <v>1250</v>
      </c>
    </row>
    <row r="3530" spans="1:2" ht="15.75" customHeight="1" x14ac:dyDescent="0.25">
      <c r="A3530" s="27" t="s">
        <v>1249</v>
      </c>
      <c r="B3530" s="27" t="s">
        <v>1250</v>
      </c>
    </row>
    <row r="3531" spans="1:2" ht="15.75" customHeight="1" x14ac:dyDescent="0.25">
      <c r="A3531" s="27" t="s">
        <v>1249</v>
      </c>
      <c r="B3531" s="27" t="s">
        <v>1250</v>
      </c>
    </row>
    <row r="3532" spans="1:2" ht="15.75" customHeight="1" x14ac:dyDescent="0.25">
      <c r="A3532" s="27" t="s">
        <v>1249</v>
      </c>
      <c r="B3532" s="27" t="s">
        <v>1250</v>
      </c>
    </row>
    <row r="3533" spans="1:2" ht="15.75" customHeight="1" x14ac:dyDescent="0.25">
      <c r="A3533" s="27" t="s">
        <v>1249</v>
      </c>
      <c r="B3533" s="27" t="s">
        <v>1250</v>
      </c>
    </row>
    <row r="3534" spans="1:2" ht="15.75" customHeight="1" x14ac:dyDescent="0.25">
      <c r="A3534" s="27" t="s">
        <v>1249</v>
      </c>
      <c r="B3534" s="27" t="s">
        <v>1250</v>
      </c>
    </row>
    <row r="3535" spans="1:2" ht="15.75" customHeight="1" x14ac:dyDescent="0.25">
      <c r="A3535" s="27" t="s">
        <v>1251</v>
      </c>
      <c r="B3535" s="27" t="s">
        <v>1252</v>
      </c>
    </row>
    <row r="3536" spans="1:2" ht="15.75" customHeight="1" x14ac:dyDescent="0.25">
      <c r="A3536" s="27" t="s">
        <v>1251</v>
      </c>
      <c r="B3536" s="27" t="s">
        <v>1252</v>
      </c>
    </row>
    <row r="3537" spans="1:2" ht="15.75" customHeight="1" x14ac:dyDescent="0.25">
      <c r="A3537" s="27" t="s">
        <v>1251</v>
      </c>
      <c r="B3537" s="27" t="s">
        <v>1252</v>
      </c>
    </row>
    <row r="3538" spans="1:2" ht="15.75" customHeight="1" x14ac:dyDescent="0.25">
      <c r="A3538" s="27" t="s">
        <v>1253</v>
      </c>
      <c r="B3538" s="27" t="s">
        <v>1254</v>
      </c>
    </row>
    <row r="3539" spans="1:2" ht="15.75" customHeight="1" x14ac:dyDescent="0.25">
      <c r="A3539" s="27" t="s">
        <v>1255</v>
      </c>
      <c r="B3539" s="27" t="s">
        <v>1256</v>
      </c>
    </row>
    <row r="3540" spans="1:2" ht="15.75" customHeight="1" x14ac:dyDescent="0.25">
      <c r="A3540" s="27" t="s">
        <v>1257</v>
      </c>
      <c r="B3540" s="27" t="s">
        <v>1258</v>
      </c>
    </row>
    <row r="3541" spans="1:2" ht="15.75" customHeight="1" x14ac:dyDescent="0.25">
      <c r="A3541" s="27" t="s">
        <v>1257</v>
      </c>
      <c r="B3541" s="27" t="s">
        <v>1258</v>
      </c>
    </row>
    <row r="3542" spans="1:2" ht="15.75" customHeight="1" x14ac:dyDescent="0.25">
      <c r="A3542" s="27" t="s">
        <v>1257</v>
      </c>
      <c r="B3542" s="27" t="s">
        <v>1258</v>
      </c>
    </row>
    <row r="3543" spans="1:2" ht="15.75" customHeight="1" x14ac:dyDescent="0.25">
      <c r="A3543" s="27" t="s">
        <v>1257</v>
      </c>
      <c r="B3543" s="27" t="s">
        <v>1258</v>
      </c>
    </row>
    <row r="3544" spans="1:2" ht="15.75" customHeight="1" x14ac:dyDescent="0.25">
      <c r="A3544" s="27" t="s">
        <v>1257</v>
      </c>
      <c r="B3544" s="27" t="s">
        <v>1258</v>
      </c>
    </row>
    <row r="3545" spans="1:2" ht="15.75" customHeight="1" x14ac:dyDescent="0.25">
      <c r="A3545" s="27" t="s">
        <v>1259</v>
      </c>
      <c r="B3545" s="27" t="s">
        <v>1260</v>
      </c>
    </row>
    <row r="3546" spans="1:2" ht="15.75" customHeight="1" x14ac:dyDescent="0.25">
      <c r="A3546" s="27" t="s">
        <v>1261</v>
      </c>
      <c r="B3546" s="27" t="s">
        <v>1262</v>
      </c>
    </row>
    <row r="3547" spans="1:2" ht="15.75" customHeight="1" x14ac:dyDescent="0.25">
      <c r="A3547" s="27" t="s">
        <v>1263</v>
      </c>
      <c r="B3547" s="27" t="s">
        <v>1264</v>
      </c>
    </row>
    <row r="3548" spans="1:2" ht="15.75" customHeight="1" x14ac:dyDescent="0.25">
      <c r="A3548" s="27" t="s">
        <v>1263</v>
      </c>
      <c r="B3548" s="27" t="s">
        <v>1264</v>
      </c>
    </row>
    <row r="3549" spans="1:2" ht="15.75" customHeight="1" x14ac:dyDescent="0.25">
      <c r="A3549" s="27" t="s">
        <v>1263</v>
      </c>
      <c r="B3549" s="27" t="s">
        <v>1264</v>
      </c>
    </row>
    <row r="3550" spans="1:2" ht="15.75" customHeight="1" x14ac:dyDescent="0.25">
      <c r="A3550" s="27" t="s">
        <v>1263</v>
      </c>
      <c r="B3550" s="27" t="s">
        <v>1264</v>
      </c>
    </row>
    <row r="3551" spans="1:2" ht="15.75" customHeight="1" x14ac:dyDescent="0.25">
      <c r="A3551" s="27" t="s">
        <v>1263</v>
      </c>
      <c r="B3551" s="27" t="s">
        <v>1264</v>
      </c>
    </row>
    <row r="3552" spans="1:2" ht="15.75" customHeight="1" x14ac:dyDescent="0.25">
      <c r="A3552" s="27" t="s">
        <v>1265</v>
      </c>
      <c r="B3552" s="27" t="s">
        <v>1266</v>
      </c>
    </row>
    <row r="3553" spans="1:2" ht="15.75" customHeight="1" x14ac:dyDescent="0.25">
      <c r="A3553" s="27" t="s">
        <v>1267</v>
      </c>
      <c r="B3553" s="27" t="s">
        <v>1268</v>
      </c>
    </row>
    <row r="3554" spans="1:2" ht="15.75" customHeight="1" x14ac:dyDescent="0.25">
      <c r="A3554" s="27" t="s">
        <v>1267</v>
      </c>
      <c r="B3554" s="27" t="s">
        <v>1268</v>
      </c>
    </row>
    <row r="3555" spans="1:2" ht="15.75" customHeight="1" x14ac:dyDescent="0.25">
      <c r="A3555" s="27" t="s">
        <v>1269</v>
      </c>
      <c r="B3555" s="27" t="s">
        <v>1270</v>
      </c>
    </row>
    <row r="3556" spans="1:2" ht="15.75" customHeight="1" x14ac:dyDescent="0.25">
      <c r="A3556" s="27" t="s">
        <v>1271</v>
      </c>
      <c r="B3556" s="27" t="s">
        <v>1272</v>
      </c>
    </row>
    <row r="3557" spans="1:2" ht="15.75" customHeight="1" x14ac:dyDescent="0.25">
      <c r="A3557" s="27" t="s">
        <v>1271</v>
      </c>
      <c r="B3557" s="27" t="s">
        <v>1272</v>
      </c>
    </row>
    <row r="3558" spans="1:2" ht="15.75" customHeight="1" x14ac:dyDescent="0.25">
      <c r="A3558" s="27" t="s">
        <v>1273</v>
      </c>
      <c r="B3558" s="27" t="s">
        <v>1274</v>
      </c>
    </row>
    <row r="3559" spans="1:2" ht="15.75" customHeight="1" x14ac:dyDescent="0.25">
      <c r="A3559" s="27" t="s">
        <v>1275</v>
      </c>
      <c r="B3559" s="27" t="s">
        <v>1276</v>
      </c>
    </row>
    <row r="3560" spans="1:2" ht="15.75" customHeight="1" x14ac:dyDescent="0.25">
      <c r="A3560" s="27" t="s">
        <v>1277</v>
      </c>
      <c r="B3560" s="27" t="s">
        <v>1278</v>
      </c>
    </row>
    <row r="3561" spans="1:2" ht="15.75" customHeight="1" x14ac:dyDescent="0.25">
      <c r="A3561" s="27" t="s">
        <v>1279</v>
      </c>
      <c r="B3561" s="27" t="s">
        <v>1280</v>
      </c>
    </row>
    <row r="3562" spans="1:2" ht="15.75" customHeight="1" x14ac:dyDescent="0.25">
      <c r="A3562" s="27" t="s">
        <v>1279</v>
      </c>
      <c r="B3562" s="27" t="s">
        <v>1280</v>
      </c>
    </row>
    <row r="3563" spans="1:2" ht="15.75" customHeight="1" x14ac:dyDescent="0.25">
      <c r="A3563" s="27" t="s">
        <v>1281</v>
      </c>
      <c r="B3563" s="27" t="s">
        <v>1282</v>
      </c>
    </row>
    <row r="3564" spans="1:2" ht="15.75" customHeight="1" x14ac:dyDescent="0.25">
      <c r="A3564" s="27" t="s">
        <v>1283</v>
      </c>
      <c r="B3564" s="27" t="s">
        <v>1284</v>
      </c>
    </row>
    <row r="3565" spans="1:2" ht="15.75" customHeight="1" x14ac:dyDescent="0.25">
      <c r="A3565" s="27" t="s">
        <v>1285</v>
      </c>
      <c r="B3565" s="27" t="s">
        <v>1286</v>
      </c>
    </row>
    <row r="3566" spans="1:2" ht="15.75" customHeight="1" x14ac:dyDescent="0.25">
      <c r="A3566" s="27" t="s">
        <v>1285</v>
      </c>
      <c r="B3566" s="27" t="s">
        <v>1286</v>
      </c>
    </row>
    <row r="3567" spans="1:2" ht="15.75" customHeight="1" x14ac:dyDescent="0.25">
      <c r="A3567" s="27" t="s">
        <v>1287</v>
      </c>
      <c r="B3567" s="27" t="s">
        <v>1288</v>
      </c>
    </row>
    <row r="3568" spans="1:2" ht="15.75" customHeight="1" x14ac:dyDescent="0.25">
      <c r="A3568" s="27" t="s">
        <v>1289</v>
      </c>
      <c r="B3568" s="27" t="s">
        <v>1290</v>
      </c>
    </row>
    <row r="3569" spans="1:2" ht="15.75" customHeight="1" x14ac:dyDescent="0.25">
      <c r="A3569" s="27" t="s">
        <v>1291</v>
      </c>
      <c r="B3569" s="27" t="s">
        <v>1292</v>
      </c>
    </row>
    <row r="3570" spans="1:2" ht="15.75" customHeight="1" x14ac:dyDescent="0.25">
      <c r="A3570" s="27" t="s">
        <v>1293</v>
      </c>
      <c r="B3570" s="27" t="s">
        <v>1294</v>
      </c>
    </row>
    <row r="3571" spans="1:2" ht="15.75" customHeight="1" x14ac:dyDescent="0.25">
      <c r="A3571" s="27" t="s">
        <v>1295</v>
      </c>
      <c r="B3571" s="27" t="s">
        <v>1296</v>
      </c>
    </row>
    <row r="3572" spans="1:2" ht="15.75" customHeight="1" x14ac:dyDescent="0.25">
      <c r="A3572" s="27" t="s">
        <v>1297</v>
      </c>
      <c r="B3572" s="27" t="s">
        <v>1298</v>
      </c>
    </row>
    <row r="3573" spans="1:2" ht="15.75" customHeight="1" x14ac:dyDescent="0.25">
      <c r="A3573" s="27" t="s">
        <v>1299</v>
      </c>
      <c r="B3573" s="27" t="s">
        <v>1300</v>
      </c>
    </row>
    <row r="3574" spans="1:2" ht="15.75" customHeight="1" x14ac:dyDescent="0.25">
      <c r="A3574" s="27" t="s">
        <v>1301</v>
      </c>
      <c r="B3574" s="27" t="s">
        <v>1302</v>
      </c>
    </row>
    <row r="3575" spans="1:2" ht="15.75" customHeight="1" x14ac:dyDescent="0.25">
      <c r="A3575" s="27" t="s">
        <v>1303</v>
      </c>
      <c r="B3575" s="27" t="s">
        <v>1304</v>
      </c>
    </row>
    <row r="3576" spans="1:2" ht="15.75" customHeight="1" x14ac:dyDescent="0.25">
      <c r="A3576" s="27" t="s">
        <v>1305</v>
      </c>
      <c r="B3576" s="27" t="s">
        <v>1306</v>
      </c>
    </row>
    <row r="3577" spans="1:2" ht="15.75" customHeight="1" x14ac:dyDescent="0.25">
      <c r="A3577" s="27" t="s">
        <v>1307</v>
      </c>
      <c r="B3577" s="27" t="s">
        <v>1308</v>
      </c>
    </row>
    <row r="3578" spans="1:2" ht="15.75" customHeight="1" x14ac:dyDescent="0.25">
      <c r="A3578" s="27" t="s">
        <v>1309</v>
      </c>
      <c r="B3578" s="27" t="s">
        <v>1310</v>
      </c>
    </row>
    <row r="3579" spans="1:2" ht="15.75" customHeight="1" x14ac:dyDescent="0.25">
      <c r="A3579" s="27" t="s">
        <v>1309</v>
      </c>
      <c r="B3579" s="27" t="s">
        <v>1310</v>
      </c>
    </row>
    <row r="3580" spans="1:2" ht="15.75" customHeight="1" x14ac:dyDescent="0.25">
      <c r="A3580" s="27" t="s">
        <v>1309</v>
      </c>
      <c r="B3580" s="27" t="s">
        <v>1310</v>
      </c>
    </row>
    <row r="3581" spans="1:2" ht="15.75" customHeight="1" x14ac:dyDescent="0.25">
      <c r="A3581" s="27" t="s">
        <v>1309</v>
      </c>
      <c r="B3581" s="27" t="s">
        <v>1310</v>
      </c>
    </row>
    <row r="3582" spans="1:2" ht="15.75" customHeight="1" x14ac:dyDescent="0.25">
      <c r="A3582" s="27" t="s">
        <v>1309</v>
      </c>
      <c r="B3582" s="27" t="s">
        <v>1310</v>
      </c>
    </row>
    <row r="3583" spans="1:2" ht="15.75" customHeight="1" x14ac:dyDescent="0.25">
      <c r="A3583" s="27" t="s">
        <v>1309</v>
      </c>
      <c r="B3583" s="27" t="s">
        <v>1310</v>
      </c>
    </row>
    <row r="3584" spans="1:2" ht="15.75" customHeight="1" x14ac:dyDescent="0.25">
      <c r="A3584" s="27" t="s">
        <v>1311</v>
      </c>
      <c r="B3584" s="27" t="s">
        <v>1312</v>
      </c>
    </row>
    <row r="3585" spans="1:2" ht="15.75" customHeight="1" x14ac:dyDescent="0.25">
      <c r="A3585" s="27" t="s">
        <v>1313</v>
      </c>
      <c r="B3585" s="27" t="s">
        <v>1314</v>
      </c>
    </row>
    <row r="3586" spans="1:2" ht="15.75" customHeight="1" x14ac:dyDescent="0.25">
      <c r="A3586" s="27" t="s">
        <v>1313</v>
      </c>
      <c r="B3586" s="27" t="s">
        <v>1314</v>
      </c>
    </row>
    <row r="3587" spans="1:2" ht="15.75" customHeight="1" x14ac:dyDescent="0.25">
      <c r="A3587" s="27" t="s">
        <v>1313</v>
      </c>
      <c r="B3587" s="27" t="s">
        <v>1314</v>
      </c>
    </row>
    <row r="3588" spans="1:2" ht="15.75" customHeight="1" x14ac:dyDescent="0.25">
      <c r="A3588" s="27" t="s">
        <v>1313</v>
      </c>
      <c r="B3588" s="27" t="s">
        <v>1314</v>
      </c>
    </row>
    <row r="3589" spans="1:2" ht="15.75" customHeight="1" x14ac:dyDescent="0.25">
      <c r="A3589" s="27" t="s">
        <v>1313</v>
      </c>
      <c r="B3589" s="27" t="s">
        <v>1314</v>
      </c>
    </row>
    <row r="3590" spans="1:2" ht="15.75" customHeight="1" x14ac:dyDescent="0.25">
      <c r="A3590" s="27" t="s">
        <v>1313</v>
      </c>
      <c r="B3590" s="27" t="s">
        <v>1314</v>
      </c>
    </row>
    <row r="3591" spans="1:2" ht="15.75" customHeight="1" x14ac:dyDescent="0.25">
      <c r="A3591" s="27" t="s">
        <v>1315</v>
      </c>
      <c r="B3591" s="27" t="s">
        <v>1316</v>
      </c>
    </row>
    <row r="3592" spans="1:2" ht="15.75" customHeight="1" x14ac:dyDescent="0.25">
      <c r="A3592" s="27" t="s">
        <v>1317</v>
      </c>
      <c r="B3592" s="27" t="s">
        <v>1318</v>
      </c>
    </row>
    <row r="3593" spans="1:2" ht="15.75" customHeight="1" x14ac:dyDescent="0.25">
      <c r="A3593" s="27" t="s">
        <v>1319</v>
      </c>
      <c r="B3593" s="27" t="s">
        <v>1320</v>
      </c>
    </row>
    <row r="3594" spans="1:2" ht="15.75" customHeight="1" x14ac:dyDescent="0.25">
      <c r="A3594" s="27" t="s">
        <v>1321</v>
      </c>
      <c r="B3594" s="27" t="s">
        <v>1322</v>
      </c>
    </row>
    <row r="3595" spans="1:2" ht="15.75" customHeight="1" x14ac:dyDescent="0.25">
      <c r="A3595" s="27" t="s">
        <v>1323</v>
      </c>
      <c r="B3595" s="27" t="s">
        <v>1324</v>
      </c>
    </row>
    <row r="3596" spans="1:2" ht="15.75" customHeight="1" x14ac:dyDescent="0.25">
      <c r="A3596" s="27" t="s">
        <v>1325</v>
      </c>
      <c r="B3596" s="27" t="s">
        <v>1326</v>
      </c>
    </row>
    <row r="3597" spans="1:2" ht="15.75" customHeight="1" x14ac:dyDescent="0.25">
      <c r="A3597" s="27" t="s">
        <v>1327</v>
      </c>
      <c r="B3597" s="27" t="s">
        <v>1328</v>
      </c>
    </row>
    <row r="3598" spans="1:2" ht="15.75" customHeight="1" x14ac:dyDescent="0.25">
      <c r="A3598" s="27" t="s">
        <v>1329</v>
      </c>
      <c r="B3598" s="27" t="s">
        <v>1330</v>
      </c>
    </row>
    <row r="3599" spans="1:2" ht="15.75" customHeight="1" x14ac:dyDescent="0.25">
      <c r="A3599" s="27" t="s">
        <v>1331</v>
      </c>
      <c r="B3599" s="27" t="s">
        <v>1332</v>
      </c>
    </row>
    <row r="3600" spans="1:2" ht="15.75" customHeight="1" x14ac:dyDescent="0.25">
      <c r="A3600" s="27" t="s">
        <v>1331</v>
      </c>
      <c r="B3600" s="27" t="s">
        <v>1332</v>
      </c>
    </row>
    <row r="3601" spans="1:2" ht="15.75" customHeight="1" x14ac:dyDescent="0.25">
      <c r="A3601" s="27" t="s">
        <v>1331</v>
      </c>
      <c r="B3601" s="27" t="s">
        <v>1332</v>
      </c>
    </row>
    <row r="3602" spans="1:2" ht="15.75" customHeight="1" x14ac:dyDescent="0.25">
      <c r="A3602" s="27" t="s">
        <v>1333</v>
      </c>
      <c r="B3602" s="27" t="s">
        <v>1334</v>
      </c>
    </row>
    <row r="3603" spans="1:2" ht="15.75" customHeight="1" x14ac:dyDescent="0.25">
      <c r="A3603" s="27" t="s">
        <v>1333</v>
      </c>
      <c r="B3603" s="27" t="s">
        <v>1334</v>
      </c>
    </row>
    <row r="3604" spans="1:2" ht="15.75" customHeight="1" x14ac:dyDescent="0.25">
      <c r="A3604" s="27" t="s">
        <v>1335</v>
      </c>
      <c r="B3604" s="27" t="s">
        <v>1336</v>
      </c>
    </row>
    <row r="3605" spans="1:2" ht="15.75" customHeight="1" x14ac:dyDescent="0.25">
      <c r="A3605" s="27" t="s">
        <v>1337</v>
      </c>
      <c r="B3605" s="27" t="s">
        <v>1338</v>
      </c>
    </row>
    <row r="3606" spans="1:2" ht="15.75" customHeight="1" x14ac:dyDescent="0.25">
      <c r="A3606" s="27" t="s">
        <v>1339</v>
      </c>
      <c r="B3606" s="27" t="s">
        <v>1340</v>
      </c>
    </row>
    <row r="3607" spans="1:2" ht="15.75" customHeight="1" x14ac:dyDescent="0.25">
      <c r="A3607" s="27" t="s">
        <v>1339</v>
      </c>
      <c r="B3607" s="27" t="s">
        <v>1340</v>
      </c>
    </row>
    <row r="3608" spans="1:2" ht="15.75" customHeight="1" x14ac:dyDescent="0.25">
      <c r="A3608" s="27" t="s">
        <v>1341</v>
      </c>
      <c r="B3608" s="27" t="s">
        <v>1342</v>
      </c>
    </row>
    <row r="3609" spans="1:2" ht="15.75" customHeight="1" x14ac:dyDescent="0.25">
      <c r="A3609" s="27" t="s">
        <v>1343</v>
      </c>
      <c r="B3609" s="27" t="s">
        <v>1344</v>
      </c>
    </row>
    <row r="3610" spans="1:2" ht="15.75" customHeight="1" x14ac:dyDescent="0.25">
      <c r="A3610" s="27" t="s">
        <v>1343</v>
      </c>
      <c r="B3610" s="27" t="s">
        <v>1344</v>
      </c>
    </row>
    <row r="3611" spans="1:2" ht="15.75" customHeight="1" x14ac:dyDescent="0.25">
      <c r="A3611" s="27" t="s">
        <v>1343</v>
      </c>
      <c r="B3611" s="27" t="s">
        <v>1344</v>
      </c>
    </row>
    <row r="3612" spans="1:2" ht="15.75" customHeight="1" x14ac:dyDescent="0.25">
      <c r="A3612" s="27" t="s">
        <v>1343</v>
      </c>
      <c r="B3612" s="27" t="s">
        <v>1344</v>
      </c>
    </row>
    <row r="3613" spans="1:2" ht="15.75" customHeight="1" x14ac:dyDescent="0.25">
      <c r="A3613" s="27" t="s">
        <v>1343</v>
      </c>
      <c r="B3613" s="27" t="s">
        <v>1344</v>
      </c>
    </row>
    <row r="3614" spans="1:2" ht="15.75" customHeight="1" x14ac:dyDescent="0.25">
      <c r="A3614" s="27" t="s">
        <v>1343</v>
      </c>
      <c r="B3614" s="27" t="s">
        <v>1344</v>
      </c>
    </row>
    <row r="3615" spans="1:2" ht="15.75" customHeight="1" x14ac:dyDescent="0.25">
      <c r="A3615" s="27" t="s">
        <v>1345</v>
      </c>
      <c r="B3615" s="27" t="s">
        <v>1346</v>
      </c>
    </row>
    <row r="3616" spans="1:2" ht="15.75" customHeight="1" x14ac:dyDescent="0.25">
      <c r="A3616" s="27" t="s">
        <v>1345</v>
      </c>
      <c r="B3616" s="27" t="s">
        <v>1346</v>
      </c>
    </row>
    <row r="3617" spans="1:2" ht="15.75" customHeight="1" x14ac:dyDescent="0.25">
      <c r="A3617" s="27" t="s">
        <v>1345</v>
      </c>
      <c r="B3617" s="27" t="s">
        <v>1346</v>
      </c>
    </row>
    <row r="3618" spans="1:2" ht="15.75" customHeight="1" x14ac:dyDescent="0.25">
      <c r="A3618" s="27" t="s">
        <v>1345</v>
      </c>
      <c r="B3618" s="27" t="s">
        <v>1346</v>
      </c>
    </row>
    <row r="3619" spans="1:2" ht="15.75" customHeight="1" x14ac:dyDescent="0.25">
      <c r="A3619" s="27" t="s">
        <v>1345</v>
      </c>
      <c r="B3619" s="27" t="s">
        <v>1346</v>
      </c>
    </row>
    <row r="3620" spans="1:2" ht="15.75" customHeight="1" x14ac:dyDescent="0.25">
      <c r="A3620" s="27" t="s">
        <v>1345</v>
      </c>
      <c r="B3620" s="27" t="s">
        <v>1346</v>
      </c>
    </row>
    <row r="3621" spans="1:2" ht="15.75" customHeight="1" x14ac:dyDescent="0.25">
      <c r="A3621" s="27" t="s">
        <v>1345</v>
      </c>
      <c r="B3621" s="27" t="s">
        <v>1346</v>
      </c>
    </row>
    <row r="3622" spans="1:2" ht="15.75" customHeight="1" x14ac:dyDescent="0.25">
      <c r="A3622" s="27" t="s">
        <v>1345</v>
      </c>
      <c r="B3622" s="27" t="s">
        <v>1346</v>
      </c>
    </row>
    <row r="3623" spans="1:2" ht="15.75" customHeight="1" x14ac:dyDescent="0.25">
      <c r="A3623" s="27" t="s">
        <v>1347</v>
      </c>
      <c r="B3623" s="27" t="s">
        <v>1348</v>
      </c>
    </row>
    <row r="3624" spans="1:2" ht="15.75" customHeight="1" x14ac:dyDescent="0.25">
      <c r="A3624" s="27" t="s">
        <v>1347</v>
      </c>
      <c r="B3624" s="27" t="s">
        <v>1348</v>
      </c>
    </row>
    <row r="3625" spans="1:2" ht="15.75" customHeight="1" x14ac:dyDescent="0.25">
      <c r="A3625" s="27" t="s">
        <v>1347</v>
      </c>
      <c r="B3625" s="27" t="s">
        <v>1348</v>
      </c>
    </row>
    <row r="3626" spans="1:2" ht="15.75" customHeight="1" x14ac:dyDescent="0.25">
      <c r="A3626" s="27" t="s">
        <v>1347</v>
      </c>
      <c r="B3626" s="27" t="s">
        <v>1348</v>
      </c>
    </row>
    <row r="3627" spans="1:2" ht="15.75" customHeight="1" x14ac:dyDescent="0.25">
      <c r="A3627" s="27" t="s">
        <v>1349</v>
      </c>
      <c r="B3627" s="27" t="s">
        <v>1350</v>
      </c>
    </row>
    <row r="3628" spans="1:2" ht="15.75" customHeight="1" x14ac:dyDescent="0.25">
      <c r="A3628" s="27" t="s">
        <v>1351</v>
      </c>
      <c r="B3628" s="27" t="s">
        <v>1352</v>
      </c>
    </row>
    <row r="3629" spans="1:2" ht="15.75" customHeight="1" x14ac:dyDescent="0.25">
      <c r="A3629" s="27" t="s">
        <v>1351</v>
      </c>
      <c r="B3629" s="27" t="s">
        <v>1352</v>
      </c>
    </row>
    <row r="3630" spans="1:2" ht="15.75" customHeight="1" x14ac:dyDescent="0.25">
      <c r="A3630" s="27" t="s">
        <v>1351</v>
      </c>
      <c r="B3630" s="27" t="s">
        <v>1352</v>
      </c>
    </row>
    <row r="3631" spans="1:2" ht="15.75" customHeight="1" x14ac:dyDescent="0.25">
      <c r="A3631" s="27" t="s">
        <v>1351</v>
      </c>
      <c r="B3631" s="27" t="s">
        <v>1352</v>
      </c>
    </row>
    <row r="3632" spans="1:2" ht="15.75" customHeight="1" x14ac:dyDescent="0.25">
      <c r="A3632" s="27" t="s">
        <v>1353</v>
      </c>
      <c r="B3632" s="27" t="s">
        <v>1354</v>
      </c>
    </row>
    <row r="3633" spans="1:2" ht="15.75" customHeight="1" x14ac:dyDescent="0.25">
      <c r="A3633" s="27" t="s">
        <v>1355</v>
      </c>
      <c r="B3633" s="27" t="s">
        <v>1356</v>
      </c>
    </row>
    <row r="3634" spans="1:2" ht="15.75" customHeight="1" x14ac:dyDescent="0.25">
      <c r="A3634" s="27" t="s">
        <v>1355</v>
      </c>
      <c r="B3634" s="27" t="s">
        <v>1356</v>
      </c>
    </row>
    <row r="3635" spans="1:2" ht="15.75" customHeight="1" x14ac:dyDescent="0.25">
      <c r="A3635" s="27" t="s">
        <v>1355</v>
      </c>
      <c r="B3635" s="27" t="s">
        <v>1356</v>
      </c>
    </row>
    <row r="3636" spans="1:2" ht="15.75" customHeight="1" x14ac:dyDescent="0.25">
      <c r="A3636" s="27" t="s">
        <v>1357</v>
      </c>
      <c r="B3636" s="27" t="s">
        <v>1358</v>
      </c>
    </row>
    <row r="3637" spans="1:2" ht="15.75" customHeight="1" x14ac:dyDescent="0.25">
      <c r="A3637" s="27" t="s">
        <v>1357</v>
      </c>
      <c r="B3637" s="27" t="s">
        <v>1358</v>
      </c>
    </row>
    <row r="3638" spans="1:2" ht="15.75" customHeight="1" x14ac:dyDescent="0.25">
      <c r="A3638" s="27" t="s">
        <v>1357</v>
      </c>
      <c r="B3638" s="27" t="s">
        <v>1358</v>
      </c>
    </row>
    <row r="3639" spans="1:2" ht="15.75" customHeight="1" x14ac:dyDescent="0.25">
      <c r="A3639" s="27" t="s">
        <v>1357</v>
      </c>
      <c r="B3639" s="27" t="s">
        <v>1358</v>
      </c>
    </row>
    <row r="3640" spans="1:2" ht="15.75" customHeight="1" x14ac:dyDescent="0.25">
      <c r="A3640" s="27" t="s">
        <v>1359</v>
      </c>
      <c r="B3640" s="27" t="s">
        <v>1360</v>
      </c>
    </row>
    <row r="3641" spans="1:2" ht="15.75" customHeight="1" x14ac:dyDescent="0.25">
      <c r="A3641" s="27" t="s">
        <v>1359</v>
      </c>
      <c r="B3641" s="27" t="s">
        <v>1360</v>
      </c>
    </row>
    <row r="3642" spans="1:2" ht="15.75" customHeight="1" x14ac:dyDescent="0.25">
      <c r="A3642" s="27" t="s">
        <v>1361</v>
      </c>
      <c r="B3642" s="27" t="s">
        <v>1362</v>
      </c>
    </row>
    <row r="3643" spans="1:2" ht="15.75" customHeight="1" x14ac:dyDescent="0.25">
      <c r="A3643" s="27" t="s">
        <v>1361</v>
      </c>
      <c r="B3643" s="27" t="s">
        <v>1362</v>
      </c>
    </row>
    <row r="3644" spans="1:2" ht="15.75" customHeight="1" x14ac:dyDescent="0.25">
      <c r="A3644" s="27" t="s">
        <v>1363</v>
      </c>
      <c r="B3644" s="27" t="s">
        <v>1364</v>
      </c>
    </row>
    <row r="3645" spans="1:2" ht="15.75" customHeight="1" x14ac:dyDescent="0.25">
      <c r="A3645" s="27" t="s">
        <v>1363</v>
      </c>
      <c r="B3645" s="27" t="s">
        <v>1364</v>
      </c>
    </row>
    <row r="3646" spans="1:2" ht="15.75" customHeight="1" x14ac:dyDescent="0.25">
      <c r="A3646" s="27" t="s">
        <v>1363</v>
      </c>
      <c r="B3646" s="27" t="s">
        <v>1364</v>
      </c>
    </row>
    <row r="3647" spans="1:2" ht="15.75" customHeight="1" x14ac:dyDescent="0.25">
      <c r="A3647" s="27" t="s">
        <v>1363</v>
      </c>
      <c r="B3647" s="27" t="s">
        <v>1364</v>
      </c>
    </row>
    <row r="3648" spans="1:2" ht="15.75" customHeight="1" x14ac:dyDescent="0.25">
      <c r="A3648" s="27" t="s">
        <v>1365</v>
      </c>
      <c r="B3648" s="27" t="s">
        <v>1366</v>
      </c>
    </row>
    <row r="3649" spans="1:2" ht="15.75" customHeight="1" x14ac:dyDescent="0.25">
      <c r="A3649" s="27" t="s">
        <v>1365</v>
      </c>
      <c r="B3649" s="27" t="s">
        <v>1366</v>
      </c>
    </row>
    <row r="3650" spans="1:2" ht="15.75" customHeight="1" x14ac:dyDescent="0.25">
      <c r="A3650" s="27" t="s">
        <v>1365</v>
      </c>
      <c r="B3650" s="27" t="s">
        <v>1366</v>
      </c>
    </row>
    <row r="3651" spans="1:2" ht="15.75" customHeight="1" x14ac:dyDescent="0.25">
      <c r="A3651" s="27" t="s">
        <v>1365</v>
      </c>
      <c r="B3651" s="27" t="s">
        <v>1366</v>
      </c>
    </row>
    <row r="3652" spans="1:2" ht="15.75" customHeight="1" x14ac:dyDescent="0.25">
      <c r="A3652" s="27" t="s">
        <v>1365</v>
      </c>
      <c r="B3652" s="27" t="s">
        <v>1366</v>
      </c>
    </row>
    <row r="3653" spans="1:2" ht="15.75" customHeight="1" x14ac:dyDescent="0.25">
      <c r="A3653" s="27" t="s">
        <v>1365</v>
      </c>
      <c r="B3653" s="27" t="s">
        <v>1366</v>
      </c>
    </row>
    <row r="3654" spans="1:2" ht="15.75" customHeight="1" x14ac:dyDescent="0.25">
      <c r="A3654" s="27" t="s">
        <v>1365</v>
      </c>
      <c r="B3654" s="27" t="s">
        <v>1366</v>
      </c>
    </row>
    <row r="3655" spans="1:2" ht="15.75" customHeight="1" x14ac:dyDescent="0.25">
      <c r="A3655" s="27" t="s">
        <v>1367</v>
      </c>
      <c r="B3655" s="27" t="s">
        <v>1368</v>
      </c>
    </row>
    <row r="3656" spans="1:2" ht="15.75" customHeight="1" x14ac:dyDescent="0.25">
      <c r="A3656" s="27" t="s">
        <v>1367</v>
      </c>
      <c r="B3656" s="27" t="s">
        <v>1368</v>
      </c>
    </row>
    <row r="3657" spans="1:2" ht="15.75" customHeight="1" x14ac:dyDescent="0.25">
      <c r="A3657" s="27" t="s">
        <v>1369</v>
      </c>
      <c r="B3657" s="27" t="s">
        <v>1370</v>
      </c>
    </row>
    <row r="3658" spans="1:2" ht="15.75" customHeight="1" x14ac:dyDescent="0.25">
      <c r="A3658" s="27" t="s">
        <v>1369</v>
      </c>
      <c r="B3658" s="27" t="s">
        <v>1370</v>
      </c>
    </row>
    <row r="3659" spans="1:2" ht="15.75" customHeight="1" x14ac:dyDescent="0.25">
      <c r="A3659" s="27" t="s">
        <v>1371</v>
      </c>
      <c r="B3659" s="27" t="s">
        <v>1372</v>
      </c>
    </row>
    <row r="3660" spans="1:2" ht="15.75" customHeight="1" x14ac:dyDescent="0.25">
      <c r="A3660" s="27" t="s">
        <v>1371</v>
      </c>
      <c r="B3660" s="27" t="s">
        <v>1372</v>
      </c>
    </row>
    <row r="3661" spans="1:2" ht="15.75" customHeight="1" x14ac:dyDescent="0.25">
      <c r="A3661" s="27" t="s">
        <v>1373</v>
      </c>
      <c r="B3661" s="27" t="s">
        <v>1374</v>
      </c>
    </row>
    <row r="3662" spans="1:2" ht="15.75" customHeight="1" x14ac:dyDescent="0.25">
      <c r="A3662" s="27" t="s">
        <v>1375</v>
      </c>
      <c r="B3662" s="27" t="s">
        <v>1376</v>
      </c>
    </row>
    <row r="3663" spans="1:2" ht="15.75" customHeight="1" x14ac:dyDescent="0.25">
      <c r="A3663" s="27" t="s">
        <v>1375</v>
      </c>
      <c r="B3663" s="27" t="s">
        <v>1376</v>
      </c>
    </row>
    <row r="3664" spans="1:2" ht="15.75" customHeight="1" x14ac:dyDescent="0.25">
      <c r="A3664" s="27" t="s">
        <v>1375</v>
      </c>
      <c r="B3664" s="27" t="s">
        <v>1376</v>
      </c>
    </row>
    <row r="3665" spans="1:2" ht="15.75" customHeight="1" x14ac:dyDescent="0.25">
      <c r="A3665" s="27" t="s">
        <v>1375</v>
      </c>
      <c r="B3665" s="27" t="s">
        <v>1376</v>
      </c>
    </row>
    <row r="3666" spans="1:2" ht="15.75" customHeight="1" x14ac:dyDescent="0.25">
      <c r="A3666" s="27" t="s">
        <v>1375</v>
      </c>
      <c r="B3666" s="27" t="s">
        <v>1376</v>
      </c>
    </row>
    <row r="3667" spans="1:2" ht="15.75" customHeight="1" x14ac:dyDescent="0.25">
      <c r="A3667" s="27" t="s">
        <v>1375</v>
      </c>
      <c r="B3667" s="27" t="s">
        <v>1376</v>
      </c>
    </row>
    <row r="3668" spans="1:2" ht="15.75" customHeight="1" x14ac:dyDescent="0.25">
      <c r="A3668" s="27" t="s">
        <v>1375</v>
      </c>
      <c r="B3668" s="27" t="s">
        <v>1376</v>
      </c>
    </row>
    <row r="3669" spans="1:2" ht="15.75" customHeight="1" x14ac:dyDescent="0.25">
      <c r="A3669" s="27" t="s">
        <v>1375</v>
      </c>
      <c r="B3669" s="27" t="s">
        <v>1376</v>
      </c>
    </row>
    <row r="3670" spans="1:2" ht="15.75" customHeight="1" x14ac:dyDescent="0.25">
      <c r="A3670" s="27" t="s">
        <v>1375</v>
      </c>
      <c r="B3670" s="27" t="s">
        <v>1376</v>
      </c>
    </row>
    <row r="3671" spans="1:2" ht="15.75" customHeight="1" x14ac:dyDescent="0.25">
      <c r="A3671" s="27" t="s">
        <v>1375</v>
      </c>
      <c r="B3671" s="27" t="s">
        <v>1376</v>
      </c>
    </row>
    <row r="3672" spans="1:2" ht="15.75" customHeight="1" x14ac:dyDescent="0.25">
      <c r="A3672" s="27" t="s">
        <v>1375</v>
      </c>
      <c r="B3672" s="27" t="s">
        <v>1376</v>
      </c>
    </row>
    <row r="3673" spans="1:2" ht="15.75" customHeight="1" x14ac:dyDescent="0.25">
      <c r="A3673" s="27" t="s">
        <v>1375</v>
      </c>
      <c r="B3673" s="27" t="s">
        <v>1376</v>
      </c>
    </row>
    <row r="3674" spans="1:2" ht="15.75" customHeight="1" x14ac:dyDescent="0.25">
      <c r="A3674" s="27" t="s">
        <v>1375</v>
      </c>
      <c r="B3674" s="27" t="s">
        <v>1376</v>
      </c>
    </row>
    <row r="3675" spans="1:2" ht="15.75" customHeight="1" x14ac:dyDescent="0.25">
      <c r="A3675" s="27" t="s">
        <v>1375</v>
      </c>
      <c r="B3675" s="27" t="s">
        <v>1376</v>
      </c>
    </row>
    <row r="3676" spans="1:2" ht="15.75" customHeight="1" x14ac:dyDescent="0.25">
      <c r="A3676" s="27" t="s">
        <v>1375</v>
      </c>
      <c r="B3676" s="27" t="s">
        <v>1376</v>
      </c>
    </row>
    <row r="3677" spans="1:2" ht="15.75" customHeight="1" x14ac:dyDescent="0.25">
      <c r="A3677" s="27" t="s">
        <v>1375</v>
      </c>
      <c r="B3677" s="27" t="s">
        <v>1376</v>
      </c>
    </row>
    <row r="3678" spans="1:2" ht="15.75" customHeight="1" x14ac:dyDescent="0.25">
      <c r="A3678" s="27" t="s">
        <v>1375</v>
      </c>
      <c r="B3678" s="27" t="s">
        <v>1376</v>
      </c>
    </row>
    <row r="3679" spans="1:2" ht="15.75" customHeight="1" x14ac:dyDescent="0.25">
      <c r="A3679" s="27" t="s">
        <v>1375</v>
      </c>
      <c r="B3679" s="27" t="s">
        <v>1376</v>
      </c>
    </row>
    <row r="3680" spans="1:2" ht="15.75" customHeight="1" x14ac:dyDescent="0.25">
      <c r="A3680" s="27" t="s">
        <v>1375</v>
      </c>
      <c r="B3680" s="27" t="s">
        <v>1376</v>
      </c>
    </row>
    <row r="3681" spans="1:2" ht="15.75" customHeight="1" x14ac:dyDescent="0.25">
      <c r="A3681" s="27" t="s">
        <v>1375</v>
      </c>
      <c r="B3681" s="27" t="s">
        <v>1376</v>
      </c>
    </row>
    <row r="3682" spans="1:2" ht="15.75" customHeight="1" x14ac:dyDescent="0.25">
      <c r="A3682" s="27" t="s">
        <v>1375</v>
      </c>
      <c r="B3682" s="27" t="s">
        <v>1376</v>
      </c>
    </row>
    <row r="3683" spans="1:2" ht="15.75" customHeight="1" x14ac:dyDescent="0.25">
      <c r="A3683" s="27" t="s">
        <v>1375</v>
      </c>
      <c r="B3683" s="27" t="s">
        <v>1376</v>
      </c>
    </row>
    <row r="3684" spans="1:2" ht="15.75" customHeight="1" x14ac:dyDescent="0.25">
      <c r="A3684" s="27" t="s">
        <v>1375</v>
      </c>
      <c r="B3684" s="27" t="s">
        <v>1376</v>
      </c>
    </row>
    <row r="3685" spans="1:2" ht="15.75" customHeight="1" x14ac:dyDescent="0.25">
      <c r="A3685" s="27" t="s">
        <v>1375</v>
      </c>
      <c r="B3685" s="27" t="s">
        <v>1376</v>
      </c>
    </row>
    <row r="3686" spans="1:2" ht="15.75" customHeight="1" x14ac:dyDescent="0.25">
      <c r="A3686" s="27" t="s">
        <v>1375</v>
      </c>
      <c r="B3686" s="27" t="s">
        <v>1376</v>
      </c>
    </row>
    <row r="3687" spans="1:2" ht="15.75" customHeight="1" x14ac:dyDescent="0.25">
      <c r="A3687" s="27" t="s">
        <v>1375</v>
      </c>
      <c r="B3687" s="27" t="s">
        <v>1376</v>
      </c>
    </row>
    <row r="3688" spans="1:2" ht="15.75" customHeight="1" x14ac:dyDescent="0.25">
      <c r="A3688" s="27" t="s">
        <v>1375</v>
      </c>
      <c r="B3688" s="27" t="s">
        <v>1376</v>
      </c>
    </row>
    <row r="3689" spans="1:2" ht="15.75" customHeight="1" x14ac:dyDescent="0.25">
      <c r="A3689" s="27" t="s">
        <v>1375</v>
      </c>
      <c r="B3689" s="27" t="s">
        <v>1376</v>
      </c>
    </row>
    <row r="3690" spans="1:2" ht="15.75" customHeight="1" x14ac:dyDescent="0.25">
      <c r="A3690" s="27" t="s">
        <v>1375</v>
      </c>
      <c r="B3690" s="27" t="s">
        <v>1376</v>
      </c>
    </row>
    <row r="3691" spans="1:2" ht="15.75" customHeight="1" x14ac:dyDescent="0.25">
      <c r="A3691" s="27" t="s">
        <v>1375</v>
      </c>
      <c r="B3691" s="27" t="s">
        <v>1376</v>
      </c>
    </row>
    <row r="3692" spans="1:2" ht="15.75" customHeight="1" x14ac:dyDescent="0.25">
      <c r="A3692" s="27" t="s">
        <v>1375</v>
      </c>
      <c r="B3692" s="27" t="s">
        <v>1376</v>
      </c>
    </row>
    <row r="3693" spans="1:2" ht="15.75" customHeight="1" x14ac:dyDescent="0.25">
      <c r="A3693" s="27" t="s">
        <v>1375</v>
      </c>
      <c r="B3693" s="27" t="s">
        <v>1376</v>
      </c>
    </row>
    <row r="3694" spans="1:2" ht="15.75" customHeight="1" x14ac:dyDescent="0.25">
      <c r="A3694" s="27" t="s">
        <v>1375</v>
      </c>
      <c r="B3694" s="27" t="s">
        <v>1376</v>
      </c>
    </row>
    <row r="3695" spans="1:2" ht="15.75" customHeight="1" x14ac:dyDescent="0.25">
      <c r="A3695" s="27" t="s">
        <v>1375</v>
      </c>
      <c r="B3695" s="27" t="s">
        <v>1376</v>
      </c>
    </row>
    <row r="3696" spans="1:2" ht="15.75" customHeight="1" x14ac:dyDescent="0.25">
      <c r="A3696" s="27" t="s">
        <v>1375</v>
      </c>
      <c r="B3696" s="27" t="s">
        <v>1376</v>
      </c>
    </row>
    <row r="3697" spans="1:2" ht="15.75" customHeight="1" x14ac:dyDescent="0.25">
      <c r="A3697" s="27" t="s">
        <v>1375</v>
      </c>
      <c r="B3697" s="27" t="s">
        <v>1376</v>
      </c>
    </row>
    <row r="3698" spans="1:2" ht="15.75" customHeight="1" x14ac:dyDescent="0.25">
      <c r="A3698" s="27" t="s">
        <v>1375</v>
      </c>
      <c r="B3698" s="27" t="s">
        <v>1376</v>
      </c>
    </row>
    <row r="3699" spans="1:2" ht="15.75" customHeight="1" x14ac:dyDescent="0.25">
      <c r="A3699" s="27" t="s">
        <v>1375</v>
      </c>
      <c r="B3699" s="27" t="s">
        <v>1376</v>
      </c>
    </row>
    <row r="3700" spans="1:2" ht="15.75" customHeight="1" x14ac:dyDescent="0.25">
      <c r="A3700" s="27" t="s">
        <v>1377</v>
      </c>
      <c r="B3700" s="27" t="s">
        <v>1378</v>
      </c>
    </row>
    <row r="3701" spans="1:2" ht="15.75" customHeight="1" x14ac:dyDescent="0.25">
      <c r="A3701" s="27" t="s">
        <v>1377</v>
      </c>
      <c r="B3701" s="27" t="s">
        <v>1378</v>
      </c>
    </row>
    <row r="3702" spans="1:2" ht="15.75" customHeight="1" x14ac:dyDescent="0.25">
      <c r="A3702" s="27" t="s">
        <v>1379</v>
      </c>
      <c r="B3702" s="27" t="s">
        <v>1380</v>
      </c>
    </row>
    <row r="3703" spans="1:2" ht="15.75" customHeight="1" x14ac:dyDescent="0.25">
      <c r="A3703" s="27" t="s">
        <v>1381</v>
      </c>
      <c r="B3703" s="27" t="s">
        <v>1382</v>
      </c>
    </row>
    <row r="3704" spans="1:2" ht="15.75" customHeight="1" x14ac:dyDescent="0.25">
      <c r="A3704" s="27" t="s">
        <v>1381</v>
      </c>
      <c r="B3704" s="27" t="s">
        <v>1382</v>
      </c>
    </row>
    <row r="3705" spans="1:2" ht="15.75" customHeight="1" x14ac:dyDescent="0.25">
      <c r="A3705" s="27" t="s">
        <v>1383</v>
      </c>
      <c r="B3705" s="27" t="s">
        <v>1384</v>
      </c>
    </row>
    <row r="3706" spans="1:2" ht="15.75" customHeight="1" x14ac:dyDescent="0.25">
      <c r="A3706" s="27" t="s">
        <v>1385</v>
      </c>
      <c r="B3706" s="27" t="s">
        <v>1386</v>
      </c>
    </row>
    <row r="3707" spans="1:2" ht="15.75" customHeight="1" x14ac:dyDescent="0.25">
      <c r="A3707" s="27" t="s">
        <v>1387</v>
      </c>
      <c r="B3707" s="27" t="s">
        <v>1388</v>
      </c>
    </row>
    <row r="3708" spans="1:2" ht="15.75" customHeight="1" x14ac:dyDescent="0.25">
      <c r="A3708" s="27" t="s">
        <v>1389</v>
      </c>
      <c r="B3708" s="27" t="s">
        <v>1390</v>
      </c>
    </row>
    <row r="3709" spans="1:2" ht="15.75" customHeight="1" x14ac:dyDescent="0.25">
      <c r="A3709" s="27" t="s">
        <v>1389</v>
      </c>
      <c r="B3709" s="27" t="s">
        <v>1390</v>
      </c>
    </row>
    <row r="3710" spans="1:2" ht="15.75" customHeight="1" x14ac:dyDescent="0.25">
      <c r="A3710" s="27" t="s">
        <v>1391</v>
      </c>
      <c r="B3710" s="27" t="s">
        <v>1392</v>
      </c>
    </row>
    <row r="3711" spans="1:2" ht="15.75" customHeight="1" x14ac:dyDescent="0.25">
      <c r="A3711" s="27" t="s">
        <v>1391</v>
      </c>
      <c r="B3711" s="27" t="s">
        <v>1392</v>
      </c>
    </row>
    <row r="3712" spans="1:2" ht="15.75" customHeight="1" x14ac:dyDescent="0.25">
      <c r="A3712" s="27" t="s">
        <v>1393</v>
      </c>
      <c r="B3712" s="27" t="s">
        <v>1394</v>
      </c>
    </row>
    <row r="3713" spans="1:2" ht="15.75" customHeight="1" x14ac:dyDescent="0.25">
      <c r="A3713" s="27" t="s">
        <v>1393</v>
      </c>
      <c r="B3713" s="27" t="s">
        <v>1394</v>
      </c>
    </row>
    <row r="3714" spans="1:2" ht="15.75" customHeight="1" x14ac:dyDescent="0.25">
      <c r="A3714" s="27" t="s">
        <v>1393</v>
      </c>
      <c r="B3714" s="27" t="s">
        <v>1394</v>
      </c>
    </row>
    <row r="3715" spans="1:2" ht="15.75" customHeight="1" x14ac:dyDescent="0.25">
      <c r="A3715" s="27" t="s">
        <v>1395</v>
      </c>
      <c r="B3715" s="27" t="s">
        <v>1396</v>
      </c>
    </row>
    <row r="3716" spans="1:2" ht="15.75" customHeight="1" x14ac:dyDescent="0.25">
      <c r="A3716" s="27" t="s">
        <v>1395</v>
      </c>
      <c r="B3716" s="27" t="s">
        <v>1396</v>
      </c>
    </row>
    <row r="3717" spans="1:2" ht="15.75" customHeight="1" x14ac:dyDescent="0.25">
      <c r="A3717" s="27" t="s">
        <v>1397</v>
      </c>
      <c r="B3717" s="27" t="s">
        <v>1398</v>
      </c>
    </row>
    <row r="3718" spans="1:2" ht="15.75" customHeight="1" x14ac:dyDescent="0.25">
      <c r="A3718" s="27" t="s">
        <v>1399</v>
      </c>
      <c r="B3718" s="27" t="s">
        <v>1400</v>
      </c>
    </row>
    <row r="3719" spans="1:2" ht="15.75" customHeight="1" x14ac:dyDescent="0.25">
      <c r="A3719" s="27" t="s">
        <v>1401</v>
      </c>
      <c r="B3719" s="27" t="s">
        <v>1402</v>
      </c>
    </row>
    <row r="3720" spans="1:2" ht="15.75" customHeight="1" x14ac:dyDescent="0.25">
      <c r="A3720" s="27" t="s">
        <v>1401</v>
      </c>
      <c r="B3720" s="27" t="s">
        <v>1402</v>
      </c>
    </row>
    <row r="3721" spans="1:2" ht="15.75" customHeight="1" x14ac:dyDescent="0.25">
      <c r="A3721" s="27" t="s">
        <v>1403</v>
      </c>
      <c r="B3721" s="27" t="s">
        <v>1404</v>
      </c>
    </row>
    <row r="3722" spans="1:2" ht="15.75" customHeight="1" x14ac:dyDescent="0.25">
      <c r="A3722" s="27" t="s">
        <v>1405</v>
      </c>
      <c r="B3722" s="27" t="s">
        <v>1406</v>
      </c>
    </row>
    <row r="3723" spans="1:2" ht="15.75" customHeight="1" x14ac:dyDescent="0.25">
      <c r="A3723" s="27" t="s">
        <v>1405</v>
      </c>
      <c r="B3723" s="27" t="s">
        <v>1406</v>
      </c>
    </row>
    <row r="3724" spans="1:2" ht="15.75" customHeight="1" x14ac:dyDescent="0.25">
      <c r="A3724" s="27" t="s">
        <v>1407</v>
      </c>
      <c r="B3724" s="27" t="s">
        <v>1408</v>
      </c>
    </row>
    <row r="3725" spans="1:2" ht="15.75" customHeight="1" x14ac:dyDescent="0.25">
      <c r="A3725" s="27" t="s">
        <v>1409</v>
      </c>
      <c r="B3725" s="27" t="s">
        <v>1410</v>
      </c>
    </row>
    <row r="3726" spans="1:2" ht="15.75" customHeight="1" x14ac:dyDescent="0.25">
      <c r="A3726" s="27" t="s">
        <v>1411</v>
      </c>
      <c r="B3726" s="27" t="s">
        <v>1412</v>
      </c>
    </row>
    <row r="3727" spans="1:2" ht="15.75" customHeight="1" x14ac:dyDescent="0.25">
      <c r="A3727" s="27" t="s">
        <v>1411</v>
      </c>
      <c r="B3727" s="27" t="s">
        <v>1412</v>
      </c>
    </row>
    <row r="3728" spans="1:2" ht="15.75" customHeight="1" x14ac:dyDescent="0.25">
      <c r="A3728" s="27" t="s">
        <v>1413</v>
      </c>
      <c r="B3728" s="27" t="s">
        <v>1414</v>
      </c>
    </row>
    <row r="3729" spans="1:2" ht="15.75" customHeight="1" x14ac:dyDescent="0.25">
      <c r="A3729" s="27" t="s">
        <v>1413</v>
      </c>
      <c r="B3729" s="27" t="s">
        <v>1414</v>
      </c>
    </row>
    <row r="3730" spans="1:2" ht="15.75" customHeight="1" x14ac:dyDescent="0.25">
      <c r="A3730" s="27" t="s">
        <v>1413</v>
      </c>
      <c r="B3730" s="27" t="s">
        <v>1414</v>
      </c>
    </row>
    <row r="3731" spans="1:2" ht="15.75" customHeight="1" x14ac:dyDescent="0.25">
      <c r="A3731" s="27" t="s">
        <v>1413</v>
      </c>
      <c r="B3731" s="27" t="s">
        <v>1414</v>
      </c>
    </row>
    <row r="3732" spans="1:2" ht="15.75" customHeight="1" x14ac:dyDescent="0.25">
      <c r="A3732" s="27" t="s">
        <v>1415</v>
      </c>
      <c r="B3732" s="27" t="s">
        <v>1416</v>
      </c>
    </row>
    <row r="3733" spans="1:2" ht="15.75" customHeight="1" x14ac:dyDescent="0.25">
      <c r="A3733" s="27" t="s">
        <v>1415</v>
      </c>
      <c r="B3733" s="27" t="s">
        <v>1416</v>
      </c>
    </row>
    <row r="3734" spans="1:2" ht="15.75" customHeight="1" x14ac:dyDescent="0.25">
      <c r="A3734" s="27" t="s">
        <v>1415</v>
      </c>
      <c r="B3734" s="27" t="s">
        <v>1416</v>
      </c>
    </row>
    <row r="3735" spans="1:2" ht="15.75" customHeight="1" x14ac:dyDescent="0.25">
      <c r="A3735" s="27" t="s">
        <v>1415</v>
      </c>
      <c r="B3735" s="27" t="s">
        <v>1416</v>
      </c>
    </row>
    <row r="3736" spans="1:2" ht="15.75" customHeight="1" x14ac:dyDescent="0.25">
      <c r="A3736" s="27" t="s">
        <v>1415</v>
      </c>
      <c r="B3736" s="27" t="s">
        <v>1416</v>
      </c>
    </row>
    <row r="3737" spans="1:2" ht="15.75" customHeight="1" x14ac:dyDescent="0.25">
      <c r="A3737" s="27" t="s">
        <v>1415</v>
      </c>
      <c r="B3737" s="27" t="s">
        <v>1416</v>
      </c>
    </row>
    <row r="3738" spans="1:2" ht="15.75" customHeight="1" x14ac:dyDescent="0.25">
      <c r="A3738" s="27" t="s">
        <v>1415</v>
      </c>
      <c r="B3738" s="27" t="s">
        <v>1416</v>
      </c>
    </row>
    <row r="3739" spans="1:2" ht="15.75" customHeight="1" x14ac:dyDescent="0.25">
      <c r="A3739" s="27" t="s">
        <v>1415</v>
      </c>
      <c r="B3739" s="27" t="s">
        <v>1416</v>
      </c>
    </row>
    <row r="3740" spans="1:2" ht="15.75" customHeight="1" x14ac:dyDescent="0.25">
      <c r="A3740" s="27" t="s">
        <v>1417</v>
      </c>
      <c r="B3740" s="27" t="s">
        <v>1418</v>
      </c>
    </row>
    <row r="3741" spans="1:2" ht="15.75" customHeight="1" x14ac:dyDescent="0.25">
      <c r="A3741" s="27" t="s">
        <v>1417</v>
      </c>
      <c r="B3741" s="27" t="s">
        <v>1418</v>
      </c>
    </row>
    <row r="3742" spans="1:2" ht="15.75" customHeight="1" x14ac:dyDescent="0.25">
      <c r="A3742" s="27" t="s">
        <v>1417</v>
      </c>
      <c r="B3742" s="27" t="s">
        <v>1418</v>
      </c>
    </row>
    <row r="3743" spans="1:2" ht="15.75" customHeight="1" x14ac:dyDescent="0.25">
      <c r="A3743" s="27" t="s">
        <v>1419</v>
      </c>
      <c r="B3743" s="27" t="s">
        <v>1420</v>
      </c>
    </row>
    <row r="3744" spans="1:2" ht="15.75" customHeight="1" x14ac:dyDescent="0.25">
      <c r="A3744" s="27" t="s">
        <v>1419</v>
      </c>
      <c r="B3744" s="27" t="s">
        <v>1420</v>
      </c>
    </row>
    <row r="3745" spans="1:2" ht="15.75" customHeight="1" x14ac:dyDescent="0.25">
      <c r="A3745" s="27" t="s">
        <v>1421</v>
      </c>
      <c r="B3745" s="27" t="s">
        <v>1422</v>
      </c>
    </row>
    <row r="3746" spans="1:2" ht="15.75" customHeight="1" x14ac:dyDescent="0.25">
      <c r="A3746" s="27" t="s">
        <v>1421</v>
      </c>
      <c r="B3746" s="27" t="s">
        <v>1422</v>
      </c>
    </row>
    <row r="3747" spans="1:2" ht="15.75" customHeight="1" x14ac:dyDescent="0.25">
      <c r="A3747" s="27" t="s">
        <v>1421</v>
      </c>
      <c r="B3747" s="27" t="s">
        <v>1422</v>
      </c>
    </row>
    <row r="3748" spans="1:2" ht="15.75" customHeight="1" x14ac:dyDescent="0.25">
      <c r="A3748" s="27" t="s">
        <v>1421</v>
      </c>
      <c r="B3748" s="27" t="s">
        <v>1422</v>
      </c>
    </row>
    <row r="3749" spans="1:2" ht="15.75" customHeight="1" x14ac:dyDescent="0.25">
      <c r="A3749" s="27" t="s">
        <v>1423</v>
      </c>
      <c r="B3749" s="27" t="s">
        <v>1424</v>
      </c>
    </row>
    <row r="3750" spans="1:2" ht="15.75" customHeight="1" x14ac:dyDescent="0.25">
      <c r="A3750" s="27" t="s">
        <v>1423</v>
      </c>
      <c r="B3750" s="27" t="s">
        <v>1424</v>
      </c>
    </row>
    <row r="3751" spans="1:2" ht="15.75" customHeight="1" x14ac:dyDescent="0.25">
      <c r="A3751" s="27" t="s">
        <v>1425</v>
      </c>
      <c r="B3751" s="27" t="s">
        <v>1426</v>
      </c>
    </row>
    <row r="3752" spans="1:2" ht="15.75" customHeight="1" x14ac:dyDescent="0.25">
      <c r="A3752" s="27" t="s">
        <v>1425</v>
      </c>
      <c r="B3752" s="27" t="s">
        <v>1426</v>
      </c>
    </row>
    <row r="3753" spans="1:2" ht="15.75" customHeight="1" x14ac:dyDescent="0.25">
      <c r="A3753" s="27" t="s">
        <v>1425</v>
      </c>
      <c r="B3753" s="27" t="s">
        <v>1426</v>
      </c>
    </row>
    <row r="3754" spans="1:2" ht="15.75" customHeight="1" x14ac:dyDescent="0.25">
      <c r="A3754" s="27" t="s">
        <v>1425</v>
      </c>
      <c r="B3754" s="27" t="s">
        <v>1426</v>
      </c>
    </row>
    <row r="3755" spans="1:2" ht="15.75" customHeight="1" x14ac:dyDescent="0.25">
      <c r="A3755" s="27" t="s">
        <v>1425</v>
      </c>
      <c r="B3755" s="27" t="s">
        <v>1426</v>
      </c>
    </row>
    <row r="3756" spans="1:2" ht="15.75" customHeight="1" x14ac:dyDescent="0.25">
      <c r="A3756" s="27" t="s">
        <v>1425</v>
      </c>
      <c r="B3756" s="27" t="s">
        <v>1426</v>
      </c>
    </row>
    <row r="3757" spans="1:2" ht="15.75" customHeight="1" x14ac:dyDescent="0.25">
      <c r="A3757" s="27" t="s">
        <v>1425</v>
      </c>
      <c r="B3757" s="27" t="s">
        <v>1426</v>
      </c>
    </row>
    <row r="3758" spans="1:2" ht="15.75" customHeight="1" x14ac:dyDescent="0.25">
      <c r="A3758" s="27" t="s">
        <v>1425</v>
      </c>
      <c r="B3758" s="27" t="s">
        <v>1426</v>
      </c>
    </row>
    <row r="3759" spans="1:2" ht="15.75" customHeight="1" x14ac:dyDescent="0.25">
      <c r="A3759" s="27" t="s">
        <v>1425</v>
      </c>
      <c r="B3759" s="27" t="s">
        <v>1426</v>
      </c>
    </row>
    <row r="3760" spans="1:2" ht="15.75" customHeight="1" x14ac:dyDescent="0.25">
      <c r="A3760" s="27" t="s">
        <v>1425</v>
      </c>
      <c r="B3760" s="27" t="s">
        <v>1426</v>
      </c>
    </row>
    <row r="3761" spans="1:2" ht="15.75" customHeight="1" x14ac:dyDescent="0.25">
      <c r="A3761" s="27" t="s">
        <v>1425</v>
      </c>
      <c r="B3761" s="27" t="s">
        <v>1426</v>
      </c>
    </row>
    <row r="3762" spans="1:2" ht="15.75" customHeight="1" x14ac:dyDescent="0.25">
      <c r="A3762" s="27" t="s">
        <v>1425</v>
      </c>
      <c r="B3762" s="27" t="s">
        <v>1426</v>
      </c>
    </row>
    <row r="3763" spans="1:2" ht="15.75" customHeight="1" x14ac:dyDescent="0.25">
      <c r="A3763" s="27" t="s">
        <v>1425</v>
      </c>
      <c r="B3763" s="27" t="s">
        <v>1426</v>
      </c>
    </row>
    <row r="3764" spans="1:2" ht="15.75" customHeight="1" x14ac:dyDescent="0.25">
      <c r="A3764" s="27" t="s">
        <v>1425</v>
      </c>
      <c r="B3764" s="27" t="s">
        <v>1426</v>
      </c>
    </row>
    <row r="3765" spans="1:2" ht="15.75" customHeight="1" x14ac:dyDescent="0.25">
      <c r="A3765" s="27" t="s">
        <v>1425</v>
      </c>
      <c r="B3765" s="27" t="s">
        <v>1426</v>
      </c>
    </row>
    <row r="3766" spans="1:2" ht="15.75" customHeight="1" x14ac:dyDescent="0.25">
      <c r="A3766" s="27" t="s">
        <v>1425</v>
      </c>
      <c r="B3766" s="27" t="s">
        <v>1426</v>
      </c>
    </row>
    <row r="3767" spans="1:2" ht="15.75" customHeight="1" x14ac:dyDescent="0.25">
      <c r="A3767" s="27" t="s">
        <v>1425</v>
      </c>
      <c r="B3767" s="27" t="s">
        <v>1426</v>
      </c>
    </row>
    <row r="3768" spans="1:2" ht="15.75" customHeight="1" x14ac:dyDescent="0.25">
      <c r="A3768" s="27" t="s">
        <v>1425</v>
      </c>
      <c r="B3768" s="27" t="s">
        <v>1426</v>
      </c>
    </row>
    <row r="3769" spans="1:2" ht="15.75" customHeight="1" x14ac:dyDescent="0.25">
      <c r="A3769" s="27" t="s">
        <v>1425</v>
      </c>
      <c r="B3769" s="27" t="s">
        <v>1426</v>
      </c>
    </row>
    <row r="3770" spans="1:2" ht="15.75" customHeight="1" x14ac:dyDescent="0.25">
      <c r="A3770" s="27" t="s">
        <v>1425</v>
      </c>
      <c r="B3770" s="27" t="s">
        <v>1426</v>
      </c>
    </row>
    <row r="3771" spans="1:2" ht="15.75" customHeight="1" x14ac:dyDescent="0.25">
      <c r="A3771" s="27" t="s">
        <v>1425</v>
      </c>
      <c r="B3771" s="27" t="s">
        <v>1426</v>
      </c>
    </row>
    <row r="3772" spans="1:2" ht="15.75" customHeight="1" x14ac:dyDescent="0.25">
      <c r="A3772" s="27" t="s">
        <v>1425</v>
      </c>
      <c r="B3772" s="27" t="s">
        <v>1426</v>
      </c>
    </row>
    <row r="3773" spans="1:2" ht="15.75" customHeight="1" x14ac:dyDescent="0.25">
      <c r="A3773" s="27" t="s">
        <v>1427</v>
      </c>
      <c r="B3773" s="27" t="s">
        <v>1428</v>
      </c>
    </row>
    <row r="3774" spans="1:2" ht="15.75" customHeight="1" x14ac:dyDescent="0.25">
      <c r="A3774" s="27" t="s">
        <v>1427</v>
      </c>
      <c r="B3774" s="27" t="s">
        <v>1428</v>
      </c>
    </row>
    <row r="3775" spans="1:2" ht="15.75" customHeight="1" x14ac:dyDescent="0.25">
      <c r="A3775" s="27" t="s">
        <v>1427</v>
      </c>
      <c r="B3775" s="27" t="s">
        <v>1428</v>
      </c>
    </row>
    <row r="3776" spans="1:2" ht="15.75" customHeight="1" x14ac:dyDescent="0.25">
      <c r="A3776" s="27" t="s">
        <v>1429</v>
      </c>
      <c r="B3776" s="27" t="s">
        <v>1430</v>
      </c>
    </row>
    <row r="3777" spans="1:2" ht="15.75" customHeight="1" x14ac:dyDescent="0.25">
      <c r="A3777" s="27" t="s">
        <v>1429</v>
      </c>
      <c r="B3777" s="27" t="s">
        <v>1430</v>
      </c>
    </row>
    <row r="3778" spans="1:2" ht="15.75" customHeight="1" x14ac:dyDescent="0.25">
      <c r="A3778" s="27" t="s">
        <v>1431</v>
      </c>
      <c r="B3778" s="27" t="s">
        <v>1432</v>
      </c>
    </row>
    <row r="3779" spans="1:2" ht="15.75" customHeight="1" x14ac:dyDescent="0.25">
      <c r="A3779" s="27" t="s">
        <v>1433</v>
      </c>
      <c r="B3779" s="27" t="s">
        <v>1434</v>
      </c>
    </row>
    <row r="3780" spans="1:2" ht="15.75" customHeight="1" x14ac:dyDescent="0.25">
      <c r="A3780" s="27" t="s">
        <v>1435</v>
      </c>
      <c r="B3780" s="27" t="s">
        <v>1436</v>
      </c>
    </row>
    <row r="3781" spans="1:2" ht="15.75" customHeight="1" x14ac:dyDescent="0.25">
      <c r="A3781" s="27" t="s">
        <v>1435</v>
      </c>
      <c r="B3781" s="27" t="s">
        <v>1436</v>
      </c>
    </row>
    <row r="3782" spans="1:2" ht="15.75" customHeight="1" x14ac:dyDescent="0.25">
      <c r="A3782" s="27" t="s">
        <v>1435</v>
      </c>
      <c r="B3782" s="27" t="s">
        <v>1436</v>
      </c>
    </row>
    <row r="3783" spans="1:2" ht="15.75" customHeight="1" x14ac:dyDescent="0.25">
      <c r="A3783" s="27" t="s">
        <v>1435</v>
      </c>
      <c r="B3783" s="27" t="s">
        <v>1436</v>
      </c>
    </row>
    <row r="3784" spans="1:2" ht="15.75" customHeight="1" x14ac:dyDescent="0.25">
      <c r="A3784" s="27" t="s">
        <v>1437</v>
      </c>
      <c r="B3784" s="27" t="s">
        <v>1438</v>
      </c>
    </row>
    <row r="3785" spans="1:2" ht="15.75" customHeight="1" x14ac:dyDescent="0.25">
      <c r="A3785" s="27" t="s">
        <v>1439</v>
      </c>
      <c r="B3785" s="27" t="s">
        <v>1440</v>
      </c>
    </row>
    <row r="3786" spans="1:2" ht="15.75" customHeight="1" x14ac:dyDescent="0.25">
      <c r="A3786" s="27" t="s">
        <v>1439</v>
      </c>
      <c r="B3786" s="27" t="s">
        <v>1440</v>
      </c>
    </row>
    <row r="3787" spans="1:2" ht="15.75" customHeight="1" x14ac:dyDescent="0.25">
      <c r="A3787" s="27" t="s">
        <v>1439</v>
      </c>
      <c r="B3787" s="27" t="s">
        <v>1440</v>
      </c>
    </row>
    <row r="3788" spans="1:2" ht="15.75" customHeight="1" x14ac:dyDescent="0.25">
      <c r="A3788" s="27" t="s">
        <v>1439</v>
      </c>
      <c r="B3788" s="27" t="s">
        <v>1440</v>
      </c>
    </row>
    <row r="3789" spans="1:2" ht="15.75" customHeight="1" x14ac:dyDescent="0.25">
      <c r="A3789" s="27" t="s">
        <v>1441</v>
      </c>
      <c r="B3789" s="27" t="s">
        <v>1442</v>
      </c>
    </row>
    <row r="3790" spans="1:2" ht="15.75" customHeight="1" x14ac:dyDescent="0.25">
      <c r="A3790" s="27" t="s">
        <v>1443</v>
      </c>
      <c r="B3790" s="27" t="s">
        <v>1444</v>
      </c>
    </row>
    <row r="3791" spans="1:2" ht="15.75" customHeight="1" x14ac:dyDescent="0.25">
      <c r="A3791" s="27" t="s">
        <v>1445</v>
      </c>
      <c r="B3791" s="27" t="s">
        <v>1446</v>
      </c>
    </row>
    <row r="3792" spans="1:2" ht="15.75" customHeight="1" x14ac:dyDescent="0.25">
      <c r="A3792" s="27" t="s">
        <v>1445</v>
      </c>
      <c r="B3792" s="27" t="s">
        <v>1446</v>
      </c>
    </row>
    <row r="3793" spans="1:2" ht="15.75" customHeight="1" x14ac:dyDescent="0.25">
      <c r="A3793" s="27" t="s">
        <v>1447</v>
      </c>
      <c r="B3793" s="27" t="s">
        <v>1448</v>
      </c>
    </row>
    <row r="3794" spans="1:2" ht="15.75" customHeight="1" x14ac:dyDescent="0.25">
      <c r="A3794" s="27" t="s">
        <v>1449</v>
      </c>
      <c r="B3794" s="27" t="s">
        <v>1450</v>
      </c>
    </row>
    <row r="3795" spans="1:2" ht="15.75" customHeight="1" x14ac:dyDescent="0.25">
      <c r="A3795" s="27" t="s">
        <v>1451</v>
      </c>
      <c r="B3795" s="27" t="s">
        <v>1452</v>
      </c>
    </row>
    <row r="3796" spans="1:2" ht="15.75" customHeight="1" x14ac:dyDescent="0.25">
      <c r="A3796" s="27" t="s">
        <v>1451</v>
      </c>
      <c r="B3796" s="27" t="s">
        <v>1452</v>
      </c>
    </row>
    <row r="3797" spans="1:2" ht="15.75" customHeight="1" x14ac:dyDescent="0.25">
      <c r="A3797" s="27" t="s">
        <v>1451</v>
      </c>
      <c r="B3797" s="27" t="s">
        <v>1452</v>
      </c>
    </row>
    <row r="3798" spans="1:2" ht="15.75" customHeight="1" x14ac:dyDescent="0.25">
      <c r="A3798" s="27" t="s">
        <v>1453</v>
      </c>
      <c r="B3798" s="27" t="s">
        <v>1454</v>
      </c>
    </row>
    <row r="3799" spans="1:2" ht="15.75" customHeight="1" x14ac:dyDescent="0.25">
      <c r="A3799" s="27" t="s">
        <v>1453</v>
      </c>
      <c r="B3799" s="27" t="s">
        <v>1454</v>
      </c>
    </row>
    <row r="3800" spans="1:2" ht="15.75" customHeight="1" x14ac:dyDescent="0.25">
      <c r="A3800" s="27" t="s">
        <v>1453</v>
      </c>
      <c r="B3800" s="27" t="s">
        <v>1454</v>
      </c>
    </row>
    <row r="3801" spans="1:2" ht="15.75" customHeight="1" x14ac:dyDescent="0.25">
      <c r="A3801" s="27" t="s">
        <v>1453</v>
      </c>
      <c r="B3801" s="27" t="s">
        <v>1454</v>
      </c>
    </row>
    <row r="3802" spans="1:2" ht="15.75" customHeight="1" x14ac:dyDescent="0.25">
      <c r="A3802" s="27" t="s">
        <v>1453</v>
      </c>
      <c r="B3802" s="27" t="s">
        <v>1454</v>
      </c>
    </row>
    <row r="3803" spans="1:2" ht="15.75" customHeight="1" x14ac:dyDescent="0.25">
      <c r="A3803" s="27" t="s">
        <v>1453</v>
      </c>
      <c r="B3803" s="27" t="s">
        <v>1454</v>
      </c>
    </row>
    <row r="3804" spans="1:2" ht="15.75" customHeight="1" x14ac:dyDescent="0.25">
      <c r="A3804" s="27" t="s">
        <v>1453</v>
      </c>
      <c r="B3804" s="27" t="s">
        <v>1454</v>
      </c>
    </row>
    <row r="3805" spans="1:2" ht="15.75" customHeight="1" x14ac:dyDescent="0.25">
      <c r="A3805" s="27" t="s">
        <v>1455</v>
      </c>
      <c r="B3805" s="27" t="s">
        <v>485</v>
      </c>
    </row>
    <row r="3806" spans="1:2" ht="15.75" customHeight="1" x14ac:dyDescent="0.25">
      <c r="A3806" s="27" t="s">
        <v>1455</v>
      </c>
      <c r="B3806" s="27" t="s">
        <v>485</v>
      </c>
    </row>
    <row r="3807" spans="1:2" ht="15.75" customHeight="1" x14ac:dyDescent="0.25">
      <c r="A3807" s="27" t="s">
        <v>1455</v>
      </c>
      <c r="B3807" s="27" t="s">
        <v>485</v>
      </c>
    </row>
    <row r="3808" spans="1:2" ht="15.75" customHeight="1" x14ac:dyDescent="0.25">
      <c r="A3808" s="27" t="s">
        <v>1455</v>
      </c>
      <c r="B3808" s="27" t="s">
        <v>485</v>
      </c>
    </row>
    <row r="3809" spans="1:2" ht="15.75" customHeight="1" x14ac:dyDescent="0.25">
      <c r="A3809" s="27" t="s">
        <v>1455</v>
      </c>
      <c r="B3809" s="27" t="s">
        <v>485</v>
      </c>
    </row>
    <row r="3810" spans="1:2" ht="15.75" customHeight="1" x14ac:dyDescent="0.25">
      <c r="A3810" s="27" t="s">
        <v>1455</v>
      </c>
      <c r="B3810" s="27" t="s">
        <v>485</v>
      </c>
    </row>
    <row r="3811" spans="1:2" ht="15.75" customHeight="1" x14ac:dyDescent="0.25">
      <c r="A3811" s="27" t="s">
        <v>1455</v>
      </c>
      <c r="B3811" s="27" t="s">
        <v>485</v>
      </c>
    </row>
    <row r="3812" spans="1:2" ht="15.75" customHeight="1" x14ac:dyDescent="0.25">
      <c r="A3812" s="27" t="s">
        <v>1455</v>
      </c>
      <c r="B3812" s="27" t="s">
        <v>485</v>
      </c>
    </row>
    <row r="3813" spans="1:2" ht="15.75" customHeight="1" x14ac:dyDescent="0.25">
      <c r="A3813" s="27" t="s">
        <v>1455</v>
      </c>
      <c r="B3813" s="27" t="s">
        <v>485</v>
      </c>
    </row>
    <row r="3814" spans="1:2" ht="15.75" customHeight="1" x14ac:dyDescent="0.25">
      <c r="A3814" s="27" t="s">
        <v>1456</v>
      </c>
      <c r="B3814" s="27" t="s">
        <v>1457</v>
      </c>
    </row>
    <row r="3815" spans="1:2" ht="15.75" customHeight="1" x14ac:dyDescent="0.25">
      <c r="A3815" s="27" t="s">
        <v>1456</v>
      </c>
      <c r="B3815" s="27" t="s">
        <v>1457</v>
      </c>
    </row>
    <row r="3816" spans="1:2" ht="15.75" customHeight="1" x14ac:dyDescent="0.25">
      <c r="A3816" s="27" t="s">
        <v>1456</v>
      </c>
      <c r="B3816" s="27" t="s">
        <v>1457</v>
      </c>
    </row>
    <row r="3817" spans="1:2" ht="15.75" customHeight="1" x14ac:dyDescent="0.25">
      <c r="A3817" s="27" t="s">
        <v>529</v>
      </c>
      <c r="B3817" s="27" t="s">
        <v>1458</v>
      </c>
    </row>
    <row r="3818" spans="1:2" ht="15.75" customHeight="1" x14ac:dyDescent="0.25">
      <c r="A3818" s="27" t="s">
        <v>529</v>
      </c>
      <c r="B3818" s="27" t="s">
        <v>1458</v>
      </c>
    </row>
    <row r="3819" spans="1:2" ht="15.75" customHeight="1" x14ac:dyDescent="0.25">
      <c r="A3819" s="27" t="s">
        <v>1459</v>
      </c>
      <c r="B3819" s="27" t="s">
        <v>1460</v>
      </c>
    </row>
    <row r="3820" spans="1:2" ht="15.75" customHeight="1" x14ac:dyDescent="0.25">
      <c r="A3820" s="27" t="s">
        <v>1459</v>
      </c>
      <c r="B3820" s="27" t="s">
        <v>1460</v>
      </c>
    </row>
    <row r="3821" spans="1:2" ht="15.75" customHeight="1" x14ac:dyDescent="0.25">
      <c r="A3821" s="27" t="s">
        <v>1459</v>
      </c>
      <c r="B3821" s="27" t="s">
        <v>1460</v>
      </c>
    </row>
    <row r="3822" spans="1:2" ht="15.75" customHeight="1" x14ac:dyDescent="0.25">
      <c r="A3822" s="27" t="s">
        <v>1461</v>
      </c>
      <c r="B3822" s="27" t="s">
        <v>1462</v>
      </c>
    </row>
    <row r="3823" spans="1:2" ht="15.75" customHeight="1" x14ac:dyDescent="0.25">
      <c r="A3823" s="27" t="s">
        <v>1461</v>
      </c>
      <c r="B3823" s="27" t="s">
        <v>1462</v>
      </c>
    </row>
    <row r="3824" spans="1:2" ht="15.75" customHeight="1" x14ac:dyDescent="0.25">
      <c r="A3824" s="27" t="s">
        <v>1461</v>
      </c>
      <c r="B3824" s="27" t="s">
        <v>1462</v>
      </c>
    </row>
    <row r="3825" spans="1:2" ht="15.75" customHeight="1" x14ac:dyDescent="0.25">
      <c r="A3825" s="27" t="s">
        <v>1463</v>
      </c>
      <c r="B3825" s="27" t="s">
        <v>1464</v>
      </c>
    </row>
    <row r="3826" spans="1:2" ht="15.75" customHeight="1" x14ac:dyDescent="0.25">
      <c r="A3826" s="27" t="s">
        <v>1465</v>
      </c>
      <c r="B3826" s="27" t="s">
        <v>1466</v>
      </c>
    </row>
    <row r="3827" spans="1:2" ht="15.75" customHeight="1" x14ac:dyDescent="0.25">
      <c r="A3827" s="27" t="s">
        <v>1467</v>
      </c>
      <c r="B3827" s="27" t="s">
        <v>1468</v>
      </c>
    </row>
    <row r="3828" spans="1:2" ht="15.75" customHeight="1" x14ac:dyDescent="0.25">
      <c r="A3828" s="27" t="s">
        <v>1469</v>
      </c>
      <c r="B3828" s="27" t="s">
        <v>1470</v>
      </c>
    </row>
    <row r="3829" spans="1:2" ht="15.75" customHeight="1" x14ac:dyDescent="0.25">
      <c r="A3829" s="27" t="s">
        <v>1469</v>
      </c>
      <c r="B3829" s="27" t="s">
        <v>1470</v>
      </c>
    </row>
    <row r="3830" spans="1:2" ht="15.75" customHeight="1" x14ac:dyDescent="0.25">
      <c r="A3830" s="27" t="s">
        <v>1469</v>
      </c>
      <c r="B3830" s="27" t="s">
        <v>1470</v>
      </c>
    </row>
    <row r="3831" spans="1:2" ht="15.75" customHeight="1" x14ac:dyDescent="0.25">
      <c r="A3831" s="27" t="s">
        <v>1471</v>
      </c>
      <c r="B3831" s="27" t="s">
        <v>1472</v>
      </c>
    </row>
    <row r="3832" spans="1:2" ht="15.75" customHeight="1" x14ac:dyDescent="0.25">
      <c r="A3832" s="27" t="s">
        <v>1471</v>
      </c>
      <c r="B3832" s="27" t="s">
        <v>1472</v>
      </c>
    </row>
    <row r="3833" spans="1:2" ht="15.75" customHeight="1" x14ac:dyDescent="0.25">
      <c r="A3833" s="27" t="s">
        <v>1471</v>
      </c>
      <c r="B3833" s="27" t="s">
        <v>1472</v>
      </c>
    </row>
    <row r="3834" spans="1:2" ht="15.75" customHeight="1" x14ac:dyDescent="0.25">
      <c r="A3834" s="27" t="s">
        <v>1471</v>
      </c>
      <c r="B3834" s="27" t="s">
        <v>1472</v>
      </c>
    </row>
    <row r="3835" spans="1:2" ht="15.75" customHeight="1" x14ac:dyDescent="0.25">
      <c r="A3835" s="27" t="s">
        <v>1473</v>
      </c>
      <c r="B3835" s="27" t="s">
        <v>1474</v>
      </c>
    </row>
    <row r="3836" spans="1:2" ht="15.75" customHeight="1" x14ac:dyDescent="0.25">
      <c r="A3836" s="27" t="s">
        <v>1473</v>
      </c>
      <c r="B3836" s="27" t="s">
        <v>1474</v>
      </c>
    </row>
    <row r="3837" spans="1:2" ht="15.75" customHeight="1" x14ac:dyDescent="0.25">
      <c r="A3837" s="27" t="s">
        <v>1475</v>
      </c>
      <c r="B3837" s="27" t="s">
        <v>1476</v>
      </c>
    </row>
    <row r="3838" spans="1:2" ht="15.75" customHeight="1" x14ac:dyDescent="0.25">
      <c r="A3838" s="27" t="s">
        <v>1475</v>
      </c>
      <c r="B3838" s="27" t="s">
        <v>1476</v>
      </c>
    </row>
    <row r="3839" spans="1:2" ht="15.75" customHeight="1" x14ac:dyDescent="0.25">
      <c r="A3839" s="27" t="s">
        <v>1477</v>
      </c>
      <c r="B3839" s="27" t="s">
        <v>1478</v>
      </c>
    </row>
    <row r="3840" spans="1:2" ht="15.75" customHeight="1" x14ac:dyDescent="0.25">
      <c r="A3840" s="27" t="s">
        <v>1479</v>
      </c>
      <c r="B3840" s="27" t="s">
        <v>1480</v>
      </c>
    </row>
    <row r="3841" spans="1:2" ht="15.75" customHeight="1" x14ac:dyDescent="0.25">
      <c r="A3841" s="27" t="s">
        <v>1481</v>
      </c>
      <c r="B3841" s="27" t="s">
        <v>1482</v>
      </c>
    </row>
    <row r="3842" spans="1:2" ht="15.75" customHeight="1" x14ac:dyDescent="0.25">
      <c r="A3842" s="27" t="s">
        <v>1481</v>
      </c>
      <c r="B3842" s="27" t="s">
        <v>1482</v>
      </c>
    </row>
    <row r="3843" spans="1:2" ht="15.75" customHeight="1" x14ac:dyDescent="0.25">
      <c r="A3843" s="27" t="s">
        <v>1481</v>
      </c>
      <c r="B3843" s="27" t="s">
        <v>1482</v>
      </c>
    </row>
    <row r="3844" spans="1:2" ht="15.75" customHeight="1" x14ac:dyDescent="0.25">
      <c r="A3844" s="27" t="s">
        <v>1483</v>
      </c>
      <c r="B3844" s="27" t="s">
        <v>1484</v>
      </c>
    </row>
    <row r="3845" spans="1:2" ht="15.75" customHeight="1" x14ac:dyDescent="0.25">
      <c r="A3845" s="27" t="s">
        <v>1483</v>
      </c>
      <c r="B3845" s="27" t="s">
        <v>1484</v>
      </c>
    </row>
    <row r="3846" spans="1:2" ht="15.75" customHeight="1" x14ac:dyDescent="0.25">
      <c r="A3846" s="27" t="s">
        <v>1483</v>
      </c>
      <c r="B3846" s="27" t="s">
        <v>1484</v>
      </c>
    </row>
    <row r="3847" spans="1:2" ht="15.75" customHeight="1" x14ac:dyDescent="0.25">
      <c r="A3847" s="27" t="s">
        <v>1485</v>
      </c>
      <c r="B3847" s="27" t="s">
        <v>1486</v>
      </c>
    </row>
    <row r="3848" spans="1:2" ht="15.75" customHeight="1" x14ac:dyDescent="0.25">
      <c r="A3848" s="27" t="s">
        <v>1485</v>
      </c>
      <c r="B3848" s="27" t="s">
        <v>1486</v>
      </c>
    </row>
    <row r="3849" spans="1:2" ht="15.75" customHeight="1" x14ac:dyDescent="0.25">
      <c r="A3849" s="27" t="s">
        <v>1487</v>
      </c>
      <c r="B3849" s="27" t="s">
        <v>1488</v>
      </c>
    </row>
    <row r="3850" spans="1:2" ht="15.75" customHeight="1" x14ac:dyDescent="0.25">
      <c r="A3850" s="27" t="s">
        <v>1487</v>
      </c>
      <c r="B3850" s="27" t="s">
        <v>1488</v>
      </c>
    </row>
    <row r="3851" spans="1:2" ht="15.75" customHeight="1" x14ac:dyDescent="0.25">
      <c r="A3851" s="27" t="s">
        <v>1489</v>
      </c>
      <c r="B3851" s="27" t="s">
        <v>1490</v>
      </c>
    </row>
    <row r="3852" spans="1:2" ht="15.75" customHeight="1" x14ac:dyDescent="0.25">
      <c r="A3852" s="27" t="s">
        <v>1491</v>
      </c>
      <c r="B3852" s="27" t="s">
        <v>1492</v>
      </c>
    </row>
    <row r="3853" spans="1:2" ht="15.75" customHeight="1" x14ac:dyDescent="0.25">
      <c r="A3853" s="27" t="s">
        <v>1491</v>
      </c>
      <c r="B3853" s="27" t="s">
        <v>1492</v>
      </c>
    </row>
    <row r="3854" spans="1:2" ht="15.75" customHeight="1" x14ac:dyDescent="0.25">
      <c r="A3854" s="27" t="s">
        <v>1493</v>
      </c>
      <c r="B3854" s="27" t="s">
        <v>1494</v>
      </c>
    </row>
    <row r="3855" spans="1:2" ht="15.75" customHeight="1" x14ac:dyDescent="0.25">
      <c r="A3855" s="27" t="s">
        <v>1493</v>
      </c>
      <c r="B3855" s="27" t="s">
        <v>1494</v>
      </c>
    </row>
    <row r="3856" spans="1:2" ht="15.75" customHeight="1" x14ac:dyDescent="0.25">
      <c r="A3856" s="27" t="s">
        <v>1495</v>
      </c>
      <c r="B3856" s="27" t="s">
        <v>1496</v>
      </c>
    </row>
    <row r="3857" spans="1:2" ht="15.75" customHeight="1" x14ac:dyDescent="0.25">
      <c r="A3857" s="27" t="s">
        <v>1495</v>
      </c>
      <c r="B3857" s="27" t="s">
        <v>1496</v>
      </c>
    </row>
    <row r="3858" spans="1:2" ht="15.75" customHeight="1" x14ac:dyDescent="0.25">
      <c r="A3858" s="27" t="s">
        <v>1497</v>
      </c>
      <c r="B3858" s="27" t="s">
        <v>1498</v>
      </c>
    </row>
    <row r="3859" spans="1:2" ht="15.75" customHeight="1" x14ac:dyDescent="0.25">
      <c r="A3859" s="27" t="s">
        <v>1497</v>
      </c>
      <c r="B3859" s="27" t="s">
        <v>1498</v>
      </c>
    </row>
    <row r="3860" spans="1:2" ht="15.75" customHeight="1" x14ac:dyDescent="0.25">
      <c r="A3860" s="27" t="s">
        <v>1497</v>
      </c>
      <c r="B3860" s="27" t="s">
        <v>1498</v>
      </c>
    </row>
    <row r="3861" spans="1:2" ht="15.75" customHeight="1" x14ac:dyDescent="0.25">
      <c r="A3861" s="27" t="s">
        <v>1499</v>
      </c>
      <c r="B3861" s="27" t="s">
        <v>1500</v>
      </c>
    </row>
    <row r="3862" spans="1:2" ht="15.75" customHeight="1" x14ac:dyDescent="0.25">
      <c r="A3862" s="27" t="s">
        <v>1499</v>
      </c>
      <c r="B3862" s="27" t="s">
        <v>1500</v>
      </c>
    </row>
    <row r="3863" spans="1:2" ht="15.75" customHeight="1" x14ac:dyDescent="0.25">
      <c r="A3863" s="27" t="s">
        <v>1499</v>
      </c>
      <c r="B3863" s="27" t="s">
        <v>1500</v>
      </c>
    </row>
    <row r="3864" spans="1:2" ht="15.75" customHeight="1" x14ac:dyDescent="0.25">
      <c r="A3864" s="27" t="s">
        <v>1499</v>
      </c>
      <c r="B3864" s="27" t="s">
        <v>1500</v>
      </c>
    </row>
    <row r="3865" spans="1:2" ht="15.75" customHeight="1" x14ac:dyDescent="0.25">
      <c r="A3865" s="27" t="s">
        <v>1499</v>
      </c>
      <c r="B3865" s="27" t="s">
        <v>1500</v>
      </c>
    </row>
    <row r="3866" spans="1:2" ht="15.75" customHeight="1" x14ac:dyDescent="0.25">
      <c r="A3866" s="27" t="s">
        <v>1501</v>
      </c>
      <c r="B3866" s="27" t="s">
        <v>1502</v>
      </c>
    </row>
    <row r="3867" spans="1:2" ht="15.75" customHeight="1" x14ac:dyDescent="0.25">
      <c r="A3867" s="27" t="s">
        <v>1501</v>
      </c>
      <c r="B3867" s="27" t="s">
        <v>1502</v>
      </c>
    </row>
    <row r="3868" spans="1:2" ht="15.75" customHeight="1" x14ac:dyDescent="0.25">
      <c r="A3868" s="27" t="s">
        <v>1501</v>
      </c>
      <c r="B3868" s="27" t="s">
        <v>1502</v>
      </c>
    </row>
    <row r="3869" spans="1:2" ht="15.75" customHeight="1" x14ac:dyDescent="0.25">
      <c r="A3869" s="27" t="s">
        <v>1501</v>
      </c>
      <c r="B3869" s="27" t="s">
        <v>1502</v>
      </c>
    </row>
    <row r="3870" spans="1:2" ht="15.75" customHeight="1" x14ac:dyDescent="0.25">
      <c r="A3870" s="27" t="s">
        <v>1503</v>
      </c>
      <c r="B3870" s="27" t="s">
        <v>1504</v>
      </c>
    </row>
    <row r="3871" spans="1:2" ht="15.75" customHeight="1" x14ac:dyDescent="0.25">
      <c r="A3871" s="27" t="s">
        <v>1503</v>
      </c>
      <c r="B3871" s="27" t="s">
        <v>1504</v>
      </c>
    </row>
    <row r="3872" spans="1:2" ht="15.75" customHeight="1" x14ac:dyDescent="0.25">
      <c r="A3872" s="27" t="s">
        <v>1505</v>
      </c>
      <c r="B3872" s="27" t="s">
        <v>1506</v>
      </c>
    </row>
    <row r="3873" spans="1:2" ht="15.75" customHeight="1" x14ac:dyDescent="0.25">
      <c r="A3873" s="27" t="s">
        <v>1505</v>
      </c>
      <c r="B3873" s="27" t="s">
        <v>1506</v>
      </c>
    </row>
    <row r="3874" spans="1:2" ht="15.75" customHeight="1" x14ac:dyDescent="0.25">
      <c r="A3874" s="27" t="s">
        <v>1505</v>
      </c>
      <c r="B3874" s="27" t="s">
        <v>1506</v>
      </c>
    </row>
    <row r="3875" spans="1:2" ht="15.75" customHeight="1" x14ac:dyDescent="0.25">
      <c r="A3875" s="27" t="s">
        <v>1507</v>
      </c>
      <c r="B3875" s="27" t="s">
        <v>1508</v>
      </c>
    </row>
    <row r="3876" spans="1:2" ht="15.75" customHeight="1" x14ac:dyDescent="0.25">
      <c r="A3876" s="27" t="s">
        <v>1507</v>
      </c>
      <c r="B3876" s="27" t="s">
        <v>1508</v>
      </c>
    </row>
    <row r="3877" spans="1:2" ht="15.75" customHeight="1" x14ac:dyDescent="0.25">
      <c r="A3877" s="27" t="s">
        <v>1507</v>
      </c>
      <c r="B3877" s="27" t="s">
        <v>1508</v>
      </c>
    </row>
    <row r="3878" spans="1:2" ht="15.75" customHeight="1" x14ac:dyDescent="0.25">
      <c r="A3878" s="27" t="s">
        <v>1509</v>
      </c>
      <c r="B3878" s="27" t="s">
        <v>1510</v>
      </c>
    </row>
    <row r="3879" spans="1:2" ht="15.75" customHeight="1" x14ac:dyDescent="0.25">
      <c r="A3879" s="27" t="s">
        <v>1509</v>
      </c>
      <c r="B3879" s="27" t="s">
        <v>1510</v>
      </c>
    </row>
    <row r="3880" spans="1:2" ht="15.75" customHeight="1" x14ac:dyDescent="0.25">
      <c r="A3880" s="27" t="s">
        <v>1511</v>
      </c>
      <c r="B3880" s="27" t="s">
        <v>1512</v>
      </c>
    </row>
    <row r="3881" spans="1:2" ht="15.75" customHeight="1" x14ac:dyDescent="0.25">
      <c r="A3881" s="27" t="s">
        <v>1513</v>
      </c>
      <c r="B3881" s="27" t="s">
        <v>1514</v>
      </c>
    </row>
    <row r="3882" spans="1:2" ht="15.75" customHeight="1" x14ac:dyDescent="0.25">
      <c r="A3882" s="27" t="s">
        <v>1515</v>
      </c>
      <c r="B3882" s="27" t="s">
        <v>1516</v>
      </c>
    </row>
    <row r="3883" spans="1:2" ht="15.75" customHeight="1" x14ac:dyDescent="0.25">
      <c r="A3883" s="27" t="s">
        <v>1517</v>
      </c>
      <c r="B3883" s="27" t="s">
        <v>1518</v>
      </c>
    </row>
    <row r="3884" spans="1:2" ht="15.75" customHeight="1" x14ac:dyDescent="0.25">
      <c r="A3884" s="27" t="s">
        <v>1519</v>
      </c>
      <c r="B3884" s="27" t="s">
        <v>1520</v>
      </c>
    </row>
    <row r="3885" spans="1:2" ht="15.75" customHeight="1" x14ac:dyDescent="0.25">
      <c r="A3885" s="27" t="s">
        <v>1521</v>
      </c>
      <c r="B3885" s="27" t="s">
        <v>1522</v>
      </c>
    </row>
    <row r="3886" spans="1:2" ht="15.75" customHeight="1" x14ac:dyDescent="0.25">
      <c r="A3886" s="27" t="s">
        <v>1523</v>
      </c>
      <c r="B3886" s="27" t="s">
        <v>1524</v>
      </c>
    </row>
    <row r="3887" spans="1:2" ht="15.75" customHeight="1" x14ac:dyDescent="0.25">
      <c r="A3887" s="27" t="s">
        <v>1525</v>
      </c>
      <c r="B3887" s="27" t="s">
        <v>1526</v>
      </c>
    </row>
    <row r="3888" spans="1:2" ht="15.75" customHeight="1" x14ac:dyDescent="0.25">
      <c r="A3888" s="27" t="s">
        <v>1527</v>
      </c>
      <c r="B3888" s="27" t="s">
        <v>1528</v>
      </c>
    </row>
    <row r="3889" spans="1:2" ht="15.75" customHeight="1" x14ac:dyDescent="0.25">
      <c r="A3889" s="27" t="s">
        <v>1529</v>
      </c>
      <c r="B3889" s="27" t="s">
        <v>1530</v>
      </c>
    </row>
    <row r="3890" spans="1:2" ht="15.75" customHeight="1" x14ac:dyDescent="0.25">
      <c r="A3890" s="27" t="s">
        <v>1531</v>
      </c>
      <c r="B3890" s="27" t="s">
        <v>1532</v>
      </c>
    </row>
    <row r="3891" spans="1:2" ht="15.75" customHeight="1" x14ac:dyDescent="0.25">
      <c r="A3891" s="27" t="s">
        <v>1533</v>
      </c>
      <c r="B3891" s="27" t="s">
        <v>1534</v>
      </c>
    </row>
    <row r="3892" spans="1:2" ht="15.75" customHeight="1" x14ac:dyDescent="0.25">
      <c r="A3892" s="27" t="s">
        <v>1535</v>
      </c>
      <c r="B3892" s="27" t="s">
        <v>1536</v>
      </c>
    </row>
    <row r="3893" spans="1:2" ht="15.75" customHeight="1" x14ac:dyDescent="0.25">
      <c r="A3893" s="27" t="s">
        <v>1537</v>
      </c>
      <c r="B3893" s="27" t="s">
        <v>1538</v>
      </c>
    </row>
    <row r="3894" spans="1:2" ht="15.75" customHeight="1" x14ac:dyDescent="0.25">
      <c r="A3894" s="27" t="s">
        <v>1539</v>
      </c>
      <c r="B3894" s="27" t="s">
        <v>1540</v>
      </c>
    </row>
    <row r="3895" spans="1:2" ht="15.75" customHeight="1" x14ac:dyDescent="0.25">
      <c r="A3895" s="27" t="s">
        <v>1539</v>
      </c>
      <c r="B3895" s="27" t="s">
        <v>1540</v>
      </c>
    </row>
    <row r="3896" spans="1:2" ht="15.75" customHeight="1" x14ac:dyDescent="0.25">
      <c r="A3896" s="27" t="s">
        <v>1539</v>
      </c>
      <c r="B3896" s="27" t="s">
        <v>1540</v>
      </c>
    </row>
    <row r="3897" spans="1:2" ht="15.75" customHeight="1" x14ac:dyDescent="0.25">
      <c r="A3897" s="27" t="s">
        <v>1541</v>
      </c>
      <c r="B3897" s="27" t="s">
        <v>1542</v>
      </c>
    </row>
    <row r="3898" spans="1:2" ht="15.75" customHeight="1" x14ac:dyDescent="0.25">
      <c r="A3898" s="27" t="s">
        <v>1543</v>
      </c>
      <c r="B3898" s="27" t="s">
        <v>1544</v>
      </c>
    </row>
    <row r="3899" spans="1:2" ht="15.75" customHeight="1" x14ac:dyDescent="0.25">
      <c r="A3899" s="27" t="s">
        <v>1545</v>
      </c>
      <c r="B3899" s="27" t="s">
        <v>1546</v>
      </c>
    </row>
    <row r="3900" spans="1:2" ht="15.75" customHeight="1" x14ac:dyDescent="0.25">
      <c r="A3900" s="27" t="s">
        <v>1545</v>
      </c>
      <c r="B3900" s="27" t="s">
        <v>1546</v>
      </c>
    </row>
    <row r="3901" spans="1:2" ht="15.75" customHeight="1" x14ac:dyDescent="0.25">
      <c r="A3901" s="27" t="s">
        <v>1547</v>
      </c>
      <c r="B3901" s="27" t="s">
        <v>1548</v>
      </c>
    </row>
    <row r="3902" spans="1:2" ht="15.75" customHeight="1" x14ac:dyDescent="0.25">
      <c r="A3902" s="27" t="s">
        <v>1549</v>
      </c>
      <c r="B3902" s="27" t="s">
        <v>1550</v>
      </c>
    </row>
    <row r="3903" spans="1:2" ht="15.75" customHeight="1" x14ac:dyDescent="0.25">
      <c r="A3903" s="27" t="s">
        <v>1551</v>
      </c>
      <c r="B3903" s="27" t="s">
        <v>1552</v>
      </c>
    </row>
    <row r="3904" spans="1:2" ht="15.75" customHeight="1" x14ac:dyDescent="0.25">
      <c r="A3904" s="27" t="s">
        <v>1553</v>
      </c>
      <c r="B3904" s="27" t="s">
        <v>1554</v>
      </c>
    </row>
    <row r="3905" spans="1:2" ht="15.75" customHeight="1" x14ac:dyDescent="0.25">
      <c r="A3905" s="27" t="s">
        <v>1555</v>
      </c>
      <c r="B3905" s="27" t="s">
        <v>1556</v>
      </c>
    </row>
    <row r="3906" spans="1:2" ht="15.75" customHeight="1" x14ac:dyDescent="0.25">
      <c r="A3906" s="27" t="s">
        <v>1557</v>
      </c>
      <c r="B3906" s="27" t="s">
        <v>1558</v>
      </c>
    </row>
    <row r="3907" spans="1:2" ht="15.75" customHeight="1" x14ac:dyDescent="0.25">
      <c r="A3907" s="27" t="s">
        <v>1559</v>
      </c>
      <c r="B3907" s="27" t="s">
        <v>1560</v>
      </c>
    </row>
    <row r="3908" spans="1:2" ht="15.75" customHeight="1" x14ac:dyDescent="0.25">
      <c r="A3908" s="27" t="s">
        <v>1561</v>
      </c>
      <c r="B3908" s="27" t="s">
        <v>1562</v>
      </c>
    </row>
    <row r="3909" spans="1:2" ht="15.75" customHeight="1" x14ac:dyDescent="0.25">
      <c r="A3909" s="27" t="s">
        <v>1563</v>
      </c>
      <c r="B3909" s="27" t="s">
        <v>1564</v>
      </c>
    </row>
    <row r="3910" spans="1:2" ht="15.75" customHeight="1" x14ac:dyDescent="0.25">
      <c r="A3910" s="27" t="s">
        <v>1565</v>
      </c>
      <c r="B3910" s="27" t="s">
        <v>1566</v>
      </c>
    </row>
    <row r="3911" spans="1:2" ht="15.75" customHeight="1" x14ac:dyDescent="0.25">
      <c r="A3911" s="27" t="s">
        <v>1567</v>
      </c>
      <c r="B3911" s="27" t="s">
        <v>1568</v>
      </c>
    </row>
    <row r="3912" spans="1:2" ht="15.75" customHeight="1" x14ac:dyDescent="0.25">
      <c r="A3912" s="27" t="s">
        <v>1569</v>
      </c>
      <c r="B3912" s="27" t="s">
        <v>1570</v>
      </c>
    </row>
    <row r="3913" spans="1:2" ht="15.75" customHeight="1" x14ac:dyDescent="0.25">
      <c r="A3913" s="27" t="s">
        <v>1571</v>
      </c>
      <c r="B3913" s="27" t="s">
        <v>1572</v>
      </c>
    </row>
    <row r="3914" spans="1:2" ht="15.75" customHeight="1" x14ac:dyDescent="0.25">
      <c r="A3914" s="27" t="s">
        <v>1573</v>
      </c>
      <c r="B3914" s="27" t="s">
        <v>1574</v>
      </c>
    </row>
    <row r="3915" spans="1:2" ht="15.75" customHeight="1" x14ac:dyDescent="0.25">
      <c r="A3915" s="27" t="s">
        <v>1575</v>
      </c>
      <c r="B3915" s="27" t="s">
        <v>1576</v>
      </c>
    </row>
    <row r="3916" spans="1:2" ht="15.75" customHeight="1" x14ac:dyDescent="0.25">
      <c r="A3916" s="27" t="s">
        <v>1577</v>
      </c>
      <c r="B3916" s="27" t="s">
        <v>1578</v>
      </c>
    </row>
    <row r="3917" spans="1:2" ht="15.75" customHeight="1" x14ac:dyDescent="0.25">
      <c r="A3917" s="27" t="s">
        <v>1579</v>
      </c>
      <c r="B3917" s="27" t="s">
        <v>1580</v>
      </c>
    </row>
    <row r="3918" spans="1:2" ht="15.75" customHeight="1" x14ac:dyDescent="0.25">
      <c r="A3918" s="27" t="s">
        <v>1581</v>
      </c>
      <c r="B3918" s="27" t="s">
        <v>1582</v>
      </c>
    </row>
    <row r="3919" spans="1:2" ht="15.75" customHeight="1" x14ac:dyDescent="0.25">
      <c r="A3919" s="27" t="s">
        <v>1583</v>
      </c>
      <c r="B3919" s="27" t="s">
        <v>1584</v>
      </c>
    </row>
    <row r="3920" spans="1:2" ht="15.75" customHeight="1" x14ac:dyDescent="0.25">
      <c r="A3920" s="27" t="s">
        <v>1583</v>
      </c>
      <c r="B3920" s="27" t="s">
        <v>1584</v>
      </c>
    </row>
    <row r="3921" spans="1:2" ht="15.75" customHeight="1" x14ac:dyDescent="0.25">
      <c r="A3921" s="27" t="s">
        <v>1585</v>
      </c>
      <c r="B3921" s="27" t="s">
        <v>1586</v>
      </c>
    </row>
    <row r="3922" spans="1:2" ht="15.75" customHeight="1" x14ac:dyDescent="0.25">
      <c r="A3922" s="27" t="s">
        <v>1587</v>
      </c>
      <c r="B3922" s="27" t="s">
        <v>1588</v>
      </c>
    </row>
    <row r="3923" spans="1:2" ht="15.75" customHeight="1" x14ac:dyDescent="0.25">
      <c r="A3923" s="27" t="s">
        <v>1587</v>
      </c>
      <c r="B3923" s="27" t="s">
        <v>1588</v>
      </c>
    </row>
    <row r="3924" spans="1:2" ht="15.75" customHeight="1" x14ac:dyDescent="0.25">
      <c r="A3924" s="27" t="s">
        <v>1587</v>
      </c>
      <c r="B3924" s="27" t="s">
        <v>1588</v>
      </c>
    </row>
    <row r="3925" spans="1:2" ht="15.75" customHeight="1" x14ac:dyDescent="0.25">
      <c r="A3925" s="27" t="s">
        <v>1589</v>
      </c>
      <c r="B3925" s="27" t="s">
        <v>1590</v>
      </c>
    </row>
    <row r="3926" spans="1:2" ht="15.75" customHeight="1" x14ac:dyDescent="0.25">
      <c r="A3926" s="27" t="s">
        <v>1589</v>
      </c>
      <c r="B3926" s="27" t="s">
        <v>1590</v>
      </c>
    </row>
    <row r="3927" spans="1:2" ht="15.75" customHeight="1" x14ac:dyDescent="0.25">
      <c r="A3927" s="27" t="s">
        <v>1591</v>
      </c>
      <c r="B3927" s="27" t="s">
        <v>1592</v>
      </c>
    </row>
    <row r="3928" spans="1:2" ht="15.75" customHeight="1" x14ac:dyDescent="0.25">
      <c r="A3928" s="27" t="s">
        <v>1593</v>
      </c>
      <c r="B3928" s="27" t="s">
        <v>1594</v>
      </c>
    </row>
    <row r="3929" spans="1:2" ht="15.75" customHeight="1" x14ac:dyDescent="0.25">
      <c r="A3929" s="27" t="s">
        <v>1593</v>
      </c>
      <c r="B3929" s="27" t="s">
        <v>1594</v>
      </c>
    </row>
    <row r="3930" spans="1:2" ht="15.75" customHeight="1" x14ac:dyDescent="0.25">
      <c r="A3930" s="27" t="s">
        <v>1595</v>
      </c>
      <c r="B3930" s="27" t="s">
        <v>1596</v>
      </c>
    </row>
    <row r="3931" spans="1:2" ht="15.75" customHeight="1" x14ac:dyDescent="0.25">
      <c r="A3931" s="27" t="s">
        <v>1597</v>
      </c>
      <c r="B3931" s="27" t="s">
        <v>1598</v>
      </c>
    </row>
    <row r="3932" spans="1:2" ht="15.75" customHeight="1" x14ac:dyDescent="0.25">
      <c r="A3932" s="27" t="s">
        <v>1599</v>
      </c>
      <c r="B3932" s="27" t="s">
        <v>1600</v>
      </c>
    </row>
    <row r="3933" spans="1:2" ht="15.75" customHeight="1" x14ac:dyDescent="0.25">
      <c r="A3933" s="27" t="s">
        <v>1601</v>
      </c>
      <c r="B3933" s="27" t="s">
        <v>1602</v>
      </c>
    </row>
    <row r="3934" spans="1:2" ht="15.75" customHeight="1" x14ac:dyDescent="0.25">
      <c r="A3934" s="27" t="s">
        <v>1601</v>
      </c>
      <c r="B3934" s="27" t="s">
        <v>1602</v>
      </c>
    </row>
    <row r="3935" spans="1:2" ht="15.75" customHeight="1" x14ac:dyDescent="0.25">
      <c r="A3935" s="27" t="s">
        <v>1601</v>
      </c>
      <c r="B3935" s="27" t="s">
        <v>1602</v>
      </c>
    </row>
    <row r="3936" spans="1:2" ht="15.75" customHeight="1" x14ac:dyDescent="0.25">
      <c r="A3936" s="27" t="s">
        <v>1603</v>
      </c>
      <c r="B3936" s="27" t="s">
        <v>1604</v>
      </c>
    </row>
    <row r="3937" spans="1:2" ht="15.75" customHeight="1" x14ac:dyDescent="0.25">
      <c r="A3937" s="27" t="s">
        <v>1603</v>
      </c>
      <c r="B3937" s="27" t="s">
        <v>1604</v>
      </c>
    </row>
    <row r="3938" spans="1:2" ht="15.75" customHeight="1" x14ac:dyDescent="0.25">
      <c r="A3938" s="27" t="s">
        <v>1603</v>
      </c>
      <c r="B3938" s="27" t="s">
        <v>1604</v>
      </c>
    </row>
    <row r="3939" spans="1:2" ht="15.75" customHeight="1" x14ac:dyDescent="0.25">
      <c r="A3939" s="27" t="s">
        <v>1605</v>
      </c>
      <c r="B3939" s="27" t="s">
        <v>1606</v>
      </c>
    </row>
    <row r="3940" spans="1:2" ht="15.75" customHeight="1" x14ac:dyDescent="0.25">
      <c r="A3940" s="27" t="s">
        <v>1605</v>
      </c>
      <c r="B3940" s="27" t="s">
        <v>1606</v>
      </c>
    </row>
    <row r="3941" spans="1:2" ht="15.75" customHeight="1" x14ac:dyDescent="0.25">
      <c r="A3941" s="27" t="s">
        <v>1605</v>
      </c>
      <c r="B3941" s="27" t="s">
        <v>1606</v>
      </c>
    </row>
    <row r="3942" spans="1:2" ht="15.75" customHeight="1" x14ac:dyDescent="0.25">
      <c r="A3942" s="27" t="s">
        <v>1607</v>
      </c>
      <c r="B3942" s="27" t="s">
        <v>1608</v>
      </c>
    </row>
    <row r="3943" spans="1:2" ht="15.75" customHeight="1" x14ac:dyDescent="0.25">
      <c r="A3943" s="27" t="s">
        <v>1609</v>
      </c>
      <c r="B3943" s="27" t="s">
        <v>1610</v>
      </c>
    </row>
    <row r="3944" spans="1:2" ht="15.75" customHeight="1" x14ac:dyDescent="0.25">
      <c r="A3944" s="27" t="s">
        <v>1609</v>
      </c>
      <c r="B3944" s="27" t="s">
        <v>1610</v>
      </c>
    </row>
    <row r="3945" spans="1:2" ht="15.75" customHeight="1" x14ac:dyDescent="0.25">
      <c r="A3945" s="27" t="s">
        <v>1611</v>
      </c>
      <c r="B3945" s="27" t="s">
        <v>1612</v>
      </c>
    </row>
    <row r="3946" spans="1:2" ht="15.75" customHeight="1" x14ac:dyDescent="0.25">
      <c r="A3946" s="27" t="s">
        <v>1611</v>
      </c>
      <c r="B3946" s="27" t="s">
        <v>1612</v>
      </c>
    </row>
    <row r="3947" spans="1:2" ht="15.75" customHeight="1" x14ac:dyDescent="0.25">
      <c r="A3947" s="27" t="s">
        <v>1613</v>
      </c>
      <c r="B3947" s="27" t="s">
        <v>1614</v>
      </c>
    </row>
    <row r="3948" spans="1:2" ht="15.75" customHeight="1" x14ac:dyDescent="0.25">
      <c r="A3948" s="27" t="s">
        <v>1613</v>
      </c>
      <c r="B3948" s="27" t="s">
        <v>1614</v>
      </c>
    </row>
    <row r="3949" spans="1:2" ht="15.75" customHeight="1" x14ac:dyDescent="0.25">
      <c r="A3949" s="27" t="s">
        <v>1613</v>
      </c>
      <c r="B3949" s="27" t="s">
        <v>1614</v>
      </c>
    </row>
    <row r="3950" spans="1:2" ht="15.75" customHeight="1" x14ac:dyDescent="0.25">
      <c r="A3950" s="27" t="s">
        <v>1613</v>
      </c>
      <c r="B3950" s="27" t="s">
        <v>1614</v>
      </c>
    </row>
    <row r="3951" spans="1:2" ht="15.75" customHeight="1" x14ac:dyDescent="0.25">
      <c r="A3951" s="27" t="s">
        <v>1613</v>
      </c>
      <c r="B3951" s="27" t="s">
        <v>1614</v>
      </c>
    </row>
    <row r="3952" spans="1:2" ht="15.75" customHeight="1" x14ac:dyDescent="0.25">
      <c r="A3952" s="27" t="s">
        <v>1613</v>
      </c>
      <c r="B3952" s="27" t="s">
        <v>1614</v>
      </c>
    </row>
    <row r="3953" spans="1:2" ht="15.75" customHeight="1" x14ac:dyDescent="0.25">
      <c r="A3953" s="27" t="s">
        <v>1613</v>
      </c>
      <c r="B3953" s="27" t="s">
        <v>1614</v>
      </c>
    </row>
    <row r="3954" spans="1:2" ht="15.75" customHeight="1" x14ac:dyDescent="0.25">
      <c r="A3954" s="27" t="s">
        <v>1613</v>
      </c>
      <c r="B3954" s="27" t="s">
        <v>1614</v>
      </c>
    </row>
    <row r="3955" spans="1:2" ht="15.75" customHeight="1" x14ac:dyDescent="0.25">
      <c r="A3955" s="27" t="s">
        <v>1613</v>
      </c>
      <c r="B3955" s="27" t="s">
        <v>1614</v>
      </c>
    </row>
    <row r="3956" spans="1:2" ht="15.75" customHeight="1" x14ac:dyDescent="0.25">
      <c r="A3956" s="27" t="s">
        <v>1613</v>
      </c>
      <c r="B3956" s="27" t="s">
        <v>1614</v>
      </c>
    </row>
    <row r="3957" spans="1:2" ht="15.75" customHeight="1" x14ac:dyDescent="0.25">
      <c r="A3957" s="27" t="s">
        <v>1613</v>
      </c>
      <c r="B3957" s="27" t="s">
        <v>1614</v>
      </c>
    </row>
    <row r="3958" spans="1:2" ht="15.75" customHeight="1" x14ac:dyDescent="0.25">
      <c r="A3958" s="27" t="s">
        <v>1613</v>
      </c>
      <c r="B3958" s="27" t="s">
        <v>1614</v>
      </c>
    </row>
    <row r="3959" spans="1:2" ht="15.75" customHeight="1" x14ac:dyDescent="0.25">
      <c r="A3959" s="27" t="s">
        <v>1613</v>
      </c>
      <c r="B3959" s="27" t="s">
        <v>1614</v>
      </c>
    </row>
    <row r="3960" spans="1:2" ht="15.75" customHeight="1" x14ac:dyDescent="0.25">
      <c r="A3960" s="27" t="s">
        <v>1613</v>
      </c>
      <c r="B3960" s="27" t="s">
        <v>1614</v>
      </c>
    </row>
    <row r="3961" spans="1:2" ht="15.75" customHeight="1" x14ac:dyDescent="0.25">
      <c r="A3961" s="27" t="s">
        <v>1613</v>
      </c>
      <c r="B3961" s="27" t="s">
        <v>1614</v>
      </c>
    </row>
    <row r="3962" spans="1:2" ht="15.75" customHeight="1" x14ac:dyDescent="0.25">
      <c r="A3962" s="27" t="s">
        <v>1613</v>
      </c>
      <c r="B3962" s="27" t="s">
        <v>1614</v>
      </c>
    </row>
    <row r="3963" spans="1:2" ht="15.75" customHeight="1" x14ac:dyDescent="0.25">
      <c r="A3963" s="27" t="s">
        <v>1613</v>
      </c>
      <c r="B3963" s="27" t="s">
        <v>1614</v>
      </c>
    </row>
    <row r="3964" spans="1:2" ht="15.75" customHeight="1" x14ac:dyDescent="0.25">
      <c r="A3964" s="27" t="s">
        <v>1613</v>
      </c>
      <c r="B3964" s="27" t="s">
        <v>1614</v>
      </c>
    </row>
    <row r="3965" spans="1:2" ht="15.75" customHeight="1" x14ac:dyDescent="0.25">
      <c r="A3965" s="27" t="s">
        <v>1613</v>
      </c>
      <c r="B3965" s="27" t="s">
        <v>1614</v>
      </c>
    </row>
    <row r="3966" spans="1:2" ht="15.75" customHeight="1" x14ac:dyDescent="0.25">
      <c r="A3966" s="27" t="s">
        <v>1613</v>
      </c>
      <c r="B3966" s="27" t="s">
        <v>1614</v>
      </c>
    </row>
    <row r="3967" spans="1:2" ht="15.75" customHeight="1" x14ac:dyDescent="0.25">
      <c r="A3967" s="27" t="s">
        <v>1613</v>
      </c>
      <c r="B3967" s="27" t="s">
        <v>1614</v>
      </c>
    </row>
    <row r="3968" spans="1:2" ht="15.75" customHeight="1" x14ac:dyDescent="0.25">
      <c r="A3968" s="27" t="s">
        <v>1613</v>
      </c>
      <c r="B3968" s="27" t="s">
        <v>1614</v>
      </c>
    </row>
    <row r="3969" spans="1:2" ht="15.75" customHeight="1" x14ac:dyDescent="0.25">
      <c r="A3969" s="27" t="s">
        <v>1613</v>
      </c>
      <c r="B3969" s="27" t="s">
        <v>1614</v>
      </c>
    </row>
    <row r="3970" spans="1:2" ht="15.75" customHeight="1" x14ac:dyDescent="0.25">
      <c r="A3970" s="27" t="s">
        <v>1613</v>
      </c>
      <c r="B3970" s="27" t="s">
        <v>1614</v>
      </c>
    </row>
    <row r="3971" spans="1:2" ht="15.75" customHeight="1" x14ac:dyDescent="0.25">
      <c r="A3971" s="27" t="s">
        <v>1613</v>
      </c>
      <c r="B3971" s="27" t="s">
        <v>1614</v>
      </c>
    </row>
    <row r="3972" spans="1:2" ht="15.75" customHeight="1" x14ac:dyDescent="0.25">
      <c r="A3972" s="27" t="s">
        <v>1613</v>
      </c>
      <c r="B3972" s="27" t="s">
        <v>1614</v>
      </c>
    </row>
    <row r="3973" spans="1:2" ht="15.75" customHeight="1" x14ac:dyDescent="0.25">
      <c r="A3973" s="27" t="s">
        <v>1613</v>
      </c>
      <c r="B3973" s="27" t="s">
        <v>1614</v>
      </c>
    </row>
    <row r="3974" spans="1:2" ht="15.75" customHeight="1" x14ac:dyDescent="0.25">
      <c r="A3974" s="27" t="s">
        <v>1613</v>
      </c>
      <c r="B3974" s="27" t="s">
        <v>1614</v>
      </c>
    </row>
    <row r="3975" spans="1:2" ht="15.75" customHeight="1" x14ac:dyDescent="0.25">
      <c r="A3975" s="27" t="s">
        <v>1613</v>
      </c>
      <c r="B3975" s="27" t="s">
        <v>1614</v>
      </c>
    </row>
    <row r="3976" spans="1:2" ht="15.75" customHeight="1" x14ac:dyDescent="0.25">
      <c r="A3976" s="27" t="s">
        <v>1613</v>
      </c>
      <c r="B3976" s="27" t="s">
        <v>1614</v>
      </c>
    </row>
    <row r="3977" spans="1:2" ht="15.75" customHeight="1" x14ac:dyDescent="0.25">
      <c r="A3977" s="27" t="s">
        <v>1613</v>
      </c>
      <c r="B3977" s="27" t="s">
        <v>1614</v>
      </c>
    </row>
    <row r="3978" spans="1:2" ht="15.75" customHeight="1" x14ac:dyDescent="0.25">
      <c r="A3978" s="27" t="s">
        <v>1613</v>
      </c>
      <c r="B3978" s="27" t="s">
        <v>1614</v>
      </c>
    </row>
    <row r="3979" spans="1:2" ht="15.75" customHeight="1" x14ac:dyDescent="0.25">
      <c r="A3979" s="27" t="s">
        <v>1613</v>
      </c>
      <c r="B3979" s="27" t="s">
        <v>1614</v>
      </c>
    </row>
    <row r="3980" spans="1:2" ht="15.75" customHeight="1" x14ac:dyDescent="0.25">
      <c r="A3980" s="27" t="s">
        <v>1613</v>
      </c>
      <c r="B3980" s="27" t="s">
        <v>1614</v>
      </c>
    </row>
    <row r="3981" spans="1:2" ht="15.75" customHeight="1" x14ac:dyDescent="0.25">
      <c r="A3981" s="27" t="s">
        <v>1613</v>
      </c>
      <c r="B3981" s="27" t="s">
        <v>1614</v>
      </c>
    </row>
    <row r="3982" spans="1:2" ht="15.75" customHeight="1" x14ac:dyDescent="0.25">
      <c r="A3982" s="27" t="s">
        <v>1613</v>
      </c>
      <c r="B3982" s="27" t="s">
        <v>1614</v>
      </c>
    </row>
    <row r="3983" spans="1:2" ht="15.75" customHeight="1" x14ac:dyDescent="0.25">
      <c r="A3983" s="27" t="s">
        <v>1613</v>
      </c>
      <c r="B3983" s="27" t="s">
        <v>1614</v>
      </c>
    </row>
    <row r="3984" spans="1:2" ht="15.75" customHeight="1" x14ac:dyDescent="0.25">
      <c r="A3984" s="27" t="s">
        <v>1613</v>
      </c>
      <c r="B3984" s="27" t="s">
        <v>1614</v>
      </c>
    </row>
    <row r="3985" spans="1:2" ht="15.75" customHeight="1" x14ac:dyDescent="0.25">
      <c r="A3985" s="27" t="s">
        <v>1613</v>
      </c>
      <c r="B3985" s="27" t="s">
        <v>1614</v>
      </c>
    </row>
    <row r="3986" spans="1:2" ht="15.75" customHeight="1" x14ac:dyDescent="0.25">
      <c r="A3986" s="27" t="s">
        <v>1613</v>
      </c>
      <c r="B3986" s="27" t="s">
        <v>1614</v>
      </c>
    </row>
    <row r="3987" spans="1:2" ht="15.75" customHeight="1" x14ac:dyDescent="0.25">
      <c r="A3987" s="27" t="s">
        <v>1613</v>
      </c>
      <c r="B3987" s="27" t="s">
        <v>1614</v>
      </c>
    </row>
    <row r="3988" spans="1:2" ht="15.75" customHeight="1" x14ac:dyDescent="0.25">
      <c r="A3988" s="27" t="s">
        <v>1613</v>
      </c>
      <c r="B3988" s="27" t="s">
        <v>1614</v>
      </c>
    </row>
    <row r="3989" spans="1:2" ht="15.75" customHeight="1" x14ac:dyDescent="0.25">
      <c r="A3989" s="27" t="s">
        <v>1613</v>
      </c>
      <c r="B3989" s="27" t="s">
        <v>1614</v>
      </c>
    </row>
    <row r="3990" spans="1:2" ht="15.75" customHeight="1" x14ac:dyDescent="0.25">
      <c r="A3990" s="27" t="s">
        <v>1613</v>
      </c>
      <c r="B3990" s="27" t="s">
        <v>1614</v>
      </c>
    </row>
    <row r="3991" spans="1:2" ht="15.75" customHeight="1" x14ac:dyDescent="0.25">
      <c r="A3991" s="27" t="s">
        <v>1613</v>
      </c>
      <c r="B3991" s="27" t="s">
        <v>1614</v>
      </c>
    </row>
    <row r="3992" spans="1:2" ht="15.75" customHeight="1" x14ac:dyDescent="0.25">
      <c r="A3992" s="27" t="s">
        <v>1613</v>
      </c>
      <c r="B3992" s="27" t="s">
        <v>1614</v>
      </c>
    </row>
    <row r="3993" spans="1:2" ht="15.75" customHeight="1" x14ac:dyDescent="0.25">
      <c r="A3993" s="27" t="s">
        <v>1613</v>
      </c>
      <c r="B3993" s="27" t="s">
        <v>1614</v>
      </c>
    </row>
    <row r="3994" spans="1:2" ht="15.75" customHeight="1" x14ac:dyDescent="0.25">
      <c r="A3994" s="27" t="s">
        <v>1613</v>
      </c>
      <c r="B3994" s="27" t="s">
        <v>1614</v>
      </c>
    </row>
    <row r="3995" spans="1:2" ht="15.75" customHeight="1" x14ac:dyDescent="0.25">
      <c r="A3995" s="27" t="s">
        <v>1613</v>
      </c>
      <c r="B3995" s="27" t="s">
        <v>1614</v>
      </c>
    </row>
    <row r="3996" spans="1:2" ht="15.75" customHeight="1" x14ac:dyDescent="0.25">
      <c r="A3996" s="27" t="s">
        <v>1613</v>
      </c>
      <c r="B3996" s="27" t="s">
        <v>1614</v>
      </c>
    </row>
    <row r="3997" spans="1:2" ht="15.75" customHeight="1" x14ac:dyDescent="0.25">
      <c r="A3997" s="27" t="s">
        <v>1613</v>
      </c>
      <c r="B3997" s="27" t="s">
        <v>1614</v>
      </c>
    </row>
    <row r="3998" spans="1:2" ht="15.75" customHeight="1" x14ac:dyDescent="0.25">
      <c r="A3998" s="27" t="s">
        <v>1613</v>
      </c>
      <c r="B3998" s="27" t="s">
        <v>1614</v>
      </c>
    </row>
    <row r="3999" spans="1:2" ht="15.75" customHeight="1" x14ac:dyDescent="0.25">
      <c r="A3999" s="27" t="s">
        <v>1613</v>
      </c>
      <c r="B3999" s="27" t="s">
        <v>1614</v>
      </c>
    </row>
    <row r="4000" spans="1:2" ht="15.75" customHeight="1" x14ac:dyDescent="0.25">
      <c r="A4000" s="27" t="s">
        <v>1613</v>
      </c>
      <c r="B4000" s="27" t="s">
        <v>1614</v>
      </c>
    </row>
    <row r="4001" spans="1:2" ht="15.75" customHeight="1" x14ac:dyDescent="0.25">
      <c r="A4001" s="27" t="s">
        <v>1613</v>
      </c>
      <c r="B4001" s="27" t="s">
        <v>1614</v>
      </c>
    </row>
    <row r="4002" spans="1:2" ht="15.75" customHeight="1" x14ac:dyDescent="0.25">
      <c r="A4002" s="27" t="s">
        <v>1613</v>
      </c>
      <c r="B4002" s="27" t="s">
        <v>1614</v>
      </c>
    </row>
    <row r="4003" spans="1:2" ht="15.75" customHeight="1" x14ac:dyDescent="0.25">
      <c r="A4003" s="27" t="s">
        <v>1613</v>
      </c>
      <c r="B4003" s="27" t="s">
        <v>1614</v>
      </c>
    </row>
    <row r="4004" spans="1:2" ht="15.75" customHeight="1" x14ac:dyDescent="0.25">
      <c r="A4004" s="27" t="s">
        <v>1613</v>
      </c>
      <c r="B4004" s="27" t="s">
        <v>1614</v>
      </c>
    </row>
    <row r="4005" spans="1:2" ht="15.75" customHeight="1" x14ac:dyDescent="0.25">
      <c r="A4005" s="27" t="s">
        <v>1613</v>
      </c>
      <c r="B4005" s="27" t="s">
        <v>1614</v>
      </c>
    </row>
    <row r="4006" spans="1:2" ht="15.75" customHeight="1" x14ac:dyDescent="0.25">
      <c r="A4006" s="27" t="s">
        <v>1613</v>
      </c>
      <c r="B4006" s="27" t="s">
        <v>1614</v>
      </c>
    </row>
    <row r="4007" spans="1:2" ht="15.75" customHeight="1" x14ac:dyDescent="0.25">
      <c r="A4007" s="27" t="s">
        <v>1613</v>
      </c>
      <c r="B4007" s="27" t="s">
        <v>1614</v>
      </c>
    </row>
    <row r="4008" spans="1:2" ht="15.75" customHeight="1" x14ac:dyDescent="0.25">
      <c r="A4008" s="27" t="s">
        <v>1613</v>
      </c>
      <c r="B4008" s="27" t="s">
        <v>1614</v>
      </c>
    </row>
    <row r="4009" spans="1:2" ht="15.75" customHeight="1" x14ac:dyDescent="0.25">
      <c r="A4009" s="27" t="s">
        <v>1613</v>
      </c>
      <c r="B4009" s="27" t="s">
        <v>1614</v>
      </c>
    </row>
    <row r="4010" spans="1:2" ht="15.75" customHeight="1" x14ac:dyDescent="0.25">
      <c r="A4010" s="27" t="s">
        <v>1613</v>
      </c>
      <c r="B4010" s="27" t="s">
        <v>1614</v>
      </c>
    </row>
    <row r="4011" spans="1:2" ht="15.75" customHeight="1" x14ac:dyDescent="0.25">
      <c r="A4011" s="27" t="s">
        <v>1613</v>
      </c>
      <c r="B4011" s="27" t="s">
        <v>1614</v>
      </c>
    </row>
    <row r="4012" spans="1:2" ht="15.75" customHeight="1" x14ac:dyDescent="0.25">
      <c r="A4012" s="27" t="s">
        <v>1613</v>
      </c>
      <c r="B4012" s="27" t="s">
        <v>1614</v>
      </c>
    </row>
    <row r="4013" spans="1:2" ht="15.75" customHeight="1" x14ac:dyDescent="0.25">
      <c r="A4013" s="27" t="s">
        <v>1613</v>
      </c>
      <c r="B4013" s="27" t="s">
        <v>1614</v>
      </c>
    </row>
    <row r="4014" spans="1:2" ht="15.75" customHeight="1" x14ac:dyDescent="0.25">
      <c r="A4014" s="27" t="s">
        <v>1613</v>
      </c>
      <c r="B4014" s="27" t="s">
        <v>1614</v>
      </c>
    </row>
    <row r="4015" spans="1:2" ht="15.75" customHeight="1" x14ac:dyDescent="0.25">
      <c r="A4015" s="27" t="s">
        <v>1613</v>
      </c>
      <c r="B4015" s="27" t="s">
        <v>1614</v>
      </c>
    </row>
    <row r="4016" spans="1:2" ht="15.75" customHeight="1" x14ac:dyDescent="0.25">
      <c r="A4016" s="27" t="s">
        <v>1613</v>
      </c>
      <c r="B4016" s="27" t="s">
        <v>1614</v>
      </c>
    </row>
    <row r="4017" spans="1:2" ht="15.75" customHeight="1" x14ac:dyDescent="0.25">
      <c r="A4017" s="27" t="s">
        <v>1613</v>
      </c>
      <c r="B4017" s="27" t="s">
        <v>1614</v>
      </c>
    </row>
    <row r="4018" spans="1:2" ht="15.75" customHeight="1" x14ac:dyDescent="0.25">
      <c r="A4018" s="27" t="s">
        <v>1613</v>
      </c>
      <c r="B4018" s="27" t="s">
        <v>1614</v>
      </c>
    </row>
    <row r="4019" spans="1:2" ht="15.75" customHeight="1" x14ac:dyDescent="0.25">
      <c r="A4019" s="27" t="s">
        <v>1613</v>
      </c>
      <c r="B4019" s="27" t="s">
        <v>1614</v>
      </c>
    </row>
    <row r="4020" spans="1:2" ht="15.75" customHeight="1" x14ac:dyDescent="0.25">
      <c r="A4020" s="27" t="s">
        <v>1613</v>
      </c>
      <c r="B4020" s="27" t="s">
        <v>1614</v>
      </c>
    </row>
    <row r="4021" spans="1:2" ht="15.75" customHeight="1" x14ac:dyDescent="0.25">
      <c r="A4021" s="27" t="s">
        <v>1613</v>
      </c>
      <c r="B4021" s="27" t="s">
        <v>1614</v>
      </c>
    </row>
    <row r="4022" spans="1:2" ht="15.75" customHeight="1" x14ac:dyDescent="0.25">
      <c r="A4022" s="27" t="s">
        <v>1613</v>
      </c>
      <c r="B4022" s="27" t="s">
        <v>1614</v>
      </c>
    </row>
    <row r="4023" spans="1:2" ht="15.75" customHeight="1" x14ac:dyDescent="0.25">
      <c r="A4023" s="27" t="s">
        <v>1613</v>
      </c>
      <c r="B4023" s="27" t="s">
        <v>1614</v>
      </c>
    </row>
    <row r="4024" spans="1:2" ht="15.75" customHeight="1" x14ac:dyDescent="0.25">
      <c r="A4024" s="27" t="s">
        <v>1613</v>
      </c>
      <c r="B4024" s="27" t="s">
        <v>1614</v>
      </c>
    </row>
    <row r="4025" spans="1:2" ht="15.75" customHeight="1" x14ac:dyDescent="0.25">
      <c r="A4025" s="27" t="s">
        <v>1613</v>
      </c>
      <c r="B4025" s="27" t="s">
        <v>1614</v>
      </c>
    </row>
    <row r="4026" spans="1:2" ht="15.75" customHeight="1" x14ac:dyDescent="0.25">
      <c r="A4026" s="27" t="s">
        <v>1613</v>
      </c>
      <c r="B4026" s="27" t="s">
        <v>1614</v>
      </c>
    </row>
    <row r="4027" spans="1:2" ht="15.75" customHeight="1" x14ac:dyDescent="0.25">
      <c r="A4027" s="27" t="s">
        <v>1613</v>
      </c>
      <c r="B4027" s="27" t="s">
        <v>1614</v>
      </c>
    </row>
    <row r="4028" spans="1:2" ht="15.75" customHeight="1" x14ac:dyDescent="0.25">
      <c r="A4028" s="27" t="s">
        <v>1613</v>
      </c>
      <c r="B4028" s="27" t="s">
        <v>1614</v>
      </c>
    </row>
    <row r="4029" spans="1:2" ht="15.75" customHeight="1" x14ac:dyDescent="0.25">
      <c r="A4029" s="27" t="s">
        <v>1613</v>
      </c>
      <c r="B4029" s="27" t="s">
        <v>1614</v>
      </c>
    </row>
    <row r="4030" spans="1:2" ht="15.75" customHeight="1" x14ac:dyDescent="0.25">
      <c r="A4030" s="27" t="s">
        <v>1613</v>
      </c>
      <c r="B4030" s="27" t="s">
        <v>1614</v>
      </c>
    </row>
    <row r="4031" spans="1:2" ht="15.75" customHeight="1" x14ac:dyDescent="0.25">
      <c r="A4031" s="27" t="s">
        <v>1613</v>
      </c>
      <c r="B4031" s="27" t="s">
        <v>1614</v>
      </c>
    </row>
    <row r="4032" spans="1:2" ht="15.75" customHeight="1" x14ac:dyDescent="0.25">
      <c r="A4032" s="27" t="s">
        <v>1613</v>
      </c>
      <c r="B4032" s="27" t="s">
        <v>1614</v>
      </c>
    </row>
    <row r="4033" spans="1:2" ht="15.75" customHeight="1" x14ac:dyDescent="0.25">
      <c r="A4033" s="27" t="s">
        <v>1613</v>
      </c>
      <c r="B4033" s="27" t="s">
        <v>1614</v>
      </c>
    </row>
    <row r="4034" spans="1:2" ht="15.75" customHeight="1" x14ac:dyDescent="0.25">
      <c r="A4034" s="27" t="s">
        <v>1613</v>
      </c>
      <c r="B4034" s="27" t="s">
        <v>1614</v>
      </c>
    </row>
    <row r="4035" spans="1:2" ht="15.75" customHeight="1" x14ac:dyDescent="0.25">
      <c r="A4035" s="27" t="s">
        <v>1613</v>
      </c>
      <c r="B4035" s="27" t="s">
        <v>1614</v>
      </c>
    </row>
    <row r="4036" spans="1:2" ht="15.75" customHeight="1" x14ac:dyDescent="0.25">
      <c r="A4036" s="27" t="s">
        <v>1613</v>
      </c>
      <c r="B4036" s="27" t="s">
        <v>1614</v>
      </c>
    </row>
    <row r="4037" spans="1:2" ht="15.75" customHeight="1" x14ac:dyDescent="0.25">
      <c r="A4037" s="27" t="s">
        <v>1613</v>
      </c>
      <c r="B4037" s="27" t="s">
        <v>1614</v>
      </c>
    </row>
    <row r="4038" spans="1:2" ht="15.75" customHeight="1" x14ac:dyDescent="0.25">
      <c r="A4038" s="27" t="s">
        <v>1613</v>
      </c>
      <c r="B4038" s="27" t="s">
        <v>1614</v>
      </c>
    </row>
    <row r="4039" spans="1:2" ht="15.75" customHeight="1" x14ac:dyDescent="0.25">
      <c r="A4039" s="27" t="s">
        <v>1613</v>
      </c>
      <c r="B4039" s="27" t="s">
        <v>1614</v>
      </c>
    </row>
    <row r="4040" spans="1:2" ht="15.75" customHeight="1" x14ac:dyDescent="0.25">
      <c r="A4040" s="27" t="s">
        <v>1613</v>
      </c>
      <c r="B4040" s="27" t="s">
        <v>1614</v>
      </c>
    </row>
    <row r="4041" spans="1:2" ht="15.75" customHeight="1" x14ac:dyDescent="0.25">
      <c r="A4041" s="27" t="s">
        <v>1613</v>
      </c>
      <c r="B4041" s="27" t="s">
        <v>1614</v>
      </c>
    </row>
    <row r="4042" spans="1:2" ht="15.75" customHeight="1" x14ac:dyDescent="0.25">
      <c r="A4042" s="27" t="s">
        <v>1613</v>
      </c>
      <c r="B4042" s="27" t="s">
        <v>1614</v>
      </c>
    </row>
    <row r="4043" spans="1:2" ht="15.75" customHeight="1" x14ac:dyDescent="0.25">
      <c r="A4043" s="27" t="s">
        <v>1613</v>
      </c>
      <c r="B4043" s="27" t="s">
        <v>1614</v>
      </c>
    </row>
    <row r="4044" spans="1:2" ht="15.75" customHeight="1" x14ac:dyDescent="0.25">
      <c r="A4044" s="27" t="s">
        <v>1613</v>
      </c>
      <c r="B4044" s="27" t="s">
        <v>1614</v>
      </c>
    </row>
    <row r="4045" spans="1:2" ht="15.75" customHeight="1" x14ac:dyDescent="0.25">
      <c r="A4045" s="27" t="s">
        <v>1613</v>
      </c>
      <c r="B4045" s="27" t="s">
        <v>1614</v>
      </c>
    </row>
    <row r="4046" spans="1:2" ht="15.75" customHeight="1" x14ac:dyDescent="0.25">
      <c r="A4046" s="27" t="s">
        <v>1613</v>
      </c>
      <c r="B4046" s="27" t="s">
        <v>1614</v>
      </c>
    </row>
    <row r="4047" spans="1:2" ht="15.75" customHeight="1" x14ac:dyDescent="0.25">
      <c r="A4047" s="27" t="s">
        <v>1613</v>
      </c>
      <c r="B4047" s="27" t="s">
        <v>1614</v>
      </c>
    </row>
    <row r="4048" spans="1:2" ht="15.75" customHeight="1" x14ac:dyDescent="0.25">
      <c r="A4048" s="27" t="s">
        <v>1613</v>
      </c>
      <c r="B4048" s="27" t="s">
        <v>1614</v>
      </c>
    </row>
    <row r="4049" spans="1:2" ht="15.75" customHeight="1" x14ac:dyDescent="0.25">
      <c r="A4049" s="27" t="s">
        <v>1613</v>
      </c>
      <c r="B4049" s="27" t="s">
        <v>1614</v>
      </c>
    </row>
    <row r="4050" spans="1:2" ht="15.75" customHeight="1" x14ac:dyDescent="0.25">
      <c r="A4050" s="27" t="s">
        <v>1613</v>
      </c>
      <c r="B4050" s="27" t="s">
        <v>1614</v>
      </c>
    </row>
    <row r="4051" spans="1:2" ht="15.75" customHeight="1" x14ac:dyDescent="0.25">
      <c r="A4051" s="27" t="s">
        <v>1613</v>
      </c>
      <c r="B4051" s="27" t="s">
        <v>1614</v>
      </c>
    </row>
    <row r="4052" spans="1:2" ht="15.75" customHeight="1" x14ac:dyDescent="0.25">
      <c r="A4052" s="27" t="s">
        <v>1613</v>
      </c>
      <c r="B4052" s="27" t="s">
        <v>1614</v>
      </c>
    </row>
    <row r="4053" spans="1:2" ht="15.75" customHeight="1" x14ac:dyDescent="0.25">
      <c r="A4053" s="27" t="s">
        <v>1613</v>
      </c>
      <c r="B4053" s="27" t="s">
        <v>1614</v>
      </c>
    </row>
    <row r="4054" spans="1:2" ht="15.75" customHeight="1" x14ac:dyDescent="0.25">
      <c r="A4054" s="27" t="s">
        <v>1613</v>
      </c>
      <c r="B4054" s="27" t="s">
        <v>1614</v>
      </c>
    </row>
    <row r="4055" spans="1:2" ht="15.75" customHeight="1" x14ac:dyDescent="0.25">
      <c r="A4055" s="27" t="s">
        <v>1613</v>
      </c>
      <c r="B4055" s="27" t="s">
        <v>1614</v>
      </c>
    </row>
    <row r="4056" spans="1:2" ht="15.75" customHeight="1" x14ac:dyDescent="0.25">
      <c r="A4056" s="27" t="s">
        <v>1613</v>
      </c>
      <c r="B4056" s="27" t="s">
        <v>1614</v>
      </c>
    </row>
    <row r="4057" spans="1:2" ht="15.75" customHeight="1" x14ac:dyDescent="0.25">
      <c r="A4057" s="27" t="s">
        <v>1613</v>
      </c>
      <c r="B4057" s="27" t="s">
        <v>1614</v>
      </c>
    </row>
    <row r="4058" spans="1:2" ht="15.75" customHeight="1" x14ac:dyDescent="0.25">
      <c r="A4058" s="27" t="s">
        <v>1613</v>
      </c>
      <c r="B4058" s="27" t="s">
        <v>1614</v>
      </c>
    </row>
    <row r="4059" spans="1:2" ht="15.75" customHeight="1" x14ac:dyDescent="0.25">
      <c r="A4059" s="27" t="s">
        <v>1613</v>
      </c>
      <c r="B4059" s="27" t="s">
        <v>1614</v>
      </c>
    </row>
    <row r="4060" spans="1:2" ht="15.75" customHeight="1" x14ac:dyDescent="0.25">
      <c r="A4060" s="27" t="s">
        <v>1613</v>
      </c>
      <c r="B4060" s="27" t="s">
        <v>1614</v>
      </c>
    </row>
    <row r="4061" spans="1:2" ht="15.75" customHeight="1" x14ac:dyDescent="0.25">
      <c r="A4061" s="27" t="s">
        <v>1613</v>
      </c>
      <c r="B4061" s="27" t="s">
        <v>1614</v>
      </c>
    </row>
    <row r="4062" spans="1:2" ht="15.75" customHeight="1" x14ac:dyDescent="0.25">
      <c r="A4062" s="27" t="s">
        <v>1613</v>
      </c>
      <c r="B4062" s="27" t="s">
        <v>1614</v>
      </c>
    </row>
    <row r="4063" spans="1:2" ht="15.75" customHeight="1" x14ac:dyDescent="0.25">
      <c r="A4063" s="27" t="s">
        <v>1613</v>
      </c>
      <c r="B4063" s="27" t="s">
        <v>1614</v>
      </c>
    </row>
    <row r="4064" spans="1:2" ht="15.75" customHeight="1" x14ac:dyDescent="0.25">
      <c r="A4064" s="27" t="s">
        <v>1613</v>
      </c>
      <c r="B4064" s="27" t="s">
        <v>1614</v>
      </c>
    </row>
    <row r="4065" spans="1:2" ht="15.75" customHeight="1" x14ac:dyDescent="0.25">
      <c r="A4065" s="27" t="s">
        <v>1613</v>
      </c>
      <c r="B4065" s="27" t="s">
        <v>1614</v>
      </c>
    </row>
    <row r="4066" spans="1:2" ht="15.75" customHeight="1" x14ac:dyDescent="0.25">
      <c r="A4066" s="27" t="s">
        <v>1613</v>
      </c>
      <c r="B4066" s="27" t="s">
        <v>1614</v>
      </c>
    </row>
    <row r="4067" spans="1:2" ht="15.75" customHeight="1" x14ac:dyDescent="0.25">
      <c r="A4067" s="27" t="s">
        <v>1613</v>
      </c>
      <c r="B4067" s="27" t="s">
        <v>1614</v>
      </c>
    </row>
    <row r="4068" spans="1:2" ht="15.75" customHeight="1" x14ac:dyDescent="0.25">
      <c r="A4068" s="27" t="s">
        <v>1613</v>
      </c>
      <c r="B4068" s="27" t="s">
        <v>1614</v>
      </c>
    </row>
    <row r="4069" spans="1:2" ht="15.75" customHeight="1" x14ac:dyDescent="0.25">
      <c r="A4069" s="27" t="s">
        <v>1613</v>
      </c>
      <c r="B4069" s="27" t="s">
        <v>1614</v>
      </c>
    </row>
    <row r="4070" spans="1:2" ht="15.75" customHeight="1" x14ac:dyDescent="0.25">
      <c r="A4070" s="27" t="s">
        <v>1613</v>
      </c>
      <c r="B4070" s="27" t="s">
        <v>1614</v>
      </c>
    </row>
    <row r="4071" spans="1:2" ht="15.75" customHeight="1" x14ac:dyDescent="0.25">
      <c r="A4071" s="27" t="s">
        <v>1613</v>
      </c>
      <c r="B4071" s="27" t="s">
        <v>1614</v>
      </c>
    </row>
    <row r="4072" spans="1:2" ht="15.75" customHeight="1" x14ac:dyDescent="0.25">
      <c r="A4072" s="27" t="s">
        <v>1613</v>
      </c>
      <c r="B4072" s="27" t="s">
        <v>1614</v>
      </c>
    </row>
    <row r="4073" spans="1:2" ht="15.75" customHeight="1" x14ac:dyDescent="0.25">
      <c r="A4073" s="27" t="s">
        <v>1613</v>
      </c>
      <c r="B4073" s="27" t="s">
        <v>1614</v>
      </c>
    </row>
    <row r="4074" spans="1:2" ht="15.75" customHeight="1" x14ac:dyDescent="0.25">
      <c r="A4074" s="27" t="s">
        <v>1613</v>
      </c>
      <c r="B4074" s="27" t="s">
        <v>1614</v>
      </c>
    </row>
    <row r="4075" spans="1:2" ht="15.75" customHeight="1" x14ac:dyDescent="0.25">
      <c r="A4075" s="27" t="s">
        <v>1613</v>
      </c>
      <c r="B4075" s="27" t="s">
        <v>1614</v>
      </c>
    </row>
    <row r="4076" spans="1:2" ht="15.75" customHeight="1" x14ac:dyDescent="0.25">
      <c r="A4076" s="27" t="s">
        <v>1613</v>
      </c>
      <c r="B4076" s="27" t="s">
        <v>1614</v>
      </c>
    </row>
    <row r="4077" spans="1:2" ht="15.75" customHeight="1" x14ac:dyDescent="0.25">
      <c r="A4077" s="27" t="s">
        <v>1613</v>
      </c>
      <c r="B4077" s="27" t="s">
        <v>1614</v>
      </c>
    </row>
    <row r="4078" spans="1:2" ht="15.75" customHeight="1" x14ac:dyDescent="0.25">
      <c r="A4078" s="27" t="s">
        <v>1613</v>
      </c>
      <c r="B4078" s="27" t="s">
        <v>1614</v>
      </c>
    </row>
    <row r="4079" spans="1:2" ht="15.75" customHeight="1" x14ac:dyDescent="0.25">
      <c r="A4079" s="27" t="s">
        <v>1613</v>
      </c>
      <c r="B4079" s="27" t="s">
        <v>1614</v>
      </c>
    </row>
    <row r="4080" spans="1:2" ht="15.75" customHeight="1" x14ac:dyDescent="0.25">
      <c r="A4080" s="27" t="s">
        <v>1613</v>
      </c>
      <c r="B4080" s="27" t="s">
        <v>1614</v>
      </c>
    </row>
    <row r="4081" spans="1:2" ht="15.75" customHeight="1" x14ac:dyDescent="0.25">
      <c r="A4081" s="27" t="s">
        <v>1613</v>
      </c>
      <c r="B4081" s="27" t="s">
        <v>1614</v>
      </c>
    </row>
    <row r="4082" spans="1:2" ht="15.75" customHeight="1" x14ac:dyDescent="0.25">
      <c r="A4082" s="27" t="s">
        <v>1613</v>
      </c>
      <c r="B4082" s="27" t="s">
        <v>1614</v>
      </c>
    </row>
    <row r="4083" spans="1:2" ht="15.75" customHeight="1" x14ac:dyDescent="0.25">
      <c r="A4083" s="27" t="s">
        <v>1613</v>
      </c>
      <c r="B4083" s="27" t="s">
        <v>1614</v>
      </c>
    </row>
    <row r="4084" spans="1:2" ht="15.75" customHeight="1" x14ac:dyDescent="0.25">
      <c r="A4084" s="27" t="s">
        <v>1613</v>
      </c>
      <c r="B4084" s="27" t="s">
        <v>1614</v>
      </c>
    </row>
    <row r="4085" spans="1:2" ht="15.75" customHeight="1" x14ac:dyDescent="0.25">
      <c r="A4085" s="27" t="s">
        <v>1613</v>
      </c>
      <c r="B4085" s="27" t="s">
        <v>1614</v>
      </c>
    </row>
    <row r="4086" spans="1:2" ht="15.75" customHeight="1" x14ac:dyDescent="0.25">
      <c r="A4086" s="27" t="s">
        <v>1613</v>
      </c>
      <c r="B4086" s="27" t="s">
        <v>1614</v>
      </c>
    </row>
    <row r="4087" spans="1:2" ht="15.75" customHeight="1" x14ac:dyDescent="0.25">
      <c r="A4087" s="27" t="s">
        <v>1613</v>
      </c>
      <c r="B4087" s="27" t="s">
        <v>1614</v>
      </c>
    </row>
    <row r="4088" spans="1:2" ht="15.75" customHeight="1" x14ac:dyDescent="0.25">
      <c r="A4088" s="27" t="s">
        <v>1613</v>
      </c>
      <c r="B4088" s="27" t="s">
        <v>1614</v>
      </c>
    </row>
    <row r="4089" spans="1:2" ht="15.75" customHeight="1" x14ac:dyDescent="0.25">
      <c r="A4089" s="27" t="s">
        <v>1613</v>
      </c>
      <c r="B4089" s="27" t="s">
        <v>1614</v>
      </c>
    </row>
    <row r="4090" spans="1:2" ht="15.75" customHeight="1" x14ac:dyDescent="0.25">
      <c r="A4090" s="27" t="s">
        <v>1613</v>
      </c>
      <c r="B4090" s="27" t="s">
        <v>1614</v>
      </c>
    </row>
    <row r="4091" spans="1:2" ht="15.75" customHeight="1" x14ac:dyDescent="0.25">
      <c r="A4091" s="27" t="s">
        <v>1613</v>
      </c>
      <c r="B4091" s="27" t="s">
        <v>1614</v>
      </c>
    </row>
    <row r="4092" spans="1:2" ht="15.75" customHeight="1" x14ac:dyDescent="0.25">
      <c r="A4092" s="27" t="s">
        <v>1613</v>
      </c>
      <c r="B4092" s="27" t="s">
        <v>1614</v>
      </c>
    </row>
    <row r="4093" spans="1:2" ht="15.75" customHeight="1" x14ac:dyDescent="0.25">
      <c r="A4093" s="27" t="s">
        <v>1613</v>
      </c>
      <c r="B4093" s="27" t="s">
        <v>1614</v>
      </c>
    </row>
    <row r="4094" spans="1:2" ht="15.75" customHeight="1" x14ac:dyDescent="0.25">
      <c r="A4094" s="27" t="s">
        <v>1613</v>
      </c>
      <c r="B4094" s="27" t="s">
        <v>1614</v>
      </c>
    </row>
    <row r="4095" spans="1:2" ht="15.75" customHeight="1" x14ac:dyDescent="0.25">
      <c r="A4095" s="27" t="s">
        <v>1613</v>
      </c>
      <c r="B4095" s="27" t="s">
        <v>1614</v>
      </c>
    </row>
    <row r="4096" spans="1:2" ht="15.75" customHeight="1" x14ac:dyDescent="0.25">
      <c r="A4096" s="27" t="s">
        <v>1613</v>
      </c>
      <c r="B4096" s="27" t="s">
        <v>1614</v>
      </c>
    </row>
    <row r="4097" spans="1:2" ht="15.75" customHeight="1" x14ac:dyDescent="0.25">
      <c r="A4097" s="27" t="s">
        <v>1615</v>
      </c>
      <c r="B4097" s="27" t="s">
        <v>1616</v>
      </c>
    </row>
    <row r="4098" spans="1:2" ht="15.75" customHeight="1" x14ac:dyDescent="0.25">
      <c r="A4098" s="27" t="s">
        <v>1615</v>
      </c>
      <c r="B4098" s="27" t="s">
        <v>1616</v>
      </c>
    </row>
    <row r="4099" spans="1:2" ht="15.75" customHeight="1" x14ac:dyDescent="0.25">
      <c r="A4099" s="27" t="s">
        <v>1615</v>
      </c>
      <c r="B4099" s="27" t="s">
        <v>1616</v>
      </c>
    </row>
    <row r="4100" spans="1:2" ht="15.75" customHeight="1" x14ac:dyDescent="0.25">
      <c r="A4100" s="27" t="s">
        <v>1615</v>
      </c>
      <c r="B4100" s="27" t="s">
        <v>1616</v>
      </c>
    </row>
    <row r="4101" spans="1:2" ht="15.75" customHeight="1" x14ac:dyDescent="0.25">
      <c r="A4101" s="27" t="s">
        <v>1617</v>
      </c>
      <c r="B4101" s="27" t="s">
        <v>1618</v>
      </c>
    </row>
    <row r="4102" spans="1:2" ht="15.75" customHeight="1" x14ac:dyDescent="0.25">
      <c r="A4102" s="27" t="s">
        <v>1617</v>
      </c>
      <c r="B4102" s="27" t="s">
        <v>1618</v>
      </c>
    </row>
    <row r="4103" spans="1:2" ht="15.75" customHeight="1" x14ac:dyDescent="0.25">
      <c r="A4103" s="27" t="s">
        <v>1617</v>
      </c>
      <c r="B4103" s="27" t="s">
        <v>1618</v>
      </c>
    </row>
    <row r="4104" spans="1:2" ht="15.75" customHeight="1" x14ac:dyDescent="0.25">
      <c r="A4104" s="27" t="s">
        <v>1617</v>
      </c>
      <c r="B4104" s="27" t="s">
        <v>1618</v>
      </c>
    </row>
    <row r="4105" spans="1:2" ht="15.75" customHeight="1" x14ac:dyDescent="0.25">
      <c r="A4105" s="27" t="s">
        <v>1617</v>
      </c>
      <c r="B4105" s="27" t="s">
        <v>1618</v>
      </c>
    </row>
    <row r="4106" spans="1:2" ht="15.75" customHeight="1" x14ac:dyDescent="0.25">
      <c r="A4106" s="27" t="s">
        <v>1617</v>
      </c>
      <c r="B4106" s="27" t="s">
        <v>1618</v>
      </c>
    </row>
    <row r="4107" spans="1:2" ht="15.75" customHeight="1" x14ac:dyDescent="0.25">
      <c r="A4107" s="27" t="s">
        <v>1617</v>
      </c>
      <c r="B4107" s="27" t="s">
        <v>1618</v>
      </c>
    </row>
    <row r="4108" spans="1:2" ht="15.75" customHeight="1" x14ac:dyDescent="0.25">
      <c r="A4108" s="27" t="s">
        <v>1617</v>
      </c>
      <c r="B4108" s="27" t="s">
        <v>1618</v>
      </c>
    </row>
    <row r="4109" spans="1:2" ht="15.75" customHeight="1" x14ac:dyDescent="0.25">
      <c r="A4109" s="27" t="s">
        <v>1617</v>
      </c>
      <c r="B4109" s="27" t="s">
        <v>1618</v>
      </c>
    </row>
    <row r="4110" spans="1:2" ht="15.75" customHeight="1" x14ac:dyDescent="0.25">
      <c r="A4110" s="27" t="s">
        <v>1617</v>
      </c>
      <c r="B4110" s="27" t="s">
        <v>1618</v>
      </c>
    </row>
    <row r="4111" spans="1:2" ht="15.75" customHeight="1" x14ac:dyDescent="0.25">
      <c r="A4111" s="27" t="s">
        <v>1617</v>
      </c>
      <c r="B4111" s="27" t="s">
        <v>1618</v>
      </c>
    </row>
    <row r="4112" spans="1:2" ht="15.75" customHeight="1" x14ac:dyDescent="0.25">
      <c r="A4112" s="27" t="s">
        <v>1617</v>
      </c>
      <c r="B4112" s="27" t="s">
        <v>1618</v>
      </c>
    </row>
    <row r="4113" spans="1:2" ht="15.75" customHeight="1" x14ac:dyDescent="0.25">
      <c r="A4113" s="27" t="s">
        <v>1617</v>
      </c>
      <c r="B4113" s="27" t="s">
        <v>1618</v>
      </c>
    </row>
    <row r="4114" spans="1:2" ht="15.75" customHeight="1" x14ac:dyDescent="0.25">
      <c r="A4114" s="27" t="s">
        <v>1617</v>
      </c>
      <c r="B4114" s="27" t="s">
        <v>1618</v>
      </c>
    </row>
    <row r="4115" spans="1:2" ht="15.75" customHeight="1" x14ac:dyDescent="0.25">
      <c r="A4115" s="27" t="s">
        <v>1617</v>
      </c>
      <c r="B4115" s="27" t="s">
        <v>1618</v>
      </c>
    </row>
    <row r="4116" spans="1:2" ht="15.75" customHeight="1" x14ac:dyDescent="0.25">
      <c r="A4116" s="27" t="s">
        <v>1617</v>
      </c>
      <c r="B4116" s="27" t="s">
        <v>1618</v>
      </c>
    </row>
    <row r="4117" spans="1:2" ht="15.75" customHeight="1" x14ac:dyDescent="0.25">
      <c r="A4117" s="27" t="s">
        <v>1617</v>
      </c>
      <c r="B4117" s="27" t="s">
        <v>1618</v>
      </c>
    </row>
    <row r="4118" spans="1:2" ht="15.75" customHeight="1" x14ac:dyDescent="0.25">
      <c r="A4118" s="27" t="s">
        <v>1617</v>
      </c>
      <c r="B4118" s="27" t="s">
        <v>1618</v>
      </c>
    </row>
    <row r="4119" spans="1:2" ht="15.75" customHeight="1" x14ac:dyDescent="0.25">
      <c r="A4119" s="27" t="s">
        <v>1617</v>
      </c>
      <c r="B4119" s="27" t="s">
        <v>1618</v>
      </c>
    </row>
    <row r="4120" spans="1:2" ht="15.75" customHeight="1" x14ac:dyDescent="0.25">
      <c r="A4120" s="27" t="s">
        <v>1617</v>
      </c>
      <c r="B4120" s="27" t="s">
        <v>1618</v>
      </c>
    </row>
    <row r="4121" spans="1:2" ht="15.75" customHeight="1" x14ac:dyDescent="0.25">
      <c r="A4121" s="27" t="s">
        <v>1617</v>
      </c>
      <c r="B4121" s="27" t="s">
        <v>1618</v>
      </c>
    </row>
    <row r="4122" spans="1:2" ht="15.75" customHeight="1" x14ac:dyDescent="0.25">
      <c r="A4122" s="27" t="s">
        <v>1617</v>
      </c>
      <c r="B4122" s="27" t="s">
        <v>1618</v>
      </c>
    </row>
    <row r="4123" spans="1:2" ht="15.75" customHeight="1" x14ac:dyDescent="0.25">
      <c r="A4123" s="27" t="s">
        <v>1617</v>
      </c>
      <c r="B4123" s="27" t="s">
        <v>1618</v>
      </c>
    </row>
    <row r="4124" spans="1:2" ht="15.75" customHeight="1" x14ac:dyDescent="0.25">
      <c r="A4124" s="27" t="s">
        <v>1617</v>
      </c>
      <c r="B4124" s="27" t="s">
        <v>1618</v>
      </c>
    </row>
    <row r="4125" spans="1:2" ht="15.75" customHeight="1" x14ac:dyDescent="0.25">
      <c r="A4125" s="27" t="s">
        <v>1617</v>
      </c>
      <c r="B4125" s="27" t="s">
        <v>1618</v>
      </c>
    </row>
    <row r="4126" spans="1:2" ht="15.75" customHeight="1" x14ac:dyDescent="0.25">
      <c r="A4126" s="27" t="s">
        <v>1617</v>
      </c>
      <c r="B4126" s="27" t="s">
        <v>1618</v>
      </c>
    </row>
    <row r="4127" spans="1:2" ht="15.75" customHeight="1" x14ac:dyDescent="0.25">
      <c r="A4127" s="27" t="s">
        <v>1617</v>
      </c>
      <c r="B4127" s="27" t="s">
        <v>1618</v>
      </c>
    </row>
    <row r="4128" spans="1:2" ht="15.75" customHeight="1" x14ac:dyDescent="0.25">
      <c r="A4128" s="27" t="s">
        <v>1617</v>
      </c>
      <c r="B4128" s="27" t="s">
        <v>1618</v>
      </c>
    </row>
    <row r="4129" spans="1:2" ht="15.75" customHeight="1" x14ac:dyDescent="0.25">
      <c r="A4129" s="27" t="s">
        <v>1617</v>
      </c>
      <c r="B4129" s="27" t="s">
        <v>1618</v>
      </c>
    </row>
    <row r="4130" spans="1:2" ht="15.75" customHeight="1" x14ac:dyDescent="0.25">
      <c r="A4130" s="27" t="s">
        <v>1619</v>
      </c>
      <c r="B4130" s="27" t="s">
        <v>1620</v>
      </c>
    </row>
    <row r="4131" spans="1:2" ht="15.75" customHeight="1" x14ac:dyDescent="0.25">
      <c r="A4131" s="27" t="s">
        <v>1621</v>
      </c>
      <c r="B4131" s="27" t="s">
        <v>1622</v>
      </c>
    </row>
    <row r="4132" spans="1:2" ht="15.75" customHeight="1" x14ac:dyDescent="0.25">
      <c r="A4132" s="27" t="s">
        <v>1621</v>
      </c>
      <c r="B4132" s="27" t="s">
        <v>1622</v>
      </c>
    </row>
    <row r="4133" spans="1:2" ht="15.75" customHeight="1" x14ac:dyDescent="0.25">
      <c r="A4133" s="27" t="s">
        <v>1623</v>
      </c>
      <c r="B4133" s="27" t="s">
        <v>1624</v>
      </c>
    </row>
    <row r="4134" spans="1:2" ht="15.75" customHeight="1" x14ac:dyDescent="0.25">
      <c r="A4134" s="27" t="s">
        <v>1625</v>
      </c>
      <c r="B4134" s="27" t="s">
        <v>1626</v>
      </c>
    </row>
    <row r="4135" spans="1:2" ht="15.75" customHeight="1" x14ac:dyDescent="0.25">
      <c r="A4135" s="27" t="s">
        <v>1627</v>
      </c>
      <c r="B4135" s="27" t="s">
        <v>1628</v>
      </c>
    </row>
    <row r="4136" spans="1:2" ht="15.75" customHeight="1" x14ac:dyDescent="0.25">
      <c r="A4136" s="27" t="s">
        <v>1629</v>
      </c>
      <c r="B4136" s="27" t="s">
        <v>1630</v>
      </c>
    </row>
    <row r="4137" spans="1:2" ht="15.75" customHeight="1" x14ac:dyDescent="0.25">
      <c r="A4137" s="27" t="s">
        <v>1631</v>
      </c>
      <c r="B4137" s="27" t="s">
        <v>1632</v>
      </c>
    </row>
    <row r="4138" spans="1:2" ht="15.75" customHeight="1" x14ac:dyDescent="0.25">
      <c r="A4138" s="27" t="s">
        <v>1633</v>
      </c>
      <c r="B4138" s="27" t="s">
        <v>1634</v>
      </c>
    </row>
    <row r="4139" spans="1:2" ht="15.75" customHeight="1" x14ac:dyDescent="0.25">
      <c r="A4139" s="27" t="s">
        <v>1633</v>
      </c>
      <c r="B4139" s="27" t="s">
        <v>1634</v>
      </c>
    </row>
    <row r="4140" spans="1:2" ht="15.75" customHeight="1" x14ac:dyDescent="0.25">
      <c r="A4140" s="27" t="s">
        <v>1633</v>
      </c>
      <c r="B4140" s="27" t="s">
        <v>1634</v>
      </c>
    </row>
    <row r="4141" spans="1:2" ht="15.75" customHeight="1" x14ac:dyDescent="0.25">
      <c r="A4141" s="27" t="s">
        <v>1635</v>
      </c>
      <c r="B4141" s="27" t="s">
        <v>1636</v>
      </c>
    </row>
    <row r="4142" spans="1:2" ht="15.75" customHeight="1" x14ac:dyDescent="0.25">
      <c r="A4142" s="27" t="s">
        <v>1637</v>
      </c>
      <c r="B4142" s="27" t="s">
        <v>1638</v>
      </c>
    </row>
    <row r="4143" spans="1:2" ht="15.75" customHeight="1" x14ac:dyDescent="0.25">
      <c r="A4143" s="27" t="s">
        <v>1637</v>
      </c>
      <c r="B4143" s="27" t="s">
        <v>1638</v>
      </c>
    </row>
    <row r="4144" spans="1:2" ht="15.75" customHeight="1" x14ac:dyDescent="0.25">
      <c r="A4144" s="27" t="s">
        <v>1637</v>
      </c>
      <c r="B4144" s="27" t="s">
        <v>1638</v>
      </c>
    </row>
    <row r="4145" spans="1:2" ht="15.75" customHeight="1" x14ac:dyDescent="0.25">
      <c r="A4145" s="27" t="s">
        <v>1639</v>
      </c>
      <c r="B4145" s="27" t="s">
        <v>1640</v>
      </c>
    </row>
    <row r="4146" spans="1:2" ht="15.75" customHeight="1" x14ac:dyDescent="0.25">
      <c r="A4146" s="27" t="s">
        <v>1639</v>
      </c>
      <c r="B4146" s="27" t="s">
        <v>1640</v>
      </c>
    </row>
    <row r="4147" spans="1:2" ht="15.75" customHeight="1" x14ac:dyDescent="0.25">
      <c r="A4147" s="27" t="s">
        <v>1639</v>
      </c>
      <c r="B4147" s="27" t="s">
        <v>1640</v>
      </c>
    </row>
    <row r="4148" spans="1:2" ht="15.75" customHeight="1" x14ac:dyDescent="0.25">
      <c r="A4148" s="27" t="s">
        <v>1641</v>
      </c>
      <c r="B4148" s="27" t="s">
        <v>1642</v>
      </c>
    </row>
    <row r="4149" spans="1:2" ht="15.75" customHeight="1" x14ac:dyDescent="0.25">
      <c r="A4149" s="27" t="s">
        <v>1641</v>
      </c>
      <c r="B4149" s="27" t="s">
        <v>1642</v>
      </c>
    </row>
    <row r="4150" spans="1:2" ht="15.75" customHeight="1" x14ac:dyDescent="0.25">
      <c r="A4150" s="27" t="s">
        <v>1641</v>
      </c>
      <c r="B4150" s="27" t="s">
        <v>1642</v>
      </c>
    </row>
    <row r="4151" spans="1:2" ht="15.75" customHeight="1" x14ac:dyDescent="0.25">
      <c r="A4151" s="27" t="s">
        <v>1641</v>
      </c>
      <c r="B4151" s="27" t="s">
        <v>1642</v>
      </c>
    </row>
    <row r="4152" spans="1:2" ht="15.75" customHeight="1" x14ac:dyDescent="0.25">
      <c r="A4152" s="27" t="s">
        <v>1641</v>
      </c>
      <c r="B4152" s="27" t="s">
        <v>1642</v>
      </c>
    </row>
    <row r="4153" spans="1:2" ht="15.75" customHeight="1" x14ac:dyDescent="0.25">
      <c r="A4153" s="27" t="s">
        <v>1641</v>
      </c>
      <c r="B4153" s="27" t="s">
        <v>1642</v>
      </c>
    </row>
    <row r="4154" spans="1:2" ht="15.75" customHeight="1" x14ac:dyDescent="0.25">
      <c r="A4154" s="27" t="s">
        <v>1641</v>
      </c>
      <c r="B4154" s="27" t="s">
        <v>1642</v>
      </c>
    </row>
    <row r="4155" spans="1:2" ht="15.75" customHeight="1" x14ac:dyDescent="0.25">
      <c r="A4155" s="27" t="s">
        <v>1641</v>
      </c>
      <c r="B4155" s="27" t="s">
        <v>1642</v>
      </c>
    </row>
    <row r="4156" spans="1:2" ht="15.75" customHeight="1" x14ac:dyDescent="0.25">
      <c r="A4156" s="27" t="s">
        <v>1641</v>
      </c>
      <c r="B4156" s="27" t="s">
        <v>1642</v>
      </c>
    </row>
    <row r="4157" spans="1:2" ht="15.75" customHeight="1" x14ac:dyDescent="0.25">
      <c r="A4157" s="27" t="s">
        <v>1641</v>
      </c>
      <c r="B4157" s="27" t="s">
        <v>1642</v>
      </c>
    </row>
    <row r="4158" spans="1:2" ht="15.75" customHeight="1" x14ac:dyDescent="0.25">
      <c r="A4158" s="27" t="s">
        <v>1641</v>
      </c>
      <c r="B4158" s="27" t="s">
        <v>1642</v>
      </c>
    </row>
    <row r="4159" spans="1:2" ht="15.75" customHeight="1" x14ac:dyDescent="0.25">
      <c r="A4159" s="27" t="s">
        <v>1641</v>
      </c>
      <c r="B4159" s="27" t="s">
        <v>1642</v>
      </c>
    </row>
    <row r="4160" spans="1:2" ht="15.75" customHeight="1" x14ac:dyDescent="0.25">
      <c r="A4160" s="27" t="s">
        <v>1641</v>
      </c>
      <c r="B4160" s="27" t="s">
        <v>1642</v>
      </c>
    </row>
    <row r="4161" spans="1:2" ht="15.75" customHeight="1" x14ac:dyDescent="0.25">
      <c r="A4161" s="27" t="s">
        <v>1641</v>
      </c>
      <c r="B4161" s="27" t="s">
        <v>1642</v>
      </c>
    </row>
    <row r="4162" spans="1:2" ht="15.75" customHeight="1" x14ac:dyDescent="0.25">
      <c r="A4162" s="27" t="s">
        <v>1641</v>
      </c>
      <c r="B4162" s="27" t="s">
        <v>1642</v>
      </c>
    </row>
    <row r="4163" spans="1:2" ht="15.75" customHeight="1" x14ac:dyDescent="0.25">
      <c r="A4163" s="27" t="s">
        <v>1641</v>
      </c>
      <c r="B4163" s="27" t="s">
        <v>1642</v>
      </c>
    </row>
    <row r="4164" spans="1:2" ht="15.75" customHeight="1" x14ac:dyDescent="0.25">
      <c r="A4164" s="27" t="s">
        <v>1641</v>
      </c>
      <c r="B4164" s="27" t="s">
        <v>1642</v>
      </c>
    </row>
    <row r="4165" spans="1:2" ht="15.75" customHeight="1" x14ac:dyDescent="0.25">
      <c r="A4165" s="27" t="s">
        <v>1641</v>
      </c>
      <c r="B4165" s="27" t="s">
        <v>1642</v>
      </c>
    </row>
    <row r="4166" spans="1:2" ht="15.75" customHeight="1" x14ac:dyDescent="0.25">
      <c r="A4166" s="27" t="s">
        <v>1641</v>
      </c>
      <c r="B4166" s="27" t="s">
        <v>1642</v>
      </c>
    </row>
    <row r="4167" spans="1:2" ht="15.75" customHeight="1" x14ac:dyDescent="0.25">
      <c r="A4167" s="27" t="s">
        <v>1641</v>
      </c>
      <c r="B4167" s="27" t="s">
        <v>1642</v>
      </c>
    </row>
    <row r="4168" spans="1:2" ht="15.75" customHeight="1" x14ac:dyDescent="0.25">
      <c r="A4168" s="27" t="s">
        <v>1641</v>
      </c>
      <c r="B4168" s="27" t="s">
        <v>1642</v>
      </c>
    </row>
    <row r="4169" spans="1:2" ht="15.75" customHeight="1" x14ac:dyDescent="0.25">
      <c r="A4169" s="27" t="s">
        <v>1641</v>
      </c>
      <c r="B4169" s="27" t="s">
        <v>1642</v>
      </c>
    </row>
    <row r="4170" spans="1:2" ht="15.75" customHeight="1" x14ac:dyDescent="0.25">
      <c r="A4170" s="27" t="s">
        <v>1641</v>
      </c>
      <c r="B4170" s="27" t="s">
        <v>1642</v>
      </c>
    </row>
    <row r="4171" spans="1:2" ht="15.75" customHeight="1" x14ac:dyDescent="0.25">
      <c r="A4171" s="27" t="s">
        <v>1641</v>
      </c>
      <c r="B4171" s="27" t="s">
        <v>1642</v>
      </c>
    </row>
    <row r="4172" spans="1:2" ht="15.75" customHeight="1" x14ac:dyDescent="0.25">
      <c r="A4172" s="27" t="s">
        <v>1641</v>
      </c>
      <c r="B4172" s="27" t="s">
        <v>1642</v>
      </c>
    </row>
    <row r="4173" spans="1:2" ht="15.75" customHeight="1" x14ac:dyDescent="0.25">
      <c r="A4173" s="27" t="s">
        <v>1641</v>
      </c>
      <c r="B4173" s="27" t="s">
        <v>1642</v>
      </c>
    </row>
    <row r="4174" spans="1:2" ht="15.75" customHeight="1" x14ac:dyDescent="0.25">
      <c r="A4174" s="27" t="s">
        <v>1641</v>
      </c>
      <c r="B4174" s="27" t="s">
        <v>1642</v>
      </c>
    </row>
    <row r="4175" spans="1:2" ht="15.75" customHeight="1" x14ac:dyDescent="0.25">
      <c r="A4175" s="27" t="s">
        <v>1641</v>
      </c>
      <c r="B4175" s="27" t="s">
        <v>1642</v>
      </c>
    </row>
    <row r="4176" spans="1:2" ht="15.75" customHeight="1" x14ac:dyDescent="0.25">
      <c r="A4176" s="27" t="s">
        <v>1641</v>
      </c>
      <c r="B4176" s="27" t="s">
        <v>1642</v>
      </c>
    </row>
    <row r="4177" spans="1:2" ht="15.75" customHeight="1" x14ac:dyDescent="0.25">
      <c r="A4177" s="27" t="s">
        <v>1641</v>
      </c>
      <c r="B4177" s="27" t="s">
        <v>1642</v>
      </c>
    </row>
    <row r="4178" spans="1:2" ht="15.75" customHeight="1" x14ac:dyDescent="0.25">
      <c r="A4178" s="27" t="s">
        <v>1641</v>
      </c>
      <c r="B4178" s="27" t="s">
        <v>1642</v>
      </c>
    </row>
    <row r="4179" spans="1:2" ht="15.75" customHeight="1" x14ac:dyDescent="0.25">
      <c r="A4179" s="27" t="s">
        <v>1641</v>
      </c>
      <c r="B4179" s="27" t="s">
        <v>1642</v>
      </c>
    </row>
    <row r="4180" spans="1:2" ht="15.75" customHeight="1" x14ac:dyDescent="0.25">
      <c r="A4180" s="27" t="s">
        <v>1641</v>
      </c>
      <c r="B4180" s="27" t="s">
        <v>1642</v>
      </c>
    </row>
    <row r="4181" spans="1:2" ht="15.75" customHeight="1" x14ac:dyDescent="0.25">
      <c r="A4181" s="27" t="s">
        <v>1641</v>
      </c>
      <c r="B4181" s="27" t="s">
        <v>1642</v>
      </c>
    </row>
    <row r="4182" spans="1:2" ht="15.75" customHeight="1" x14ac:dyDescent="0.25">
      <c r="A4182" s="27" t="s">
        <v>1641</v>
      </c>
      <c r="B4182" s="27" t="s">
        <v>1642</v>
      </c>
    </row>
    <row r="4183" spans="1:2" ht="15.75" customHeight="1" x14ac:dyDescent="0.25">
      <c r="A4183" s="27" t="s">
        <v>1641</v>
      </c>
      <c r="B4183" s="27" t="s">
        <v>1642</v>
      </c>
    </row>
    <row r="4184" spans="1:2" ht="15.75" customHeight="1" x14ac:dyDescent="0.25">
      <c r="A4184" s="27" t="s">
        <v>1641</v>
      </c>
      <c r="B4184" s="27" t="s">
        <v>1642</v>
      </c>
    </row>
    <row r="4185" spans="1:2" ht="15.75" customHeight="1" x14ac:dyDescent="0.25">
      <c r="A4185" s="27" t="s">
        <v>1641</v>
      </c>
      <c r="B4185" s="27" t="s">
        <v>1642</v>
      </c>
    </row>
    <row r="4186" spans="1:2" ht="15.75" customHeight="1" x14ac:dyDescent="0.25">
      <c r="A4186" s="27" t="s">
        <v>1643</v>
      </c>
      <c r="B4186" s="27" t="s">
        <v>1644</v>
      </c>
    </row>
    <row r="4187" spans="1:2" ht="15.75" customHeight="1" x14ac:dyDescent="0.25">
      <c r="A4187" s="27" t="s">
        <v>1645</v>
      </c>
      <c r="B4187" s="27" t="s">
        <v>1646</v>
      </c>
    </row>
    <row r="4188" spans="1:2" ht="15.75" customHeight="1" x14ac:dyDescent="0.25">
      <c r="A4188" s="27" t="s">
        <v>1645</v>
      </c>
      <c r="B4188" s="27" t="s">
        <v>1646</v>
      </c>
    </row>
    <row r="4189" spans="1:2" ht="15.75" customHeight="1" x14ac:dyDescent="0.25">
      <c r="A4189" s="27" t="s">
        <v>1647</v>
      </c>
      <c r="B4189" s="27" t="s">
        <v>1648</v>
      </c>
    </row>
    <row r="4190" spans="1:2" ht="15.75" customHeight="1" x14ac:dyDescent="0.25">
      <c r="A4190" s="27" t="s">
        <v>1649</v>
      </c>
      <c r="B4190" s="27" t="s">
        <v>1650</v>
      </c>
    </row>
    <row r="4191" spans="1:2" ht="15.75" customHeight="1" x14ac:dyDescent="0.25">
      <c r="A4191" s="27" t="s">
        <v>1649</v>
      </c>
      <c r="B4191" s="27" t="s">
        <v>1650</v>
      </c>
    </row>
    <row r="4192" spans="1:2" ht="15.75" customHeight="1" x14ac:dyDescent="0.25">
      <c r="A4192" s="27" t="s">
        <v>1651</v>
      </c>
      <c r="B4192" s="27" t="s">
        <v>1652</v>
      </c>
    </row>
    <row r="4193" spans="1:2" ht="15.75" customHeight="1" x14ac:dyDescent="0.25">
      <c r="A4193" s="27" t="s">
        <v>1653</v>
      </c>
      <c r="B4193" s="27" t="s">
        <v>1654</v>
      </c>
    </row>
    <row r="4194" spans="1:2" ht="15.75" customHeight="1" x14ac:dyDescent="0.25">
      <c r="A4194" s="27" t="s">
        <v>1655</v>
      </c>
      <c r="B4194" s="27" t="s">
        <v>1656</v>
      </c>
    </row>
    <row r="4195" spans="1:2" ht="15.75" customHeight="1" x14ac:dyDescent="0.25">
      <c r="A4195" s="27" t="s">
        <v>1655</v>
      </c>
      <c r="B4195" s="27" t="s">
        <v>1656</v>
      </c>
    </row>
    <row r="4196" spans="1:2" ht="15.75" customHeight="1" x14ac:dyDescent="0.25">
      <c r="A4196" s="27" t="s">
        <v>1655</v>
      </c>
      <c r="B4196" s="27" t="s">
        <v>1656</v>
      </c>
    </row>
    <row r="4197" spans="1:2" ht="15.75" customHeight="1" x14ac:dyDescent="0.25">
      <c r="A4197" s="27" t="s">
        <v>1655</v>
      </c>
      <c r="B4197" s="27" t="s">
        <v>1656</v>
      </c>
    </row>
    <row r="4198" spans="1:2" ht="15.75" customHeight="1" x14ac:dyDescent="0.25">
      <c r="A4198" s="27" t="s">
        <v>1655</v>
      </c>
      <c r="B4198" s="27" t="s">
        <v>1656</v>
      </c>
    </row>
    <row r="4199" spans="1:2" ht="15.75" customHeight="1" x14ac:dyDescent="0.25">
      <c r="A4199" s="27" t="s">
        <v>1655</v>
      </c>
      <c r="B4199" s="27" t="s">
        <v>1656</v>
      </c>
    </row>
    <row r="4200" spans="1:2" ht="15.75" customHeight="1" x14ac:dyDescent="0.25">
      <c r="A4200" s="27" t="s">
        <v>1655</v>
      </c>
      <c r="B4200" s="27" t="s">
        <v>1656</v>
      </c>
    </row>
    <row r="4201" spans="1:2" ht="15.75" customHeight="1" x14ac:dyDescent="0.25">
      <c r="A4201" s="27" t="s">
        <v>1655</v>
      </c>
      <c r="B4201" s="27" t="s">
        <v>1656</v>
      </c>
    </row>
    <row r="4202" spans="1:2" ht="15.75" customHeight="1" x14ac:dyDescent="0.25">
      <c r="A4202" s="27" t="s">
        <v>1655</v>
      </c>
      <c r="B4202" s="27" t="s">
        <v>1656</v>
      </c>
    </row>
    <row r="4203" spans="1:2" ht="15.75" customHeight="1" x14ac:dyDescent="0.25">
      <c r="A4203" s="27" t="s">
        <v>1655</v>
      </c>
      <c r="B4203" s="27" t="s">
        <v>1656</v>
      </c>
    </row>
    <row r="4204" spans="1:2" ht="15.75" customHeight="1" x14ac:dyDescent="0.25">
      <c r="A4204" s="27" t="s">
        <v>1655</v>
      </c>
      <c r="B4204" s="27" t="s">
        <v>1656</v>
      </c>
    </row>
    <row r="4205" spans="1:2" ht="15.75" customHeight="1" x14ac:dyDescent="0.25">
      <c r="A4205" s="27" t="s">
        <v>1655</v>
      </c>
      <c r="B4205" s="27" t="s">
        <v>1656</v>
      </c>
    </row>
    <row r="4206" spans="1:2" ht="15.75" customHeight="1" x14ac:dyDescent="0.25">
      <c r="A4206" s="27" t="s">
        <v>1655</v>
      </c>
      <c r="B4206" s="27" t="s">
        <v>1656</v>
      </c>
    </row>
    <row r="4207" spans="1:2" ht="15.75" customHeight="1" x14ac:dyDescent="0.25">
      <c r="A4207" s="27" t="s">
        <v>1655</v>
      </c>
      <c r="B4207" s="27" t="s">
        <v>1656</v>
      </c>
    </row>
    <row r="4208" spans="1:2" ht="15.75" customHeight="1" x14ac:dyDescent="0.25">
      <c r="A4208" s="27" t="s">
        <v>1655</v>
      </c>
      <c r="B4208" s="27" t="s">
        <v>1656</v>
      </c>
    </row>
    <row r="4209" spans="1:2" ht="15.75" customHeight="1" x14ac:dyDescent="0.25">
      <c r="A4209" s="27" t="s">
        <v>1655</v>
      </c>
      <c r="B4209" s="27" t="s">
        <v>1656</v>
      </c>
    </row>
    <row r="4210" spans="1:2" ht="15.75" customHeight="1" x14ac:dyDescent="0.25">
      <c r="A4210" s="27" t="s">
        <v>1655</v>
      </c>
      <c r="B4210" s="27" t="s">
        <v>1656</v>
      </c>
    </row>
    <row r="4211" spans="1:2" ht="15.75" customHeight="1" x14ac:dyDescent="0.25">
      <c r="A4211" s="27" t="s">
        <v>1655</v>
      </c>
      <c r="B4211" s="27" t="s">
        <v>1656</v>
      </c>
    </row>
    <row r="4212" spans="1:2" ht="15.75" customHeight="1" x14ac:dyDescent="0.25">
      <c r="A4212" s="27" t="s">
        <v>1655</v>
      </c>
      <c r="B4212" s="27" t="s">
        <v>1656</v>
      </c>
    </row>
    <row r="4213" spans="1:2" ht="15.75" customHeight="1" x14ac:dyDescent="0.25">
      <c r="A4213" s="27" t="s">
        <v>1655</v>
      </c>
      <c r="B4213" s="27" t="s">
        <v>1656</v>
      </c>
    </row>
    <row r="4214" spans="1:2" ht="15.75" customHeight="1" x14ac:dyDescent="0.25">
      <c r="A4214" s="27" t="s">
        <v>1655</v>
      </c>
      <c r="B4214" s="27" t="s">
        <v>1656</v>
      </c>
    </row>
    <row r="4215" spans="1:2" ht="15.75" customHeight="1" x14ac:dyDescent="0.25">
      <c r="A4215" s="27" t="s">
        <v>1655</v>
      </c>
      <c r="B4215" s="27" t="s">
        <v>1656</v>
      </c>
    </row>
    <row r="4216" spans="1:2" ht="15.75" customHeight="1" x14ac:dyDescent="0.25">
      <c r="A4216" s="27" t="s">
        <v>1655</v>
      </c>
      <c r="B4216" s="27" t="s">
        <v>1656</v>
      </c>
    </row>
    <row r="4217" spans="1:2" ht="15.75" customHeight="1" x14ac:dyDescent="0.25">
      <c r="A4217" s="27" t="s">
        <v>1655</v>
      </c>
      <c r="B4217" s="27" t="s">
        <v>1656</v>
      </c>
    </row>
    <row r="4218" spans="1:2" ht="15.75" customHeight="1" x14ac:dyDescent="0.25">
      <c r="A4218" s="27" t="s">
        <v>1655</v>
      </c>
      <c r="B4218" s="27" t="s">
        <v>1656</v>
      </c>
    </row>
    <row r="4219" spans="1:2" ht="15.75" customHeight="1" x14ac:dyDescent="0.25">
      <c r="A4219" s="27" t="s">
        <v>1655</v>
      </c>
      <c r="B4219" s="27" t="s">
        <v>1656</v>
      </c>
    </row>
    <row r="4220" spans="1:2" ht="15.75" customHeight="1" x14ac:dyDescent="0.25">
      <c r="A4220" s="27" t="s">
        <v>1655</v>
      </c>
      <c r="B4220" s="27" t="s">
        <v>1656</v>
      </c>
    </row>
    <row r="4221" spans="1:2" ht="15.75" customHeight="1" x14ac:dyDescent="0.25">
      <c r="A4221" s="27" t="s">
        <v>1655</v>
      </c>
      <c r="B4221" s="27" t="s">
        <v>1656</v>
      </c>
    </row>
    <row r="4222" spans="1:2" ht="15.75" customHeight="1" x14ac:dyDescent="0.25">
      <c r="A4222" s="27" t="s">
        <v>1655</v>
      </c>
      <c r="B4222" s="27" t="s">
        <v>1656</v>
      </c>
    </row>
    <row r="4223" spans="1:2" ht="15.75" customHeight="1" x14ac:dyDescent="0.25">
      <c r="A4223" s="27" t="s">
        <v>1655</v>
      </c>
      <c r="B4223" s="27" t="s">
        <v>1656</v>
      </c>
    </row>
    <row r="4224" spans="1:2" ht="15.75" customHeight="1" x14ac:dyDescent="0.25">
      <c r="A4224" s="27" t="s">
        <v>1655</v>
      </c>
      <c r="B4224" s="27" t="s">
        <v>1656</v>
      </c>
    </row>
    <row r="4225" spans="1:2" ht="15.75" customHeight="1" x14ac:dyDescent="0.25">
      <c r="A4225" s="27" t="s">
        <v>1655</v>
      </c>
      <c r="B4225" s="27" t="s">
        <v>1656</v>
      </c>
    </row>
    <row r="4226" spans="1:2" ht="15.75" customHeight="1" x14ac:dyDescent="0.25">
      <c r="A4226" s="27" t="s">
        <v>1655</v>
      </c>
      <c r="B4226" s="27" t="s">
        <v>1656</v>
      </c>
    </row>
    <row r="4227" spans="1:2" ht="15.75" customHeight="1" x14ac:dyDescent="0.25">
      <c r="A4227" s="27" t="s">
        <v>1657</v>
      </c>
      <c r="B4227" s="27" t="s">
        <v>1658</v>
      </c>
    </row>
    <row r="4228" spans="1:2" ht="15.75" customHeight="1" x14ac:dyDescent="0.25">
      <c r="A4228" s="27" t="s">
        <v>1657</v>
      </c>
      <c r="B4228" s="27" t="s">
        <v>1658</v>
      </c>
    </row>
    <row r="4229" spans="1:2" ht="15.75" customHeight="1" x14ac:dyDescent="0.25">
      <c r="A4229" s="27" t="s">
        <v>1659</v>
      </c>
      <c r="B4229" s="27" t="s">
        <v>1660</v>
      </c>
    </row>
    <row r="4230" spans="1:2" ht="15.75" customHeight="1" x14ac:dyDescent="0.25">
      <c r="A4230" s="27" t="s">
        <v>1661</v>
      </c>
      <c r="B4230" s="27" t="s">
        <v>1662</v>
      </c>
    </row>
    <row r="4231" spans="1:2" ht="15.75" customHeight="1" x14ac:dyDescent="0.25">
      <c r="A4231" s="27" t="s">
        <v>1661</v>
      </c>
      <c r="B4231" s="27" t="s">
        <v>1662</v>
      </c>
    </row>
    <row r="4232" spans="1:2" ht="15.75" customHeight="1" x14ac:dyDescent="0.25">
      <c r="A4232" s="27" t="s">
        <v>1663</v>
      </c>
      <c r="B4232" s="27" t="s">
        <v>1664</v>
      </c>
    </row>
    <row r="4233" spans="1:2" ht="15.75" customHeight="1" x14ac:dyDescent="0.25">
      <c r="A4233" s="27" t="s">
        <v>1665</v>
      </c>
      <c r="B4233" s="27" t="s">
        <v>1666</v>
      </c>
    </row>
    <row r="4234" spans="1:2" ht="15.75" customHeight="1" x14ac:dyDescent="0.25">
      <c r="A4234" s="27" t="s">
        <v>1665</v>
      </c>
      <c r="B4234" s="27" t="s">
        <v>1666</v>
      </c>
    </row>
    <row r="4235" spans="1:2" ht="15.75" customHeight="1" x14ac:dyDescent="0.25">
      <c r="A4235" s="27" t="s">
        <v>1665</v>
      </c>
      <c r="B4235" s="27" t="s">
        <v>1666</v>
      </c>
    </row>
    <row r="4236" spans="1:2" ht="15.75" customHeight="1" x14ac:dyDescent="0.25">
      <c r="A4236" s="27" t="s">
        <v>1667</v>
      </c>
      <c r="B4236" s="27" t="s">
        <v>1668</v>
      </c>
    </row>
    <row r="4237" spans="1:2" ht="15.75" customHeight="1" x14ac:dyDescent="0.25">
      <c r="A4237" s="27" t="s">
        <v>1667</v>
      </c>
      <c r="B4237" s="27" t="s">
        <v>1668</v>
      </c>
    </row>
    <row r="4238" spans="1:2" ht="15.75" customHeight="1" x14ac:dyDescent="0.25">
      <c r="A4238" s="27" t="s">
        <v>1669</v>
      </c>
      <c r="B4238" s="27" t="s">
        <v>1670</v>
      </c>
    </row>
    <row r="4239" spans="1:2" ht="15.75" customHeight="1" x14ac:dyDescent="0.25">
      <c r="A4239" s="27" t="s">
        <v>1669</v>
      </c>
      <c r="B4239" s="27" t="s">
        <v>1670</v>
      </c>
    </row>
    <row r="4240" spans="1:2" ht="15.75" customHeight="1" x14ac:dyDescent="0.25">
      <c r="A4240" s="27" t="s">
        <v>1669</v>
      </c>
      <c r="B4240" s="27" t="s">
        <v>1670</v>
      </c>
    </row>
    <row r="4241" spans="1:2" ht="15.75" customHeight="1" x14ac:dyDescent="0.25">
      <c r="A4241" s="27" t="s">
        <v>1669</v>
      </c>
      <c r="B4241" s="27" t="s">
        <v>1670</v>
      </c>
    </row>
    <row r="4242" spans="1:2" ht="15.75" customHeight="1" x14ac:dyDescent="0.25">
      <c r="A4242" s="27" t="s">
        <v>1671</v>
      </c>
      <c r="B4242" s="27" t="s">
        <v>1672</v>
      </c>
    </row>
    <row r="4243" spans="1:2" ht="15.75" customHeight="1" x14ac:dyDescent="0.25">
      <c r="A4243" s="27" t="s">
        <v>1673</v>
      </c>
      <c r="B4243" s="27" t="s">
        <v>1674</v>
      </c>
    </row>
    <row r="4244" spans="1:2" ht="15.75" customHeight="1" x14ac:dyDescent="0.25">
      <c r="A4244" s="27" t="s">
        <v>1675</v>
      </c>
      <c r="B4244" s="27" t="s">
        <v>1676</v>
      </c>
    </row>
    <row r="4245" spans="1:2" ht="15.75" customHeight="1" x14ac:dyDescent="0.25">
      <c r="A4245" s="27" t="s">
        <v>1675</v>
      </c>
      <c r="B4245" s="27" t="s">
        <v>1676</v>
      </c>
    </row>
    <row r="4246" spans="1:2" ht="15.75" customHeight="1" x14ac:dyDescent="0.25">
      <c r="A4246" s="27" t="s">
        <v>1677</v>
      </c>
      <c r="B4246" s="27" t="s">
        <v>1678</v>
      </c>
    </row>
    <row r="4247" spans="1:2" ht="15.75" customHeight="1" x14ac:dyDescent="0.25">
      <c r="A4247" s="27" t="s">
        <v>1677</v>
      </c>
      <c r="B4247" s="27" t="s">
        <v>1678</v>
      </c>
    </row>
    <row r="4248" spans="1:2" ht="15.75" customHeight="1" x14ac:dyDescent="0.25">
      <c r="A4248" s="27" t="s">
        <v>1677</v>
      </c>
      <c r="B4248" s="27" t="s">
        <v>1678</v>
      </c>
    </row>
    <row r="4249" spans="1:2" ht="15.75" customHeight="1" x14ac:dyDescent="0.25">
      <c r="A4249" s="27" t="s">
        <v>1679</v>
      </c>
      <c r="B4249" s="27" t="s">
        <v>1680</v>
      </c>
    </row>
    <row r="4250" spans="1:2" ht="15.75" customHeight="1" x14ac:dyDescent="0.25">
      <c r="A4250" s="27" t="s">
        <v>1681</v>
      </c>
      <c r="B4250" s="27" t="s">
        <v>1682</v>
      </c>
    </row>
    <row r="4251" spans="1:2" ht="15.75" customHeight="1" x14ac:dyDescent="0.25">
      <c r="A4251" s="27" t="s">
        <v>1681</v>
      </c>
      <c r="B4251" s="27" t="s">
        <v>1682</v>
      </c>
    </row>
    <row r="4252" spans="1:2" ht="15.75" customHeight="1" x14ac:dyDescent="0.25">
      <c r="A4252" s="27" t="s">
        <v>1681</v>
      </c>
      <c r="B4252" s="27" t="s">
        <v>1682</v>
      </c>
    </row>
    <row r="4253" spans="1:2" ht="15.75" customHeight="1" x14ac:dyDescent="0.25">
      <c r="A4253" s="27" t="s">
        <v>1683</v>
      </c>
      <c r="B4253" s="27" t="s">
        <v>1684</v>
      </c>
    </row>
    <row r="4254" spans="1:2" ht="15.75" customHeight="1" x14ac:dyDescent="0.25">
      <c r="A4254" s="27" t="s">
        <v>1683</v>
      </c>
      <c r="B4254" s="27" t="s">
        <v>1684</v>
      </c>
    </row>
    <row r="4255" spans="1:2" ht="15.75" customHeight="1" x14ac:dyDescent="0.25">
      <c r="A4255" s="27" t="s">
        <v>1683</v>
      </c>
      <c r="B4255" s="27" t="s">
        <v>1684</v>
      </c>
    </row>
    <row r="4256" spans="1:2" ht="15.75" customHeight="1" x14ac:dyDescent="0.25">
      <c r="A4256" s="27" t="s">
        <v>1685</v>
      </c>
      <c r="B4256" s="27" t="s">
        <v>1686</v>
      </c>
    </row>
    <row r="4257" spans="1:2" ht="15.75" customHeight="1" x14ac:dyDescent="0.25">
      <c r="A4257" s="27" t="s">
        <v>1687</v>
      </c>
      <c r="B4257" s="27" t="s">
        <v>1688</v>
      </c>
    </row>
    <row r="4258" spans="1:2" ht="15.75" customHeight="1" x14ac:dyDescent="0.25">
      <c r="A4258" s="27" t="s">
        <v>1687</v>
      </c>
      <c r="B4258" s="27" t="s">
        <v>1688</v>
      </c>
    </row>
    <row r="4259" spans="1:2" ht="15.75" customHeight="1" x14ac:dyDescent="0.25">
      <c r="A4259" s="27" t="s">
        <v>1689</v>
      </c>
      <c r="B4259" s="27" t="s">
        <v>1690</v>
      </c>
    </row>
    <row r="4260" spans="1:2" ht="15.75" customHeight="1" x14ac:dyDescent="0.25">
      <c r="A4260" s="27" t="s">
        <v>1689</v>
      </c>
      <c r="B4260" s="27" t="s">
        <v>1690</v>
      </c>
    </row>
    <row r="4261" spans="1:2" ht="15.75" customHeight="1" x14ac:dyDescent="0.25">
      <c r="A4261" s="27" t="s">
        <v>1689</v>
      </c>
      <c r="B4261" s="27" t="s">
        <v>1690</v>
      </c>
    </row>
    <row r="4262" spans="1:2" ht="15.75" customHeight="1" x14ac:dyDescent="0.25">
      <c r="A4262" s="27" t="s">
        <v>1691</v>
      </c>
      <c r="B4262" s="27" t="s">
        <v>1692</v>
      </c>
    </row>
    <row r="4263" spans="1:2" ht="15.75" customHeight="1" x14ac:dyDescent="0.25">
      <c r="A4263" s="27" t="s">
        <v>1691</v>
      </c>
      <c r="B4263" s="27" t="s">
        <v>1692</v>
      </c>
    </row>
    <row r="4264" spans="1:2" ht="15.75" customHeight="1" x14ac:dyDescent="0.25">
      <c r="A4264" s="27" t="s">
        <v>1691</v>
      </c>
      <c r="B4264" s="27" t="s">
        <v>1692</v>
      </c>
    </row>
    <row r="4265" spans="1:2" ht="15.75" customHeight="1" x14ac:dyDescent="0.25">
      <c r="A4265" s="27" t="s">
        <v>1693</v>
      </c>
      <c r="B4265" s="27" t="s">
        <v>1694</v>
      </c>
    </row>
    <row r="4266" spans="1:2" ht="15.75" customHeight="1" x14ac:dyDescent="0.25">
      <c r="A4266" s="27" t="s">
        <v>1695</v>
      </c>
      <c r="B4266" s="27" t="s">
        <v>1696</v>
      </c>
    </row>
    <row r="4267" spans="1:2" ht="15.75" customHeight="1" x14ac:dyDescent="0.25">
      <c r="A4267" s="27" t="s">
        <v>1695</v>
      </c>
      <c r="B4267" s="27" t="s">
        <v>1696</v>
      </c>
    </row>
    <row r="4268" spans="1:2" ht="15.75" customHeight="1" x14ac:dyDescent="0.25">
      <c r="A4268" s="27" t="s">
        <v>1697</v>
      </c>
      <c r="B4268" s="27" t="s">
        <v>1698</v>
      </c>
    </row>
    <row r="4269" spans="1:2" ht="15.75" customHeight="1" x14ac:dyDescent="0.25">
      <c r="A4269" s="27" t="s">
        <v>1697</v>
      </c>
      <c r="B4269" s="27" t="s">
        <v>1698</v>
      </c>
    </row>
    <row r="4270" spans="1:2" ht="15.75" customHeight="1" x14ac:dyDescent="0.25">
      <c r="A4270" s="27" t="s">
        <v>1697</v>
      </c>
      <c r="B4270" s="27" t="s">
        <v>1698</v>
      </c>
    </row>
    <row r="4271" spans="1:2" ht="15.75" customHeight="1" x14ac:dyDescent="0.25">
      <c r="A4271" s="27" t="s">
        <v>1699</v>
      </c>
      <c r="B4271" s="27" t="s">
        <v>1700</v>
      </c>
    </row>
    <row r="4272" spans="1:2" ht="15.75" customHeight="1" x14ac:dyDescent="0.25">
      <c r="A4272" s="27" t="s">
        <v>1699</v>
      </c>
      <c r="B4272" s="27" t="s">
        <v>1700</v>
      </c>
    </row>
    <row r="4273" spans="1:2" ht="15.75" customHeight="1" x14ac:dyDescent="0.25">
      <c r="A4273" s="27" t="s">
        <v>1701</v>
      </c>
      <c r="B4273" s="27" t="s">
        <v>1702</v>
      </c>
    </row>
    <row r="4274" spans="1:2" ht="15.75" customHeight="1" x14ac:dyDescent="0.25">
      <c r="A4274" s="27" t="s">
        <v>1701</v>
      </c>
      <c r="B4274" s="27" t="s">
        <v>1702</v>
      </c>
    </row>
    <row r="4275" spans="1:2" ht="15.75" customHeight="1" x14ac:dyDescent="0.25">
      <c r="A4275" s="27" t="s">
        <v>1701</v>
      </c>
      <c r="B4275" s="27" t="s">
        <v>1702</v>
      </c>
    </row>
    <row r="4276" spans="1:2" ht="15.75" customHeight="1" x14ac:dyDescent="0.25">
      <c r="A4276" s="27" t="s">
        <v>1703</v>
      </c>
      <c r="B4276" s="27" t="s">
        <v>1704</v>
      </c>
    </row>
    <row r="4277" spans="1:2" ht="15.75" customHeight="1" x14ac:dyDescent="0.25">
      <c r="A4277" s="27" t="s">
        <v>1703</v>
      </c>
      <c r="B4277" s="27" t="s">
        <v>1704</v>
      </c>
    </row>
    <row r="4278" spans="1:2" ht="15.75" customHeight="1" x14ac:dyDescent="0.25">
      <c r="A4278" s="27" t="s">
        <v>1703</v>
      </c>
      <c r="B4278" s="27" t="s">
        <v>1704</v>
      </c>
    </row>
    <row r="4279" spans="1:2" ht="15.75" customHeight="1" x14ac:dyDescent="0.25">
      <c r="A4279" s="27" t="s">
        <v>1705</v>
      </c>
      <c r="B4279" s="27" t="s">
        <v>1706</v>
      </c>
    </row>
    <row r="4280" spans="1:2" ht="15.75" customHeight="1" x14ac:dyDescent="0.25">
      <c r="A4280" s="27" t="s">
        <v>1707</v>
      </c>
      <c r="B4280" s="27" t="s">
        <v>1708</v>
      </c>
    </row>
    <row r="4281" spans="1:2" ht="15.75" customHeight="1" x14ac:dyDescent="0.25">
      <c r="A4281" s="27" t="s">
        <v>1707</v>
      </c>
      <c r="B4281" s="27" t="s">
        <v>1708</v>
      </c>
    </row>
    <row r="4282" spans="1:2" ht="15.75" customHeight="1" x14ac:dyDescent="0.25">
      <c r="A4282" s="27" t="s">
        <v>1707</v>
      </c>
      <c r="B4282" s="27" t="s">
        <v>1708</v>
      </c>
    </row>
    <row r="4283" spans="1:2" ht="15.75" customHeight="1" x14ac:dyDescent="0.25">
      <c r="A4283" s="27" t="s">
        <v>1707</v>
      </c>
      <c r="B4283" s="27" t="s">
        <v>1708</v>
      </c>
    </row>
    <row r="4284" spans="1:2" ht="15.75" customHeight="1" x14ac:dyDescent="0.25">
      <c r="A4284" s="27" t="s">
        <v>1709</v>
      </c>
      <c r="B4284" s="27" t="s">
        <v>1710</v>
      </c>
    </row>
    <row r="4285" spans="1:2" ht="15.75" customHeight="1" x14ac:dyDescent="0.25">
      <c r="A4285" s="27" t="s">
        <v>1709</v>
      </c>
      <c r="B4285" s="27" t="s">
        <v>1710</v>
      </c>
    </row>
    <row r="4286" spans="1:2" ht="15.75" customHeight="1" x14ac:dyDescent="0.25">
      <c r="A4286" s="27" t="s">
        <v>1709</v>
      </c>
      <c r="B4286" s="27" t="s">
        <v>1710</v>
      </c>
    </row>
    <row r="4287" spans="1:2" ht="15.75" customHeight="1" x14ac:dyDescent="0.25">
      <c r="A4287" s="27" t="s">
        <v>1711</v>
      </c>
      <c r="B4287" s="27" t="s">
        <v>1712</v>
      </c>
    </row>
    <row r="4288" spans="1:2" ht="15.75" customHeight="1" x14ac:dyDescent="0.25">
      <c r="A4288" s="27" t="s">
        <v>1713</v>
      </c>
      <c r="B4288" s="27" t="s">
        <v>1714</v>
      </c>
    </row>
    <row r="4289" spans="1:2" ht="15.75" customHeight="1" x14ac:dyDescent="0.25">
      <c r="A4289" s="27" t="s">
        <v>1715</v>
      </c>
      <c r="B4289" s="27" t="s">
        <v>1716</v>
      </c>
    </row>
    <row r="4290" spans="1:2" ht="15.75" customHeight="1" x14ac:dyDescent="0.25">
      <c r="A4290" s="27" t="s">
        <v>1717</v>
      </c>
      <c r="B4290" s="27" t="s">
        <v>1718</v>
      </c>
    </row>
    <row r="4291" spans="1:2" ht="15.75" customHeight="1" x14ac:dyDescent="0.25">
      <c r="A4291" s="27" t="s">
        <v>1719</v>
      </c>
      <c r="B4291" s="27" t="s">
        <v>1720</v>
      </c>
    </row>
    <row r="4292" spans="1:2" ht="15.75" customHeight="1" x14ac:dyDescent="0.25">
      <c r="A4292" s="27" t="s">
        <v>1721</v>
      </c>
      <c r="B4292" s="27" t="s">
        <v>1722</v>
      </c>
    </row>
    <row r="4293" spans="1:2" ht="15.75" customHeight="1" x14ac:dyDescent="0.25">
      <c r="A4293" s="27" t="s">
        <v>1723</v>
      </c>
      <c r="B4293" s="27" t="s">
        <v>1724</v>
      </c>
    </row>
    <row r="4294" spans="1:2" ht="15.75" customHeight="1" x14ac:dyDescent="0.25">
      <c r="A4294" s="27" t="s">
        <v>1725</v>
      </c>
      <c r="B4294" s="27" t="s">
        <v>1726</v>
      </c>
    </row>
    <row r="4295" spans="1:2" ht="15.75" customHeight="1" x14ac:dyDescent="0.25">
      <c r="A4295" s="27" t="s">
        <v>1727</v>
      </c>
      <c r="B4295" s="27" t="s">
        <v>1728</v>
      </c>
    </row>
    <row r="4296" spans="1:2" ht="15.75" customHeight="1" x14ac:dyDescent="0.25">
      <c r="A4296" s="27" t="s">
        <v>1729</v>
      </c>
      <c r="B4296" s="27" t="s">
        <v>1730</v>
      </c>
    </row>
    <row r="4297" spans="1:2" ht="15.75" customHeight="1" x14ac:dyDescent="0.25">
      <c r="A4297" s="27" t="s">
        <v>1729</v>
      </c>
      <c r="B4297" s="27" t="s">
        <v>1730</v>
      </c>
    </row>
    <row r="4298" spans="1:2" ht="15.75" customHeight="1" x14ac:dyDescent="0.25">
      <c r="A4298" s="27" t="s">
        <v>1729</v>
      </c>
      <c r="B4298" s="27" t="s">
        <v>1730</v>
      </c>
    </row>
    <row r="4299" spans="1:2" ht="15.75" customHeight="1" x14ac:dyDescent="0.25">
      <c r="A4299" s="27" t="s">
        <v>1729</v>
      </c>
      <c r="B4299" s="27" t="s">
        <v>1730</v>
      </c>
    </row>
    <row r="4300" spans="1:2" ht="15.75" customHeight="1" x14ac:dyDescent="0.25">
      <c r="A4300" s="27" t="s">
        <v>1729</v>
      </c>
      <c r="B4300" s="27" t="s">
        <v>1730</v>
      </c>
    </row>
    <row r="4301" spans="1:2" ht="15.75" customHeight="1" x14ac:dyDescent="0.25">
      <c r="A4301" s="27" t="s">
        <v>1729</v>
      </c>
      <c r="B4301" s="27" t="s">
        <v>1730</v>
      </c>
    </row>
    <row r="4302" spans="1:2" ht="15.75" customHeight="1" x14ac:dyDescent="0.25">
      <c r="A4302" s="27" t="s">
        <v>1729</v>
      </c>
      <c r="B4302" s="27" t="s">
        <v>1730</v>
      </c>
    </row>
    <row r="4303" spans="1:2" ht="15.75" customHeight="1" x14ac:dyDescent="0.25">
      <c r="A4303" s="27" t="s">
        <v>1729</v>
      </c>
      <c r="B4303" s="27" t="s">
        <v>1730</v>
      </c>
    </row>
    <row r="4304" spans="1:2" ht="15.75" customHeight="1" x14ac:dyDescent="0.25">
      <c r="A4304" s="27" t="s">
        <v>1729</v>
      </c>
      <c r="B4304" s="27" t="s">
        <v>1730</v>
      </c>
    </row>
    <row r="4305" spans="1:2" ht="15.75" customHeight="1" x14ac:dyDescent="0.25">
      <c r="A4305" s="27" t="s">
        <v>1729</v>
      </c>
      <c r="B4305" s="27" t="s">
        <v>1730</v>
      </c>
    </row>
    <row r="4306" spans="1:2" ht="15.75" customHeight="1" x14ac:dyDescent="0.25">
      <c r="A4306" s="27" t="s">
        <v>1729</v>
      </c>
      <c r="B4306" s="27" t="s">
        <v>1730</v>
      </c>
    </row>
    <row r="4307" spans="1:2" ht="15.75" customHeight="1" x14ac:dyDescent="0.25">
      <c r="A4307" s="27" t="s">
        <v>1729</v>
      </c>
      <c r="B4307" s="27" t="s">
        <v>1730</v>
      </c>
    </row>
    <row r="4308" spans="1:2" ht="15.75" customHeight="1" x14ac:dyDescent="0.25">
      <c r="A4308" s="27" t="s">
        <v>1729</v>
      </c>
      <c r="B4308" s="27" t="s">
        <v>1730</v>
      </c>
    </row>
    <row r="4309" spans="1:2" ht="15.75" customHeight="1" x14ac:dyDescent="0.25">
      <c r="A4309" s="27" t="s">
        <v>1729</v>
      </c>
      <c r="B4309" s="27" t="s">
        <v>1730</v>
      </c>
    </row>
    <row r="4310" spans="1:2" ht="15.75" customHeight="1" x14ac:dyDescent="0.25">
      <c r="A4310" s="27" t="s">
        <v>1729</v>
      </c>
      <c r="B4310" s="27" t="s">
        <v>1730</v>
      </c>
    </row>
    <row r="4311" spans="1:2" ht="15.75" customHeight="1" x14ac:dyDescent="0.25">
      <c r="A4311" s="27" t="s">
        <v>1729</v>
      </c>
      <c r="B4311" s="27" t="s">
        <v>1730</v>
      </c>
    </row>
    <row r="4312" spans="1:2" ht="15.75" customHeight="1" x14ac:dyDescent="0.25">
      <c r="A4312" s="27" t="s">
        <v>1729</v>
      </c>
      <c r="B4312" s="27" t="s">
        <v>1730</v>
      </c>
    </row>
    <row r="4313" spans="1:2" ht="15.75" customHeight="1" x14ac:dyDescent="0.25">
      <c r="A4313" s="27" t="s">
        <v>1729</v>
      </c>
      <c r="B4313" s="27" t="s">
        <v>1730</v>
      </c>
    </row>
    <row r="4314" spans="1:2" ht="15.75" customHeight="1" x14ac:dyDescent="0.25">
      <c r="A4314" s="27" t="s">
        <v>1729</v>
      </c>
      <c r="B4314" s="27" t="s">
        <v>1730</v>
      </c>
    </row>
    <row r="4315" spans="1:2" ht="15.75" customHeight="1" x14ac:dyDescent="0.25">
      <c r="A4315" s="27" t="s">
        <v>1729</v>
      </c>
      <c r="B4315" s="27" t="s">
        <v>1730</v>
      </c>
    </row>
    <row r="4316" spans="1:2" ht="15.75" customHeight="1" x14ac:dyDescent="0.25">
      <c r="A4316" s="27" t="s">
        <v>1729</v>
      </c>
      <c r="B4316" s="27" t="s">
        <v>1730</v>
      </c>
    </row>
    <row r="4317" spans="1:2" ht="15.75" customHeight="1" x14ac:dyDescent="0.25">
      <c r="A4317" s="27" t="s">
        <v>1729</v>
      </c>
      <c r="B4317" s="27" t="s">
        <v>1730</v>
      </c>
    </row>
    <row r="4318" spans="1:2" ht="15.75" customHeight="1" x14ac:dyDescent="0.25">
      <c r="A4318" s="27" t="s">
        <v>1729</v>
      </c>
      <c r="B4318" s="27" t="s">
        <v>1730</v>
      </c>
    </row>
    <row r="4319" spans="1:2" ht="15.75" customHeight="1" x14ac:dyDescent="0.25">
      <c r="A4319" s="27" t="s">
        <v>1729</v>
      </c>
      <c r="B4319" s="27" t="s">
        <v>1730</v>
      </c>
    </row>
    <row r="4320" spans="1:2" ht="15.75" customHeight="1" x14ac:dyDescent="0.25">
      <c r="A4320" s="27" t="s">
        <v>1729</v>
      </c>
      <c r="B4320" s="27" t="s">
        <v>1730</v>
      </c>
    </row>
    <row r="4321" spans="1:2" ht="15.75" customHeight="1" x14ac:dyDescent="0.25">
      <c r="A4321" s="27" t="s">
        <v>1729</v>
      </c>
      <c r="B4321" s="27" t="s">
        <v>1730</v>
      </c>
    </row>
    <row r="4322" spans="1:2" ht="15.75" customHeight="1" x14ac:dyDescent="0.25">
      <c r="A4322" s="27" t="s">
        <v>1729</v>
      </c>
      <c r="B4322" s="27" t="s">
        <v>1730</v>
      </c>
    </row>
    <row r="4323" spans="1:2" ht="15.75" customHeight="1" x14ac:dyDescent="0.25">
      <c r="A4323" s="27" t="s">
        <v>1729</v>
      </c>
      <c r="B4323" s="27" t="s">
        <v>1730</v>
      </c>
    </row>
    <row r="4324" spans="1:2" ht="15.75" customHeight="1" x14ac:dyDescent="0.25">
      <c r="A4324" s="27" t="s">
        <v>1729</v>
      </c>
      <c r="B4324" s="27" t="s">
        <v>1730</v>
      </c>
    </row>
    <row r="4325" spans="1:2" ht="15.75" customHeight="1" x14ac:dyDescent="0.25">
      <c r="A4325" s="27" t="s">
        <v>1729</v>
      </c>
      <c r="B4325" s="27" t="s">
        <v>1730</v>
      </c>
    </row>
    <row r="4326" spans="1:2" ht="15.75" customHeight="1" x14ac:dyDescent="0.25">
      <c r="A4326" s="27" t="s">
        <v>1729</v>
      </c>
      <c r="B4326" s="27" t="s">
        <v>1730</v>
      </c>
    </row>
    <row r="4327" spans="1:2" ht="15.75" customHeight="1" x14ac:dyDescent="0.25">
      <c r="A4327" s="27" t="s">
        <v>1729</v>
      </c>
      <c r="B4327" s="27" t="s">
        <v>1730</v>
      </c>
    </row>
    <row r="4328" spans="1:2" ht="15.75" customHeight="1" x14ac:dyDescent="0.25">
      <c r="A4328" s="27" t="s">
        <v>1729</v>
      </c>
      <c r="B4328" s="27" t="s">
        <v>1730</v>
      </c>
    </row>
    <row r="4329" spans="1:2" ht="15.75" customHeight="1" x14ac:dyDescent="0.25">
      <c r="A4329" s="27" t="s">
        <v>1729</v>
      </c>
      <c r="B4329" s="27" t="s">
        <v>1730</v>
      </c>
    </row>
    <row r="4330" spans="1:2" ht="15.75" customHeight="1" x14ac:dyDescent="0.25">
      <c r="A4330" s="27" t="s">
        <v>1729</v>
      </c>
      <c r="B4330" s="27" t="s">
        <v>1730</v>
      </c>
    </row>
    <row r="4331" spans="1:2" ht="15.75" customHeight="1" x14ac:dyDescent="0.25">
      <c r="A4331" s="27" t="s">
        <v>1729</v>
      </c>
      <c r="B4331" s="27" t="s">
        <v>1730</v>
      </c>
    </row>
    <row r="4332" spans="1:2" ht="15.75" customHeight="1" x14ac:dyDescent="0.25">
      <c r="A4332" s="27" t="s">
        <v>1729</v>
      </c>
      <c r="B4332" s="27" t="s">
        <v>1730</v>
      </c>
    </row>
    <row r="4333" spans="1:2" ht="15.75" customHeight="1" x14ac:dyDescent="0.25">
      <c r="A4333" s="27" t="s">
        <v>1729</v>
      </c>
      <c r="B4333" s="27" t="s">
        <v>1730</v>
      </c>
    </row>
    <row r="4334" spans="1:2" ht="15.75" customHeight="1" x14ac:dyDescent="0.25">
      <c r="A4334" s="27" t="s">
        <v>1729</v>
      </c>
      <c r="B4334" s="27" t="s">
        <v>1730</v>
      </c>
    </row>
    <row r="4335" spans="1:2" ht="15.75" customHeight="1" x14ac:dyDescent="0.25">
      <c r="A4335" s="27" t="s">
        <v>1729</v>
      </c>
      <c r="B4335" s="27" t="s">
        <v>1730</v>
      </c>
    </row>
    <row r="4336" spans="1:2" ht="15.75" customHeight="1" x14ac:dyDescent="0.25">
      <c r="A4336" s="27" t="s">
        <v>1729</v>
      </c>
      <c r="B4336" s="27" t="s">
        <v>1730</v>
      </c>
    </row>
    <row r="4337" spans="1:2" ht="15.75" customHeight="1" x14ac:dyDescent="0.25">
      <c r="A4337" s="27" t="s">
        <v>1729</v>
      </c>
      <c r="B4337" s="27" t="s">
        <v>1730</v>
      </c>
    </row>
    <row r="4338" spans="1:2" ht="15.75" customHeight="1" x14ac:dyDescent="0.25">
      <c r="A4338" s="27" t="s">
        <v>1729</v>
      </c>
      <c r="B4338" s="27" t="s">
        <v>1730</v>
      </c>
    </row>
    <row r="4339" spans="1:2" ht="15.75" customHeight="1" x14ac:dyDescent="0.25">
      <c r="A4339" s="27" t="s">
        <v>1729</v>
      </c>
      <c r="B4339" s="27" t="s">
        <v>1730</v>
      </c>
    </row>
    <row r="4340" spans="1:2" ht="15.75" customHeight="1" x14ac:dyDescent="0.25">
      <c r="A4340" s="27" t="s">
        <v>1729</v>
      </c>
      <c r="B4340" s="27" t="s">
        <v>1730</v>
      </c>
    </row>
    <row r="4341" spans="1:2" ht="15.75" customHeight="1" x14ac:dyDescent="0.25">
      <c r="A4341" s="27" t="s">
        <v>1729</v>
      </c>
      <c r="B4341" s="27" t="s">
        <v>1730</v>
      </c>
    </row>
    <row r="4342" spans="1:2" ht="15.75" customHeight="1" x14ac:dyDescent="0.25">
      <c r="A4342" s="27" t="s">
        <v>1729</v>
      </c>
      <c r="B4342" s="27" t="s">
        <v>1730</v>
      </c>
    </row>
    <row r="4343" spans="1:2" ht="15.75" customHeight="1" x14ac:dyDescent="0.25">
      <c r="A4343" s="27" t="s">
        <v>1729</v>
      </c>
      <c r="B4343" s="27" t="s">
        <v>1730</v>
      </c>
    </row>
    <row r="4344" spans="1:2" ht="15.75" customHeight="1" x14ac:dyDescent="0.25">
      <c r="A4344" s="27" t="s">
        <v>1729</v>
      </c>
      <c r="B4344" s="27" t="s">
        <v>1730</v>
      </c>
    </row>
    <row r="4345" spans="1:2" ht="15.75" customHeight="1" x14ac:dyDescent="0.25">
      <c r="A4345" s="27" t="s">
        <v>1729</v>
      </c>
      <c r="B4345" s="27" t="s">
        <v>1730</v>
      </c>
    </row>
    <row r="4346" spans="1:2" ht="15.75" customHeight="1" x14ac:dyDescent="0.25">
      <c r="A4346" s="27" t="s">
        <v>1729</v>
      </c>
      <c r="B4346" s="27" t="s">
        <v>1730</v>
      </c>
    </row>
    <row r="4347" spans="1:2" ht="15.75" customHeight="1" x14ac:dyDescent="0.25">
      <c r="A4347" s="27" t="s">
        <v>1729</v>
      </c>
      <c r="B4347" s="27" t="s">
        <v>1730</v>
      </c>
    </row>
    <row r="4348" spans="1:2" ht="15.75" customHeight="1" x14ac:dyDescent="0.25">
      <c r="A4348" s="27" t="s">
        <v>1729</v>
      </c>
      <c r="B4348" s="27" t="s">
        <v>1730</v>
      </c>
    </row>
    <row r="4349" spans="1:2" ht="15.75" customHeight="1" x14ac:dyDescent="0.25">
      <c r="A4349" s="27" t="s">
        <v>1729</v>
      </c>
      <c r="B4349" s="27" t="s">
        <v>1730</v>
      </c>
    </row>
    <row r="4350" spans="1:2" ht="15.75" customHeight="1" x14ac:dyDescent="0.25">
      <c r="A4350" s="27" t="s">
        <v>1729</v>
      </c>
      <c r="B4350" s="27" t="s">
        <v>1730</v>
      </c>
    </row>
    <row r="4351" spans="1:2" ht="15.75" customHeight="1" x14ac:dyDescent="0.25">
      <c r="A4351" s="27" t="s">
        <v>1729</v>
      </c>
      <c r="B4351" s="27" t="s">
        <v>1730</v>
      </c>
    </row>
    <row r="4352" spans="1:2" ht="15.75" customHeight="1" x14ac:dyDescent="0.25">
      <c r="A4352" s="27" t="s">
        <v>1729</v>
      </c>
      <c r="B4352" s="27" t="s">
        <v>1730</v>
      </c>
    </row>
    <row r="4353" spans="1:2" ht="15.75" customHeight="1" x14ac:dyDescent="0.25">
      <c r="A4353" s="27" t="s">
        <v>1729</v>
      </c>
      <c r="B4353" s="27" t="s">
        <v>1730</v>
      </c>
    </row>
    <row r="4354" spans="1:2" ht="15.75" customHeight="1" x14ac:dyDescent="0.25">
      <c r="A4354" s="27" t="s">
        <v>1729</v>
      </c>
      <c r="B4354" s="27" t="s">
        <v>1730</v>
      </c>
    </row>
    <row r="4355" spans="1:2" ht="15.75" customHeight="1" x14ac:dyDescent="0.25">
      <c r="A4355" s="27" t="s">
        <v>1729</v>
      </c>
      <c r="B4355" s="27" t="s">
        <v>1730</v>
      </c>
    </row>
    <row r="4356" spans="1:2" ht="15.75" customHeight="1" x14ac:dyDescent="0.25">
      <c r="A4356" s="27" t="s">
        <v>1729</v>
      </c>
      <c r="B4356" s="27" t="s">
        <v>1730</v>
      </c>
    </row>
    <row r="4357" spans="1:2" ht="15.75" customHeight="1" x14ac:dyDescent="0.25">
      <c r="A4357" s="27" t="s">
        <v>1729</v>
      </c>
      <c r="B4357" s="27" t="s">
        <v>1730</v>
      </c>
    </row>
    <row r="4358" spans="1:2" ht="15.75" customHeight="1" x14ac:dyDescent="0.25">
      <c r="A4358" s="27" t="s">
        <v>1729</v>
      </c>
      <c r="B4358" s="27" t="s">
        <v>1730</v>
      </c>
    </row>
    <row r="4359" spans="1:2" ht="15.75" customHeight="1" x14ac:dyDescent="0.25">
      <c r="A4359" s="27" t="s">
        <v>1729</v>
      </c>
      <c r="B4359" s="27" t="s">
        <v>1730</v>
      </c>
    </row>
    <row r="4360" spans="1:2" ht="15.75" customHeight="1" x14ac:dyDescent="0.25">
      <c r="A4360" s="27" t="s">
        <v>1729</v>
      </c>
      <c r="B4360" s="27" t="s">
        <v>1730</v>
      </c>
    </row>
    <row r="4361" spans="1:2" ht="15.75" customHeight="1" x14ac:dyDescent="0.25">
      <c r="A4361" s="27" t="s">
        <v>1729</v>
      </c>
      <c r="B4361" s="27" t="s">
        <v>1730</v>
      </c>
    </row>
    <row r="4362" spans="1:2" ht="15.75" customHeight="1" x14ac:dyDescent="0.25">
      <c r="A4362" s="27" t="s">
        <v>1729</v>
      </c>
      <c r="B4362" s="27" t="s">
        <v>1730</v>
      </c>
    </row>
    <row r="4363" spans="1:2" ht="15.75" customHeight="1" x14ac:dyDescent="0.25">
      <c r="A4363" s="27" t="s">
        <v>1729</v>
      </c>
      <c r="B4363" s="27" t="s">
        <v>1730</v>
      </c>
    </row>
    <row r="4364" spans="1:2" ht="15.75" customHeight="1" x14ac:dyDescent="0.25">
      <c r="A4364" s="27" t="s">
        <v>1729</v>
      </c>
      <c r="B4364" s="27" t="s">
        <v>1730</v>
      </c>
    </row>
    <row r="4365" spans="1:2" ht="15.75" customHeight="1" x14ac:dyDescent="0.25">
      <c r="A4365" s="27" t="s">
        <v>1729</v>
      </c>
      <c r="B4365" s="27" t="s">
        <v>1730</v>
      </c>
    </row>
    <row r="4366" spans="1:2" ht="15.75" customHeight="1" x14ac:dyDescent="0.25">
      <c r="A4366" s="27" t="s">
        <v>1729</v>
      </c>
      <c r="B4366" s="27" t="s">
        <v>1730</v>
      </c>
    </row>
    <row r="4367" spans="1:2" ht="15.75" customHeight="1" x14ac:dyDescent="0.25">
      <c r="A4367" s="27" t="s">
        <v>1729</v>
      </c>
      <c r="B4367" s="27" t="s">
        <v>1730</v>
      </c>
    </row>
    <row r="4368" spans="1:2" ht="15.75" customHeight="1" x14ac:dyDescent="0.25">
      <c r="A4368" s="27" t="s">
        <v>1729</v>
      </c>
      <c r="B4368" s="27" t="s">
        <v>1730</v>
      </c>
    </row>
    <row r="4369" spans="1:2" ht="15.75" customHeight="1" x14ac:dyDescent="0.25">
      <c r="A4369" s="27" t="s">
        <v>1729</v>
      </c>
      <c r="B4369" s="27" t="s">
        <v>1730</v>
      </c>
    </row>
    <row r="4370" spans="1:2" ht="15.75" customHeight="1" x14ac:dyDescent="0.25">
      <c r="A4370" s="27" t="s">
        <v>1729</v>
      </c>
      <c r="B4370" s="27" t="s">
        <v>1730</v>
      </c>
    </row>
    <row r="4371" spans="1:2" ht="15.75" customHeight="1" x14ac:dyDescent="0.25">
      <c r="A4371" s="27" t="s">
        <v>1729</v>
      </c>
      <c r="B4371" s="27" t="s">
        <v>1730</v>
      </c>
    </row>
    <row r="4372" spans="1:2" ht="15.75" customHeight="1" x14ac:dyDescent="0.25">
      <c r="A4372" s="27" t="s">
        <v>1729</v>
      </c>
      <c r="B4372" s="27" t="s">
        <v>1730</v>
      </c>
    </row>
    <row r="4373" spans="1:2" ht="15.75" customHeight="1" x14ac:dyDescent="0.25">
      <c r="A4373" s="27" t="s">
        <v>1729</v>
      </c>
      <c r="B4373" s="27" t="s">
        <v>1730</v>
      </c>
    </row>
    <row r="4374" spans="1:2" ht="15.75" customHeight="1" x14ac:dyDescent="0.25">
      <c r="A4374" s="27" t="s">
        <v>1729</v>
      </c>
      <c r="B4374" s="27" t="s">
        <v>1730</v>
      </c>
    </row>
    <row r="4375" spans="1:2" ht="15.75" customHeight="1" x14ac:dyDescent="0.25">
      <c r="A4375" s="27" t="s">
        <v>1729</v>
      </c>
      <c r="B4375" s="27" t="s">
        <v>1730</v>
      </c>
    </row>
    <row r="4376" spans="1:2" ht="15.75" customHeight="1" x14ac:dyDescent="0.25">
      <c r="A4376" s="27" t="s">
        <v>1729</v>
      </c>
      <c r="B4376" s="27" t="s">
        <v>1730</v>
      </c>
    </row>
    <row r="4377" spans="1:2" ht="15.75" customHeight="1" x14ac:dyDescent="0.25">
      <c r="A4377" s="27" t="s">
        <v>1729</v>
      </c>
      <c r="B4377" s="27" t="s">
        <v>1730</v>
      </c>
    </row>
    <row r="4378" spans="1:2" ht="15.75" customHeight="1" x14ac:dyDescent="0.25">
      <c r="A4378" s="27" t="s">
        <v>1729</v>
      </c>
      <c r="B4378" s="27" t="s">
        <v>1730</v>
      </c>
    </row>
    <row r="4379" spans="1:2" ht="15.75" customHeight="1" x14ac:dyDescent="0.25">
      <c r="A4379" s="27" t="s">
        <v>1729</v>
      </c>
      <c r="B4379" s="27" t="s">
        <v>1730</v>
      </c>
    </row>
    <row r="4380" spans="1:2" ht="15.75" customHeight="1" x14ac:dyDescent="0.25">
      <c r="A4380" s="27" t="s">
        <v>1729</v>
      </c>
      <c r="B4380" s="27" t="s">
        <v>1730</v>
      </c>
    </row>
    <row r="4381" spans="1:2" ht="15.75" customHeight="1" x14ac:dyDescent="0.25">
      <c r="A4381" s="27" t="s">
        <v>1729</v>
      </c>
      <c r="B4381" s="27" t="s">
        <v>1730</v>
      </c>
    </row>
    <row r="4382" spans="1:2" ht="15.75" customHeight="1" x14ac:dyDescent="0.25">
      <c r="A4382" s="27" t="s">
        <v>1729</v>
      </c>
      <c r="B4382" s="27" t="s">
        <v>1730</v>
      </c>
    </row>
    <row r="4383" spans="1:2" ht="15.75" customHeight="1" x14ac:dyDescent="0.25">
      <c r="A4383" s="27" t="s">
        <v>1729</v>
      </c>
      <c r="B4383" s="27" t="s">
        <v>1730</v>
      </c>
    </row>
    <row r="4384" spans="1:2" ht="15.75" customHeight="1" x14ac:dyDescent="0.25">
      <c r="A4384" s="27" t="s">
        <v>1729</v>
      </c>
      <c r="B4384" s="27" t="s">
        <v>1730</v>
      </c>
    </row>
    <row r="4385" spans="1:2" ht="15.75" customHeight="1" x14ac:dyDescent="0.25">
      <c r="A4385" s="27" t="s">
        <v>1729</v>
      </c>
      <c r="B4385" s="27" t="s">
        <v>1730</v>
      </c>
    </row>
    <row r="4386" spans="1:2" ht="15.75" customHeight="1" x14ac:dyDescent="0.25">
      <c r="A4386" s="27" t="s">
        <v>1729</v>
      </c>
      <c r="B4386" s="27" t="s">
        <v>1730</v>
      </c>
    </row>
    <row r="4387" spans="1:2" ht="15.75" customHeight="1" x14ac:dyDescent="0.25">
      <c r="A4387" s="27" t="s">
        <v>1729</v>
      </c>
      <c r="B4387" s="27" t="s">
        <v>1730</v>
      </c>
    </row>
    <row r="4388" spans="1:2" ht="15.75" customHeight="1" x14ac:dyDescent="0.25">
      <c r="A4388" s="27" t="s">
        <v>1729</v>
      </c>
      <c r="B4388" s="27" t="s">
        <v>1730</v>
      </c>
    </row>
    <row r="4389" spans="1:2" ht="15.75" customHeight="1" x14ac:dyDescent="0.25">
      <c r="A4389" s="27" t="s">
        <v>1729</v>
      </c>
      <c r="B4389" s="27" t="s">
        <v>1730</v>
      </c>
    </row>
    <row r="4390" spans="1:2" ht="15.75" customHeight="1" x14ac:dyDescent="0.25">
      <c r="A4390" s="27" t="s">
        <v>1729</v>
      </c>
      <c r="B4390" s="27" t="s">
        <v>1730</v>
      </c>
    </row>
    <row r="4391" spans="1:2" ht="15.75" customHeight="1" x14ac:dyDescent="0.25">
      <c r="A4391" s="27" t="s">
        <v>1729</v>
      </c>
      <c r="B4391" s="27" t="s">
        <v>1730</v>
      </c>
    </row>
    <row r="4392" spans="1:2" ht="15.75" customHeight="1" x14ac:dyDescent="0.25">
      <c r="A4392" s="27" t="s">
        <v>1729</v>
      </c>
      <c r="B4392" s="27" t="s">
        <v>1730</v>
      </c>
    </row>
    <row r="4393" spans="1:2" ht="15.75" customHeight="1" x14ac:dyDescent="0.25">
      <c r="A4393" s="27" t="s">
        <v>1729</v>
      </c>
      <c r="B4393" s="27" t="s">
        <v>1730</v>
      </c>
    </row>
    <row r="4394" spans="1:2" ht="15.75" customHeight="1" x14ac:dyDescent="0.25">
      <c r="A4394" s="27" t="s">
        <v>1729</v>
      </c>
      <c r="B4394" s="27" t="s">
        <v>1730</v>
      </c>
    </row>
    <row r="4395" spans="1:2" ht="15.75" customHeight="1" x14ac:dyDescent="0.25">
      <c r="A4395" s="27" t="s">
        <v>1729</v>
      </c>
      <c r="B4395" s="27" t="s">
        <v>1730</v>
      </c>
    </row>
    <row r="4396" spans="1:2" ht="15.75" customHeight="1" x14ac:dyDescent="0.25">
      <c r="A4396" s="27" t="s">
        <v>1729</v>
      </c>
      <c r="B4396" s="27" t="s">
        <v>1730</v>
      </c>
    </row>
    <row r="4397" spans="1:2" ht="15.75" customHeight="1" x14ac:dyDescent="0.25">
      <c r="A4397" s="27" t="s">
        <v>1729</v>
      </c>
      <c r="B4397" s="27" t="s">
        <v>1730</v>
      </c>
    </row>
    <row r="4398" spans="1:2" ht="15.75" customHeight="1" x14ac:dyDescent="0.25">
      <c r="A4398" s="27" t="s">
        <v>1729</v>
      </c>
      <c r="B4398" s="27" t="s">
        <v>1730</v>
      </c>
    </row>
    <row r="4399" spans="1:2" ht="15.75" customHeight="1" x14ac:dyDescent="0.25">
      <c r="A4399" s="27" t="s">
        <v>1729</v>
      </c>
      <c r="B4399" s="27" t="s">
        <v>1730</v>
      </c>
    </row>
    <row r="4400" spans="1:2" ht="15.75" customHeight="1" x14ac:dyDescent="0.25">
      <c r="A4400" s="27" t="s">
        <v>1729</v>
      </c>
      <c r="B4400" s="27" t="s">
        <v>1730</v>
      </c>
    </row>
    <row r="4401" spans="1:2" ht="15.75" customHeight="1" x14ac:dyDescent="0.25">
      <c r="A4401" s="27" t="s">
        <v>1729</v>
      </c>
      <c r="B4401" s="27" t="s">
        <v>1730</v>
      </c>
    </row>
    <row r="4402" spans="1:2" ht="15.75" customHeight="1" x14ac:dyDescent="0.25">
      <c r="A4402" s="27" t="s">
        <v>1729</v>
      </c>
      <c r="B4402" s="27" t="s">
        <v>1730</v>
      </c>
    </row>
    <row r="4403" spans="1:2" ht="15.75" customHeight="1" x14ac:dyDescent="0.25">
      <c r="A4403" s="27" t="s">
        <v>1729</v>
      </c>
      <c r="B4403" s="27" t="s">
        <v>1730</v>
      </c>
    </row>
    <row r="4404" spans="1:2" ht="15.75" customHeight="1" x14ac:dyDescent="0.25">
      <c r="A4404" s="27" t="s">
        <v>1729</v>
      </c>
      <c r="B4404" s="27" t="s">
        <v>1730</v>
      </c>
    </row>
    <row r="4405" spans="1:2" ht="15.75" customHeight="1" x14ac:dyDescent="0.25">
      <c r="A4405" s="27" t="s">
        <v>1729</v>
      </c>
      <c r="B4405" s="27" t="s">
        <v>1730</v>
      </c>
    </row>
    <row r="4406" spans="1:2" ht="15.75" customHeight="1" x14ac:dyDescent="0.25">
      <c r="A4406" s="27" t="s">
        <v>1729</v>
      </c>
      <c r="B4406" s="27" t="s">
        <v>1730</v>
      </c>
    </row>
    <row r="4407" spans="1:2" ht="15.75" customHeight="1" x14ac:dyDescent="0.25">
      <c r="A4407" s="27" t="s">
        <v>1729</v>
      </c>
      <c r="B4407" s="27" t="s">
        <v>1730</v>
      </c>
    </row>
    <row r="4408" spans="1:2" ht="15.75" customHeight="1" x14ac:dyDescent="0.25">
      <c r="A4408" s="27" t="s">
        <v>1729</v>
      </c>
      <c r="B4408" s="27" t="s">
        <v>1730</v>
      </c>
    </row>
    <row r="4409" spans="1:2" ht="15.75" customHeight="1" x14ac:dyDescent="0.25">
      <c r="A4409" s="27" t="s">
        <v>1729</v>
      </c>
      <c r="B4409" s="27" t="s">
        <v>1730</v>
      </c>
    </row>
    <row r="4410" spans="1:2" ht="15.75" customHeight="1" x14ac:dyDescent="0.25">
      <c r="A4410" s="27" t="s">
        <v>1729</v>
      </c>
      <c r="B4410" s="27" t="s">
        <v>1730</v>
      </c>
    </row>
    <row r="4411" spans="1:2" ht="15.75" customHeight="1" x14ac:dyDescent="0.25">
      <c r="A4411" s="27" t="s">
        <v>1729</v>
      </c>
      <c r="B4411" s="27" t="s">
        <v>1730</v>
      </c>
    </row>
    <row r="4412" spans="1:2" ht="15.75" customHeight="1" x14ac:dyDescent="0.25">
      <c r="A4412" s="27" t="s">
        <v>1729</v>
      </c>
      <c r="B4412" s="27" t="s">
        <v>1730</v>
      </c>
    </row>
    <row r="4413" spans="1:2" ht="15.75" customHeight="1" x14ac:dyDescent="0.25">
      <c r="A4413" s="27" t="s">
        <v>1729</v>
      </c>
      <c r="B4413" s="27" t="s">
        <v>1730</v>
      </c>
    </row>
    <row r="4414" spans="1:2" ht="15.75" customHeight="1" x14ac:dyDescent="0.25">
      <c r="A4414" s="27" t="s">
        <v>1729</v>
      </c>
      <c r="B4414" s="27" t="s">
        <v>1730</v>
      </c>
    </row>
    <row r="4415" spans="1:2" ht="15.75" customHeight="1" x14ac:dyDescent="0.25">
      <c r="A4415" s="27" t="s">
        <v>1729</v>
      </c>
      <c r="B4415" s="27" t="s">
        <v>1730</v>
      </c>
    </row>
    <row r="4416" spans="1:2" ht="15.75" customHeight="1" x14ac:dyDescent="0.25">
      <c r="A4416" s="27" t="s">
        <v>1729</v>
      </c>
      <c r="B4416" s="27" t="s">
        <v>1730</v>
      </c>
    </row>
    <row r="4417" spans="1:2" ht="15.75" customHeight="1" x14ac:dyDescent="0.25">
      <c r="A4417" s="27" t="s">
        <v>1729</v>
      </c>
      <c r="B4417" s="27" t="s">
        <v>1730</v>
      </c>
    </row>
    <row r="4418" spans="1:2" ht="15.75" customHeight="1" x14ac:dyDescent="0.25">
      <c r="A4418" s="27" t="s">
        <v>1729</v>
      </c>
      <c r="B4418" s="27" t="s">
        <v>1730</v>
      </c>
    </row>
    <row r="4419" spans="1:2" ht="15.75" customHeight="1" x14ac:dyDescent="0.25">
      <c r="A4419" s="27" t="s">
        <v>1729</v>
      </c>
      <c r="B4419" s="27" t="s">
        <v>1730</v>
      </c>
    </row>
    <row r="4420" spans="1:2" ht="15.75" customHeight="1" x14ac:dyDescent="0.25">
      <c r="A4420" s="27" t="s">
        <v>1729</v>
      </c>
      <c r="B4420" s="27" t="s">
        <v>1730</v>
      </c>
    </row>
    <row r="4421" spans="1:2" ht="15.75" customHeight="1" x14ac:dyDescent="0.25">
      <c r="A4421" s="27" t="s">
        <v>1729</v>
      </c>
      <c r="B4421" s="27" t="s">
        <v>1730</v>
      </c>
    </row>
    <row r="4422" spans="1:2" ht="15.75" customHeight="1" x14ac:dyDescent="0.25">
      <c r="A4422" s="27" t="s">
        <v>1729</v>
      </c>
      <c r="B4422" s="27" t="s">
        <v>1730</v>
      </c>
    </row>
    <row r="4423" spans="1:2" ht="15.75" customHeight="1" x14ac:dyDescent="0.25">
      <c r="A4423" s="27" t="s">
        <v>1729</v>
      </c>
      <c r="B4423" s="27" t="s">
        <v>1730</v>
      </c>
    </row>
    <row r="4424" spans="1:2" ht="15.75" customHeight="1" x14ac:dyDescent="0.25">
      <c r="A4424" s="27" t="s">
        <v>1729</v>
      </c>
      <c r="B4424" s="27" t="s">
        <v>1730</v>
      </c>
    </row>
    <row r="4425" spans="1:2" ht="15.75" customHeight="1" x14ac:dyDescent="0.25">
      <c r="A4425" s="27" t="s">
        <v>1729</v>
      </c>
      <c r="B4425" s="27" t="s">
        <v>1730</v>
      </c>
    </row>
    <row r="4426" spans="1:2" ht="15.75" customHeight="1" x14ac:dyDescent="0.25">
      <c r="A4426" s="27" t="s">
        <v>1729</v>
      </c>
      <c r="B4426" s="27" t="s">
        <v>1730</v>
      </c>
    </row>
    <row r="4427" spans="1:2" ht="15.75" customHeight="1" x14ac:dyDescent="0.25">
      <c r="A4427" s="27" t="s">
        <v>1729</v>
      </c>
      <c r="B4427" s="27" t="s">
        <v>1730</v>
      </c>
    </row>
    <row r="4428" spans="1:2" ht="15.75" customHeight="1" x14ac:dyDescent="0.25">
      <c r="A4428" s="27" t="s">
        <v>1729</v>
      </c>
      <c r="B4428" s="27" t="s">
        <v>1730</v>
      </c>
    </row>
    <row r="4429" spans="1:2" ht="15.75" customHeight="1" x14ac:dyDescent="0.25">
      <c r="A4429" s="27" t="s">
        <v>1729</v>
      </c>
      <c r="B4429" s="27" t="s">
        <v>1730</v>
      </c>
    </row>
    <row r="4430" spans="1:2" ht="15.75" customHeight="1" x14ac:dyDescent="0.25">
      <c r="A4430" s="27" t="s">
        <v>1731</v>
      </c>
      <c r="B4430" s="27" t="s">
        <v>1732</v>
      </c>
    </row>
    <row r="4431" spans="1:2" ht="15.75" customHeight="1" x14ac:dyDescent="0.25">
      <c r="A4431" s="27" t="s">
        <v>1731</v>
      </c>
      <c r="B4431" s="27" t="s">
        <v>1732</v>
      </c>
    </row>
    <row r="4432" spans="1:2" ht="15.75" customHeight="1" x14ac:dyDescent="0.25">
      <c r="A4432" s="27" t="s">
        <v>1731</v>
      </c>
      <c r="B4432" s="27" t="s">
        <v>1732</v>
      </c>
    </row>
    <row r="4433" spans="1:2" ht="15.75" customHeight="1" x14ac:dyDescent="0.25">
      <c r="A4433" s="27" t="s">
        <v>1731</v>
      </c>
      <c r="B4433" s="27" t="s">
        <v>1732</v>
      </c>
    </row>
    <row r="4434" spans="1:2" ht="15.75" customHeight="1" x14ac:dyDescent="0.25">
      <c r="A4434" s="27" t="s">
        <v>1731</v>
      </c>
      <c r="B4434" s="27" t="s">
        <v>1732</v>
      </c>
    </row>
    <row r="4435" spans="1:2" ht="15.75" customHeight="1" x14ac:dyDescent="0.25">
      <c r="A4435" s="27" t="s">
        <v>1731</v>
      </c>
      <c r="B4435" s="27" t="s">
        <v>1732</v>
      </c>
    </row>
    <row r="4436" spans="1:2" ht="15.75" customHeight="1" x14ac:dyDescent="0.25">
      <c r="A4436" s="27" t="s">
        <v>1731</v>
      </c>
      <c r="B4436" s="27" t="s">
        <v>1732</v>
      </c>
    </row>
    <row r="4437" spans="1:2" ht="15.75" customHeight="1" x14ac:dyDescent="0.25">
      <c r="A4437" s="27" t="s">
        <v>1731</v>
      </c>
      <c r="B4437" s="27" t="s">
        <v>1732</v>
      </c>
    </row>
    <row r="4438" spans="1:2" ht="15.75" customHeight="1" x14ac:dyDescent="0.25">
      <c r="A4438" s="27" t="s">
        <v>1731</v>
      </c>
      <c r="B4438" s="27" t="s">
        <v>1732</v>
      </c>
    </row>
    <row r="4439" spans="1:2" ht="15.75" customHeight="1" x14ac:dyDescent="0.25">
      <c r="A4439" s="27" t="s">
        <v>1731</v>
      </c>
      <c r="B4439" s="27" t="s">
        <v>1732</v>
      </c>
    </row>
    <row r="4440" spans="1:2" ht="15.75" customHeight="1" x14ac:dyDescent="0.25">
      <c r="A4440" s="27" t="s">
        <v>1731</v>
      </c>
      <c r="B4440" s="27" t="s">
        <v>1732</v>
      </c>
    </row>
    <row r="4441" spans="1:2" ht="15.75" customHeight="1" x14ac:dyDescent="0.25">
      <c r="A4441" s="27" t="s">
        <v>1731</v>
      </c>
      <c r="B4441" s="27" t="s">
        <v>1732</v>
      </c>
    </row>
    <row r="4442" spans="1:2" ht="15.75" customHeight="1" x14ac:dyDescent="0.25">
      <c r="A4442" s="27" t="s">
        <v>1731</v>
      </c>
      <c r="B4442" s="27" t="s">
        <v>1732</v>
      </c>
    </row>
    <row r="4443" spans="1:2" ht="15.75" customHeight="1" x14ac:dyDescent="0.25">
      <c r="A4443" s="27" t="s">
        <v>1731</v>
      </c>
      <c r="B4443" s="27" t="s">
        <v>1732</v>
      </c>
    </row>
    <row r="4444" spans="1:2" ht="15.75" customHeight="1" x14ac:dyDescent="0.25">
      <c r="A4444" s="27" t="s">
        <v>1731</v>
      </c>
      <c r="B4444" s="27" t="s">
        <v>1732</v>
      </c>
    </row>
    <row r="4445" spans="1:2" ht="15.75" customHeight="1" x14ac:dyDescent="0.25">
      <c r="A4445" s="27" t="s">
        <v>1731</v>
      </c>
      <c r="B4445" s="27" t="s">
        <v>1732</v>
      </c>
    </row>
    <row r="4446" spans="1:2" ht="15.75" customHeight="1" x14ac:dyDescent="0.25">
      <c r="A4446" s="27" t="s">
        <v>1731</v>
      </c>
      <c r="B4446" s="27" t="s">
        <v>1732</v>
      </c>
    </row>
    <row r="4447" spans="1:2" ht="15.75" customHeight="1" x14ac:dyDescent="0.25">
      <c r="A4447" s="27" t="s">
        <v>1731</v>
      </c>
      <c r="B4447" s="27" t="s">
        <v>1732</v>
      </c>
    </row>
    <row r="4448" spans="1:2" ht="15.75" customHeight="1" x14ac:dyDescent="0.25">
      <c r="A4448" s="27" t="s">
        <v>1731</v>
      </c>
      <c r="B4448" s="27" t="s">
        <v>1732</v>
      </c>
    </row>
    <row r="4449" spans="1:2" ht="15.75" customHeight="1" x14ac:dyDescent="0.25">
      <c r="A4449" s="27" t="s">
        <v>1731</v>
      </c>
      <c r="B4449" s="27" t="s">
        <v>1732</v>
      </c>
    </row>
    <row r="4450" spans="1:2" ht="15.75" customHeight="1" x14ac:dyDescent="0.25">
      <c r="A4450" s="27" t="s">
        <v>1731</v>
      </c>
      <c r="B4450" s="27" t="s">
        <v>1732</v>
      </c>
    </row>
    <row r="4451" spans="1:2" ht="15.75" customHeight="1" x14ac:dyDescent="0.25">
      <c r="A4451" s="27" t="s">
        <v>1731</v>
      </c>
      <c r="B4451" s="27" t="s">
        <v>1732</v>
      </c>
    </row>
    <row r="4452" spans="1:2" ht="15.75" customHeight="1" x14ac:dyDescent="0.25">
      <c r="A4452" s="27" t="s">
        <v>1731</v>
      </c>
      <c r="B4452" s="27" t="s">
        <v>1732</v>
      </c>
    </row>
    <row r="4453" spans="1:2" ht="15.75" customHeight="1" x14ac:dyDescent="0.25">
      <c r="A4453" s="27" t="s">
        <v>1731</v>
      </c>
      <c r="B4453" s="27" t="s">
        <v>1732</v>
      </c>
    </row>
    <row r="4454" spans="1:2" ht="15.75" customHeight="1" x14ac:dyDescent="0.25">
      <c r="A4454" s="27" t="s">
        <v>1731</v>
      </c>
      <c r="B4454" s="27" t="s">
        <v>1732</v>
      </c>
    </row>
    <row r="4455" spans="1:2" ht="15.75" customHeight="1" x14ac:dyDescent="0.25">
      <c r="A4455" s="27" t="s">
        <v>1731</v>
      </c>
      <c r="B4455" s="27" t="s">
        <v>1732</v>
      </c>
    </row>
    <row r="4456" spans="1:2" ht="15.75" customHeight="1" x14ac:dyDescent="0.25">
      <c r="A4456" s="27" t="s">
        <v>1731</v>
      </c>
      <c r="B4456" s="27" t="s">
        <v>1732</v>
      </c>
    </row>
    <row r="4457" spans="1:2" ht="15.75" customHeight="1" x14ac:dyDescent="0.25">
      <c r="A4457" s="27" t="s">
        <v>1731</v>
      </c>
      <c r="B4457" s="27" t="s">
        <v>1732</v>
      </c>
    </row>
    <row r="4458" spans="1:2" ht="15.75" customHeight="1" x14ac:dyDescent="0.25">
      <c r="A4458" s="27" t="s">
        <v>1731</v>
      </c>
      <c r="B4458" s="27" t="s">
        <v>1732</v>
      </c>
    </row>
    <row r="4459" spans="1:2" ht="15.75" customHeight="1" x14ac:dyDescent="0.25">
      <c r="A4459" s="27" t="s">
        <v>1731</v>
      </c>
      <c r="B4459" s="27" t="s">
        <v>1732</v>
      </c>
    </row>
    <row r="4460" spans="1:2" ht="15.75" customHeight="1" x14ac:dyDescent="0.25">
      <c r="A4460" s="27" t="s">
        <v>1731</v>
      </c>
      <c r="B4460" s="27" t="s">
        <v>1732</v>
      </c>
    </row>
    <row r="4461" spans="1:2" ht="15.75" customHeight="1" x14ac:dyDescent="0.25">
      <c r="A4461" s="27" t="s">
        <v>1731</v>
      </c>
      <c r="B4461" s="27" t="s">
        <v>1732</v>
      </c>
    </row>
    <row r="4462" spans="1:2" ht="15.75" customHeight="1" x14ac:dyDescent="0.25">
      <c r="A4462" s="27" t="s">
        <v>1731</v>
      </c>
      <c r="B4462" s="27" t="s">
        <v>1732</v>
      </c>
    </row>
    <row r="4463" spans="1:2" ht="15.75" customHeight="1" x14ac:dyDescent="0.25">
      <c r="A4463" s="27" t="s">
        <v>1731</v>
      </c>
      <c r="B4463" s="27" t="s">
        <v>1732</v>
      </c>
    </row>
    <row r="4464" spans="1:2" ht="15.75" customHeight="1" x14ac:dyDescent="0.25">
      <c r="A4464" s="27" t="s">
        <v>1731</v>
      </c>
      <c r="B4464" s="27" t="s">
        <v>1732</v>
      </c>
    </row>
    <row r="4465" spans="1:2" ht="15.75" customHeight="1" x14ac:dyDescent="0.25">
      <c r="A4465" s="27" t="s">
        <v>1731</v>
      </c>
      <c r="B4465" s="27" t="s">
        <v>1732</v>
      </c>
    </row>
    <row r="4466" spans="1:2" ht="15.75" customHeight="1" x14ac:dyDescent="0.25">
      <c r="A4466" s="27" t="s">
        <v>1731</v>
      </c>
      <c r="B4466" s="27" t="s">
        <v>1732</v>
      </c>
    </row>
    <row r="4467" spans="1:2" ht="15.75" customHeight="1" x14ac:dyDescent="0.25">
      <c r="A4467" s="27" t="s">
        <v>1731</v>
      </c>
      <c r="B4467" s="27" t="s">
        <v>1732</v>
      </c>
    </row>
    <row r="4468" spans="1:2" ht="15.75" customHeight="1" x14ac:dyDescent="0.25">
      <c r="A4468" s="27" t="s">
        <v>1731</v>
      </c>
      <c r="B4468" s="27" t="s">
        <v>1732</v>
      </c>
    </row>
    <row r="4469" spans="1:2" ht="15.75" customHeight="1" x14ac:dyDescent="0.25">
      <c r="A4469" s="27" t="s">
        <v>1731</v>
      </c>
      <c r="B4469" s="27" t="s">
        <v>1732</v>
      </c>
    </row>
    <row r="4470" spans="1:2" ht="15.75" customHeight="1" x14ac:dyDescent="0.25">
      <c r="A4470" s="27" t="s">
        <v>1731</v>
      </c>
      <c r="B4470" s="27" t="s">
        <v>1732</v>
      </c>
    </row>
    <row r="4471" spans="1:2" ht="15.75" customHeight="1" x14ac:dyDescent="0.25">
      <c r="A4471" s="27" t="s">
        <v>1731</v>
      </c>
      <c r="B4471" s="27" t="s">
        <v>1732</v>
      </c>
    </row>
    <row r="4472" spans="1:2" ht="15.75" customHeight="1" x14ac:dyDescent="0.25">
      <c r="A4472" s="27" t="s">
        <v>1731</v>
      </c>
      <c r="B4472" s="27" t="s">
        <v>1732</v>
      </c>
    </row>
    <row r="4473" spans="1:2" ht="15.75" customHeight="1" x14ac:dyDescent="0.25">
      <c r="A4473" s="27" t="s">
        <v>1731</v>
      </c>
      <c r="B4473" s="27" t="s">
        <v>1732</v>
      </c>
    </row>
    <row r="4474" spans="1:2" ht="15.75" customHeight="1" x14ac:dyDescent="0.25">
      <c r="A4474" s="27" t="s">
        <v>1731</v>
      </c>
      <c r="B4474" s="27" t="s">
        <v>1732</v>
      </c>
    </row>
    <row r="4475" spans="1:2" ht="15.75" customHeight="1" x14ac:dyDescent="0.25">
      <c r="A4475" s="27" t="s">
        <v>1731</v>
      </c>
      <c r="B4475" s="27" t="s">
        <v>1732</v>
      </c>
    </row>
    <row r="4476" spans="1:2" ht="15.75" customHeight="1" x14ac:dyDescent="0.25">
      <c r="A4476" s="27" t="s">
        <v>1731</v>
      </c>
      <c r="B4476" s="27" t="s">
        <v>1732</v>
      </c>
    </row>
    <row r="4477" spans="1:2" ht="15.75" customHeight="1" x14ac:dyDescent="0.25">
      <c r="A4477" s="27" t="s">
        <v>1731</v>
      </c>
      <c r="B4477" s="27" t="s">
        <v>1732</v>
      </c>
    </row>
    <row r="4478" spans="1:2" ht="15.75" customHeight="1" x14ac:dyDescent="0.25">
      <c r="A4478" s="27" t="s">
        <v>1731</v>
      </c>
      <c r="B4478" s="27" t="s">
        <v>1732</v>
      </c>
    </row>
    <row r="4479" spans="1:2" ht="15.75" customHeight="1" x14ac:dyDescent="0.25">
      <c r="A4479" s="27" t="s">
        <v>1731</v>
      </c>
      <c r="B4479" s="27" t="s">
        <v>1732</v>
      </c>
    </row>
    <row r="4480" spans="1:2" ht="15.75" customHeight="1" x14ac:dyDescent="0.25">
      <c r="A4480" s="27" t="s">
        <v>1731</v>
      </c>
      <c r="B4480" s="27" t="s">
        <v>1732</v>
      </c>
    </row>
    <row r="4481" spans="1:2" ht="15.75" customHeight="1" x14ac:dyDescent="0.25">
      <c r="A4481" s="27" t="s">
        <v>1731</v>
      </c>
      <c r="B4481" s="27" t="s">
        <v>1732</v>
      </c>
    </row>
    <row r="4482" spans="1:2" ht="15.75" customHeight="1" x14ac:dyDescent="0.25">
      <c r="A4482" s="27" t="s">
        <v>1731</v>
      </c>
      <c r="B4482" s="27" t="s">
        <v>1732</v>
      </c>
    </row>
    <row r="4483" spans="1:2" ht="15.75" customHeight="1" x14ac:dyDescent="0.25">
      <c r="A4483" s="27" t="s">
        <v>1731</v>
      </c>
      <c r="B4483" s="27" t="s">
        <v>1732</v>
      </c>
    </row>
    <row r="4484" spans="1:2" ht="15.75" customHeight="1" x14ac:dyDescent="0.25">
      <c r="A4484" s="27" t="s">
        <v>1731</v>
      </c>
      <c r="B4484" s="27" t="s">
        <v>1732</v>
      </c>
    </row>
    <row r="4485" spans="1:2" ht="15.75" customHeight="1" x14ac:dyDescent="0.25">
      <c r="A4485" s="27" t="s">
        <v>1731</v>
      </c>
      <c r="B4485" s="27" t="s">
        <v>1732</v>
      </c>
    </row>
    <row r="4486" spans="1:2" ht="15.75" customHeight="1" x14ac:dyDescent="0.25">
      <c r="A4486" s="27" t="s">
        <v>1731</v>
      </c>
      <c r="B4486" s="27" t="s">
        <v>1732</v>
      </c>
    </row>
    <row r="4487" spans="1:2" ht="15.75" customHeight="1" x14ac:dyDescent="0.25">
      <c r="A4487" s="27" t="s">
        <v>1731</v>
      </c>
      <c r="B4487" s="27" t="s">
        <v>1732</v>
      </c>
    </row>
    <row r="4488" spans="1:2" ht="15.75" customHeight="1" x14ac:dyDescent="0.25">
      <c r="A4488" s="27" t="s">
        <v>1731</v>
      </c>
      <c r="B4488" s="27" t="s">
        <v>1732</v>
      </c>
    </row>
    <row r="4489" spans="1:2" ht="15.75" customHeight="1" x14ac:dyDescent="0.25">
      <c r="A4489" s="27" t="s">
        <v>1731</v>
      </c>
      <c r="B4489" s="27" t="s">
        <v>1732</v>
      </c>
    </row>
    <row r="4490" spans="1:2" ht="15.75" customHeight="1" x14ac:dyDescent="0.25">
      <c r="A4490" s="27" t="s">
        <v>1731</v>
      </c>
      <c r="B4490" s="27" t="s">
        <v>1732</v>
      </c>
    </row>
    <row r="4491" spans="1:2" ht="15.75" customHeight="1" x14ac:dyDescent="0.25">
      <c r="A4491" s="27" t="s">
        <v>1731</v>
      </c>
      <c r="B4491" s="27" t="s">
        <v>1732</v>
      </c>
    </row>
    <row r="4492" spans="1:2" ht="15.75" customHeight="1" x14ac:dyDescent="0.25">
      <c r="A4492" s="27" t="s">
        <v>1731</v>
      </c>
      <c r="B4492" s="27" t="s">
        <v>1732</v>
      </c>
    </row>
    <row r="4493" spans="1:2" ht="15.75" customHeight="1" x14ac:dyDescent="0.25">
      <c r="A4493" s="27" t="s">
        <v>1731</v>
      </c>
      <c r="B4493" s="27" t="s">
        <v>1732</v>
      </c>
    </row>
    <row r="4494" spans="1:2" ht="15.75" customHeight="1" x14ac:dyDescent="0.25">
      <c r="A4494" s="27" t="s">
        <v>1731</v>
      </c>
      <c r="B4494" s="27" t="s">
        <v>1732</v>
      </c>
    </row>
    <row r="4495" spans="1:2" ht="15.75" customHeight="1" x14ac:dyDescent="0.25">
      <c r="A4495" s="27" t="s">
        <v>1731</v>
      </c>
      <c r="B4495" s="27" t="s">
        <v>1732</v>
      </c>
    </row>
    <row r="4496" spans="1:2" ht="15.75" customHeight="1" x14ac:dyDescent="0.25">
      <c r="A4496" s="27" t="s">
        <v>1731</v>
      </c>
      <c r="B4496" s="27" t="s">
        <v>1732</v>
      </c>
    </row>
    <row r="4497" spans="1:2" ht="15.75" customHeight="1" x14ac:dyDescent="0.25">
      <c r="A4497" s="27" t="s">
        <v>1731</v>
      </c>
      <c r="B4497" s="27" t="s">
        <v>1732</v>
      </c>
    </row>
    <row r="4498" spans="1:2" ht="15.75" customHeight="1" x14ac:dyDescent="0.25">
      <c r="A4498" s="27" t="s">
        <v>1731</v>
      </c>
      <c r="B4498" s="27" t="s">
        <v>1732</v>
      </c>
    </row>
    <row r="4499" spans="1:2" ht="15.75" customHeight="1" x14ac:dyDescent="0.25">
      <c r="A4499" s="27" t="s">
        <v>1731</v>
      </c>
      <c r="B4499" s="27" t="s">
        <v>1732</v>
      </c>
    </row>
    <row r="4500" spans="1:2" ht="15.75" customHeight="1" x14ac:dyDescent="0.25">
      <c r="A4500" s="27" t="s">
        <v>1731</v>
      </c>
      <c r="B4500" s="27" t="s">
        <v>1732</v>
      </c>
    </row>
    <row r="4501" spans="1:2" ht="15.75" customHeight="1" x14ac:dyDescent="0.25">
      <c r="A4501" s="27" t="s">
        <v>1731</v>
      </c>
      <c r="B4501" s="27" t="s">
        <v>1732</v>
      </c>
    </row>
    <row r="4502" spans="1:2" ht="15.75" customHeight="1" x14ac:dyDescent="0.25">
      <c r="A4502" s="27" t="s">
        <v>1731</v>
      </c>
      <c r="B4502" s="27" t="s">
        <v>1732</v>
      </c>
    </row>
    <row r="4503" spans="1:2" ht="15.75" customHeight="1" x14ac:dyDescent="0.25">
      <c r="A4503" s="27" t="s">
        <v>1731</v>
      </c>
      <c r="B4503" s="27" t="s">
        <v>1732</v>
      </c>
    </row>
    <row r="4504" spans="1:2" ht="15.75" customHeight="1" x14ac:dyDescent="0.25">
      <c r="A4504" s="27" t="s">
        <v>1731</v>
      </c>
      <c r="B4504" s="27" t="s">
        <v>1732</v>
      </c>
    </row>
    <row r="4505" spans="1:2" ht="15.75" customHeight="1" x14ac:dyDescent="0.25">
      <c r="A4505" s="27" t="s">
        <v>1731</v>
      </c>
      <c r="B4505" s="27" t="s">
        <v>1732</v>
      </c>
    </row>
    <row r="4506" spans="1:2" ht="15.75" customHeight="1" x14ac:dyDescent="0.25">
      <c r="A4506" s="27" t="s">
        <v>1731</v>
      </c>
      <c r="B4506" s="27" t="s">
        <v>1732</v>
      </c>
    </row>
    <row r="4507" spans="1:2" ht="15.75" customHeight="1" x14ac:dyDescent="0.25">
      <c r="A4507" s="27" t="s">
        <v>1731</v>
      </c>
      <c r="B4507" s="27" t="s">
        <v>1732</v>
      </c>
    </row>
    <row r="4508" spans="1:2" ht="15.75" customHeight="1" x14ac:dyDescent="0.25">
      <c r="A4508" s="27" t="s">
        <v>1731</v>
      </c>
      <c r="B4508" s="27" t="s">
        <v>1732</v>
      </c>
    </row>
    <row r="4509" spans="1:2" ht="15.75" customHeight="1" x14ac:dyDescent="0.25">
      <c r="A4509" s="27" t="s">
        <v>1731</v>
      </c>
      <c r="B4509" s="27" t="s">
        <v>1732</v>
      </c>
    </row>
    <row r="4510" spans="1:2" ht="15.75" customHeight="1" x14ac:dyDescent="0.25">
      <c r="A4510" s="27" t="s">
        <v>1731</v>
      </c>
      <c r="B4510" s="27" t="s">
        <v>1732</v>
      </c>
    </row>
    <row r="4511" spans="1:2" ht="15.75" customHeight="1" x14ac:dyDescent="0.25">
      <c r="A4511" s="27" t="s">
        <v>1733</v>
      </c>
      <c r="B4511" s="27" t="s">
        <v>1734</v>
      </c>
    </row>
    <row r="4512" spans="1:2" ht="15.75" customHeight="1" x14ac:dyDescent="0.25">
      <c r="A4512" s="27" t="s">
        <v>1733</v>
      </c>
      <c r="B4512" s="27" t="s">
        <v>1734</v>
      </c>
    </row>
    <row r="4513" spans="1:2" ht="15.75" customHeight="1" x14ac:dyDescent="0.25">
      <c r="A4513" s="27" t="s">
        <v>1735</v>
      </c>
      <c r="B4513" s="27" t="s">
        <v>1736</v>
      </c>
    </row>
    <row r="4514" spans="1:2" ht="15.75" customHeight="1" x14ac:dyDescent="0.25">
      <c r="A4514" s="27" t="s">
        <v>1735</v>
      </c>
      <c r="B4514" s="27" t="s">
        <v>1736</v>
      </c>
    </row>
    <row r="4515" spans="1:2" ht="15.75" customHeight="1" x14ac:dyDescent="0.25">
      <c r="A4515" s="27" t="s">
        <v>1735</v>
      </c>
      <c r="B4515" s="27" t="s">
        <v>1736</v>
      </c>
    </row>
    <row r="4516" spans="1:2" ht="15.75" customHeight="1" x14ac:dyDescent="0.25">
      <c r="A4516" s="27" t="s">
        <v>1737</v>
      </c>
      <c r="B4516" s="27" t="s">
        <v>1738</v>
      </c>
    </row>
    <row r="4517" spans="1:2" ht="15.75" customHeight="1" x14ac:dyDescent="0.25">
      <c r="A4517" s="27" t="s">
        <v>1739</v>
      </c>
      <c r="B4517" s="27" t="s">
        <v>1740</v>
      </c>
    </row>
    <row r="4518" spans="1:2" ht="15.75" customHeight="1" x14ac:dyDescent="0.25">
      <c r="A4518" s="27" t="s">
        <v>1739</v>
      </c>
      <c r="B4518" s="27" t="s">
        <v>1740</v>
      </c>
    </row>
    <row r="4519" spans="1:2" ht="15.75" customHeight="1" x14ac:dyDescent="0.25">
      <c r="A4519" s="27" t="s">
        <v>1739</v>
      </c>
      <c r="B4519" s="27" t="s">
        <v>1740</v>
      </c>
    </row>
    <row r="4520" spans="1:2" ht="15.75" customHeight="1" x14ac:dyDescent="0.25">
      <c r="A4520" s="27" t="s">
        <v>1741</v>
      </c>
      <c r="B4520" s="27" t="s">
        <v>1742</v>
      </c>
    </row>
    <row r="4521" spans="1:2" ht="15.75" customHeight="1" x14ac:dyDescent="0.25">
      <c r="A4521" s="27" t="s">
        <v>1741</v>
      </c>
      <c r="B4521" s="27" t="s">
        <v>1742</v>
      </c>
    </row>
    <row r="4522" spans="1:2" ht="15.75" customHeight="1" x14ac:dyDescent="0.25">
      <c r="A4522" s="27" t="s">
        <v>1743</v>
      </c>
      <c r="B4522" s="27" t="s">
        <v>1744</v>
      </c>
    </row>
    <row r="4523" spans="1:2" ht="15.75" customHeight="1" x14ac:dyDescent="0.25">
      <c r="A4523" s="27" t="s">
        <v>1745</v>
      </c>
      <c r="B4523" s="27" t="s">
        <v>1746</v>
      </c>
    </row>
    <row r="4524" spans="1:2" ht="15.75" customHeight="1" x14ac:dyDescent="0.25">
      <c r="A4524" s="27" t="s">
        <v>1745</v>
      </c>
      <c r="B4524" s="27" t="s">
        <v>1746</v>
      </c>
    </row>
    <row r="4525" spans="1:2" ht="15.75" customHeight="1" x14ac:dyDescent="0.25">
      <c r="A4525" s="27" t="s">
        <v>1747</v>
      </c>
      <c r="B4525" s="27" t="s">
        <v>1748</v>
      </c>
    </row>
    <row r="4526" spans="1:2" ht="15.75" customHeight="1" x14ac:dyDescent="0.25">
      <c r="A4526" s="27" t="s">
        <v>1749</v>
      </c>
      <c r="B4526" s="27" t="s">
        <v>1750</v>
      </c>
    </row>
    <row r="4527" spans="1:2" ht="15.75" customHeight="1" x14ac:dyDescent="0.25">
      <c r="A4527" s="27" t="s">
        <v>1751</v>
      </c>
      <c r="B4527" s="27" t="s">
        <v>1752</v>
      </c>
    </row>
    <row r="4528" spans="1:2" ht="15.75" customHeight="1" x14ac:dyDescent="0.25">
      <c r="A4528" s="27" t="s">
        <v>1753</v>
      </c>
      <c r="B4528" s="27" t="s">
        <v>1754</v>
      </c>
    </row>
    <row r="4529" spans="1:2" ht="15.75" customHeight="1" x14ac:dyDescent="0.25">
      <c r="A4529" s="27" t="s">
        <v>1753</v>
      </c>
      <c r="B4529" s="27" t="s">
        <v>1754</v>
      </c>
    </row>
    <row r="4530" spans="1:2" ht="15.75" customHeight="1" x14ac:dyDescent="0.25">
      <c r="A4530" s="27" t="s">
        <v>1755</v>
      </c>
      <c r="B4530" s="27" t="s">
        <v>1756</v>
      </c>
    </row>
    <row r="4531" spans="1:2" ht="15.75" customHeight="1" x14ac:dyDescent="0.25">
      <c r="A4531" s="27" t="s">
        <v>1757</v>
      </c>
      <c r="B4531" s="27" t="s">
        <v>1758</v>
      </c>
    </row>
    <row r="4532" spans="1:2" ht="15.75" customHeight="1" x14ac:dyDescent="0.25">
      <c r="A4532" s="27" t="s">
        <v>1757</v>
      </c>
      <c r="B4532" s="27" t="s">
        <v>1758</v>
      </c>
    </row>
    <row r="4533" spans="1:2" ht="15.75" customHeight="1" x14ac:dyDescent="0.25">
      <c r="A4533" s="27" t="s">
        <v>1757</v>
      </c>
      <c r="B4533" s="27" t="s">
        <v>1758</v>
      </c>
    </row>
    <row r="4534" spans="1:2" ht="15.75" customHeight="1" x14ac:dyDescent="0.25">
      <c r="A4534" s="27" t="s">
        <v>1757</v>
      </c>
      <c r="B4534" s="27" t="s">
        <v>1758</v>
      </c>
    </row>
    <row r="4535" spans="1:2" ht="15.75" customHeight="1" x14ac:dyDescent="0.25">
      <c r="A4535" s="27" t="s">
        <v>1757</v>
      </c>
      <c r="B4535" s="27" t="s">
        <v>1758</v>
      </c>
    </row>
    <row r="4536" spans="1:2" ht="15.75" customHeight="1" x14ac:dyDescent="0.25">
      <c r="A4536" s="27" t="s">
        <v>1757</v>
      </c>
      <c r="B4536" s="27" t="s">
        <v>1758</v>
      </c>
    </row>
    <row r="4537" spans="1:2" ht="15.75" customHeight="1" x14ac:dyDescent="0.25">
      <c r="A4537" s="27" t="s">
        <v>1757</v>
      </c>
      <c r="B4537" s="27" t="s">
        <v>1758</v>
      </c>
    </row>
    <row r="4538" spans="1:2" ht="15.75" customHeight="1" x14ac:dyDescent="0.25">
      <c r="A4538" s="27" t="s">
        <v>1757</v>
      </c>
      <c r="B4538" s="27" t="s">
        <v>1758</v>
      </c>
    </row>
    <row r="4539" spans="1:2" ht="15.75" customHeight="1" x14ac:dyDescent="0.25">
      <c r="A4539" s="27" t="s">
        <v>1757</v>
      </c>
      <c r="B4539" s="27" t="s">
        <v>1758</v>
      </c>
    </row>
    <row r="4540" spans="1:2" ht="15.75" customHeight="1" x14ac:dyDescent="0.25">
      <c r="A4540" s="27" t="s">
        <v>1757</v>
      </c>
      <c r="B4540" s="27" t="s">
        <v>1758</v>
      </c>
    </row>
    <row r="4541" spans="1:2" ht="15.75" customHeight="1" x14ac:dyDescent="0.25">
      <c r="A4541" s="27" t="s">
        <v>1757</v>
      </c>
      <c r="B4541" s="27" t="s">
        <v>1758</v>
      </c>
    </row>
    <row r="4542" spans="1:2" ht="15.75" customHeight="1" x14ac:dyDescent="0.25">
      <c r="A4542" s="27" t="s">
        <v>1757</v>
      </c>
      <c r="B4542" s="27" t="s">
        <v>1758</v>
      </c>
    </row>
    <row r="4543" spans="1:2" ht="15.75" customHeight="1" x14ac:dyDescent="0.25">
      <c r="A4543" s="27" t="s">
        <v>1757</v>
      </c>
      <c r="B4543" s="27" t="s">
        <v>1758</v>
      </c>
    </row>
    <row r="4544" spans="1:2" ht="15.75" customHeight="1" x14ac:dyDescent="0.25">
      <c r="A4544" s="27" t="s">
        <v>1757</v>
      </c>
      <c r="B4544" s="27" t="s">
        <v>1758</v>
      </c>
    </row>
    <row r="4545" spans="1:2" ht="15.75" customHeight="1" x14ac:dyDescent="0.25">
      <c r="A4545" s="27" t="s">
        <v>1757</v>
      </c>
      <c r="B4545" s="27" t="s">
        <v>1758</v>
      </c>
    </row>
    <row r="4546" spans="1:2" ht="15.75" customHeight="1" x14ac:dyDescent="0.25">
      <c r="A4546" s="27" t="s">
        <v>1757</v>
      </c>
      <c r="B4546" s="27" t="s">
        <v>1758</v>
      </c>
    </row>
    <row r="4547" spans="1:2" ht="15.75" customHeight="1" x14ac:dyDescent="0.25">
      <c r="A4547" s="27" t="s">
        <v>1757</v>
      </c>
      <c r="B4547" s="27" t="s">
        <v>1758</v>
      </c>
    </row>
    <row r="4548" spans="1:2" ht="15.75" customHeight="1" x14ac:dyDescent="0.25">
      <c r="A4548" s="27" t="s">
        <v>1757</v>
      </c>
      <c r="B4548" s="27" t="s">
        <v>1758</v>
      </c>
    </row>
    <row r="4549" spans="1:2" ht="15.75" customHeight="1" x14ac:dyDescent="0.25">
      <c r="A4549" s="27" t="s">
        <v>1757</v>
      </c>
      <c r="B4549" s="27" t="s">
        <v>1758</v>
      </c>
    </row>
    <row r="4550" spans="1:2" ht="15.75" customHeight="1" x14ac:dyDescent="0.25">
      <c r="A4550" s="27" t="s">
        <v>1757</v>
      </c>
      <c r="B4550" s="27" t="s">
        <v>1758</v>
      </c>
    </row>
    <row r="4551" spans="1:2" ht="15.75" customHeight="1" x14ac:dyDescent="0.25">
      <c r="A4551" s="27" t="s">
        <v>1757</v>
      </c>
      <c r="B4551" s="27" t="s">
        <v>1758</v>
      </c>
    </row>
    <row r="4552" spans="1:2" ht="15.75" customHeight="1" x14ac:dyDescent="0.25">
      <c r="A4552" s="27" t="s">
        <v>1759</v>
      </c>
      <c r="B4552" s="27" t="s">
        <v>297</v>
      </c>
    </row>
    <row r="4553" spans="1:2" ht="15.75" customHeight="1" x14ac:dyDescent="0.25">
      <c r="A4553" s="27" t="s">
        <v>1759</v>
      </c>
      <c r="B4553" s="27" t="s">
        <v>297</v>
      </c>
    </row>
    <row r="4554" spans="1:2" ht="15.75" customHeight="1" x14ac:dyDescent="0.25">
      <c r="A4554" s="27" t="s">
        <v>1759</v>
      </c>
      <c r="B4554" s="27" t="s">
        <v>297</v>
      </c>
    </row>
    <row r="4555" spans="1:2" ht="15.75" customHeight="1" x14ac:dyDescent="0.25">
      <c r="A4555" s="27" t="s">
        <v>1759</v>
      </c>
      <c r="B4555" s="27" t="s">
        <v>297</v>
      </c>
    </row>
    <row r="4556" spans="1:2" ht="15.75" customHeight="1" x14ac:dyDescent="0.25">
      <c r="A4556" s="27" t="s">
        <v>1760</v>
      </c>
      <c r="B4556" s="27" t="s">
        <v>530</v>
      </c>
    </row>
    <row r="4557" spans="1:2" ht="15.75" customHeight="1" x14ac:dyDescent="0.25">
      <c r="A4557" s="27" t="s">
        <v>1760</v>
      </c>
      <c r="B4557" s="27" t="s">
        <v>530</v>
      </c>
    </row>
    <row r="4558" spans="1:2" ht="15.75" customHeight="1" x14ac:dyDescent="0.25">
      <c r="A4558" s="27" t="s">
        <v>1760</v>
      </c>
      <c r="B4558" s="27" t="s">
        <v>530</v>
      </c>
    </row>
    <row r="4559" spans="1:2" ht="15.75" customHeight="1" x14ac:dyDescent="0.25">
      <c r="A4559" s="27" t="s">
        <v>1760</v>
      </c>
      <c r="B4559" s="27" t="s">
        <v>530</v>
      </c>
    </row>
    <row r="4560" spans="1:2" ht="15.75" customHeight="1" x14ac:dyDescent="0.25">
      <c r="A4560" s="27" t="s">
        <v>1760</v>
      </c>
      <c r="B4560" s="27" t="s">
        <v>530</v>
      </c>
    </row>
    <row r="4561" spans="1:2" ht="15.75" customHeight="1" x14ac:dyDescent="0.25">
      <c r="A4561" s="27" t="s">
        <v>1760</v>
      </c>
      <c r="B4561" s="27" t="s">
        <v>530</v>
      </c>
    </row>
    <row r="4562" spans="1:2" ht="15.75" customHeight="1" x14ac:dyDescent="0.25">
      <c r="A4562" s="27" t="s">
        <v>1760</v>
      </c>
      <c r="B4562" s="27" t="s">
        <v>530</v>
      </c>
    </row>
    <row r="4563" spans="1:2" ht="15.75" customHeight="1" x14ac:dyDescent="0.25">
      <c r="A4563" s="27" t="s">
        <v>1760</v>
      </c>
      <c r="B4563" s="27" t="s">
        <v>530</v>
      </c>
    </row>
    <row r="4564" spans="1:2" ht="15.75" customHeight="1" x14ac:dyDescent="0.25">
      <c r="A4564" s="27" t="s">
        <v>1760</v>
      </c>
      <c r="B4564" s="27" t="s">
        <v>530</v>
      </c>
    </row>
    <row r="4565" spans="1:2" ht="15.75" customHeight="1" x14ac:dyDescent="0.25">
      <c r="A4565" s="27" t="s">
        <v>1760</v>
      </c>
      <c r="B4565" s="27" t="s">
        <v>530</v>
      </c>
    </row>
    <row r="4566" spans="1:2" ht="15.75" customHeight="1" x14ac:dyDescent="0.25">
      <c r="A4566" s="27" t="s">
        <v>1760</v>
      </c>
      <c r="B4566" s="27" t="s">
        <v>530</v>
      </c>
    </row>
    <row r="4567" spans="1:2" ht="15.75" customHeight="1" x14ac:dyDescent="0.25">
      <c r="A4567" s="27" t="s">
        <v>1760</v>
      </c>
      <c r="B4567" s="27" t="s">
        <v>530</v>
      </c>
    </row>
    <row r="4568" spans="1:2" ht="15.75" customHeight="1" x14ac:dyDescent="0.25">
      <c r="A4568" s="27" t="s">
        <v>1760</v>
      </c>
      <c r="B4568" s="27" t="s">
        <v>530</v>
      </c>
    </row>
    <row r="4569" spans="1:2" ht="15.75" customHeight="1" x14ac:dyDescent="0.25">
      <c r="A4569" s="27" t="s">
        <v>1760</v>
      </c>
      <c r="B4569" s="27" t="s">
        <v>530</v>
      </c>
    </row>
    <row r="4570" spans="1:2" ht="15.75" customHeight="1" x14ac:dyDescent="0.25">
      <c r="A4570" s="27" t="s">
        <v>1760</v>
      </c>
      <c r="B4570" s="27" t="s">
        <v>530</v>
      </c>
    </row>
    <row r="4571" spans="1:2" ht="15.75" customHeight="1" x14ac:dyDescent="0.25">
      <c r="A4571" s="27" t="s">
        <v>1760</v>
      </c>
      <c r="B4571" s="27" t="s">
        <v>530</v>
      </c>
    </row>
    <row r="4572" spans="1:2" ht="15.75" customHeight="1" x14ac:dyDescent="0.25">
      <c r="A4572" s="27" t="s">
        <v>1760</v>
      </c>
      <c r="B4572" s="27" t="s">
        <v>530</v>
      </c>
    </row>
    <row r="4573" spans="1:2" ht="15.75" customHeight="1" x14ac:dyDescent="0.25">
      <c r="A4573" s="27" t="s">
        <v>1760</v>
      </c>
      <c r="B4573" s="27" t="s">
        <v>530</v>
      </c>
    </row>
    <row r="4574" spans="1:2" ht="15.75" customHeight="1" x14ac:dyDescent="0.25">
      <c r="A4574" s="27" t="s">
        <v>1760</v>
      </c>
      <c r="B4574" s="27" t="s">
        <v>530</v>
      </c>
    </row>
    <row r="4575" spans="1:2" ht="15.75" customHeight="1" x14ac:dyDescent="0.25">
      <c r="A4575" s="27" t="s">
        <v>1760</v>
      </c>
      <c r="B4575" s="27" t="s">
        <v>530</v>
      </c>
    </row>
    <row r="4576" spans="1:2" ht="15.75" customHeight="1" x14ac:dyDescent="0.25">
      <c r="A4576" s="27" t="s">
        <v>1761</v>
      </c>
      <c r="B4576" s="27" t="s">
        <v>1762</v>
      </c>
    </row>
    <row r="4577" spans="1:2" ht="15.75" customHeight="1" x14ac:dyDescent="0.25">
      <c r="A4577" s="27" t="s">
        <v>1761</v>
      </c>
      <c r="B4577" s="27" t="s">
        <v>1762</v>
      </c>
    </row>
    <row r="4578" spans="1:2" ht="15.75" customHeight="1" x14ac:dyDescent="0.25">
      <c r="A4578" s="27" t="s">
        <v>1761</v>
      </c>
      <c r="B4578" s="27" t="s">
        <v>1762</v>
      </c>
    </row>
    <row r="4579" spans="1:2" ht="15.75" customHeight="1" x14ac:dyDescent="0.25">
      <c r="A4579" s="27" t="s">
        <v>1761</v>
      </c>
      <c r="B4579" s="27" t="s">
        <v>1762</v>
      </c>
    </row>
    <row r="4580" spans="1:2" ht="15.75" customHeight="1" x14ac:dyDescent="0.25">
      <c r="A4580" s="27" t="s">
        <v>1761</v>
      </c>
      <c r="B4580" s="27" t="s">
        <v>1762</v>
      </c>
    </row>
    <row r="4581" spans="1:2" ht="15.75" customHeight="1" x14ac:dyDescent="0.25">
      <c r="A4581" s="27" t="s">
        <v>1763</v>
      </c>
      <c r="B4581" s="27" t="s">
        <v>1764</v>
      </c>
    </row>
    <row r="4582" spans="1:2" ht="15.75" customHeight="1" x14ac:dyDescent="0.25">
      <c r="A4582" s="27" t="s">
        <v>1765</v>
      </c>
      <c r="B4582" s="27" t="s">
        <v>1766</v>
      </c>
    </row>
    <row r="4583" spans="1:2" ht="15.75" customHeight="1" x14ac:dyDescent="0.25">
      <c r="A4583" s="27" t="s">
        <v>1767</v>
      </c>
      <c r="B4583" s="27" t="s">
        <v>493</v>
      </c>
    </row>
    <row r="4584" spans="1:2" ht="15.75" customHeight="1" x14ac:dyDescent="0.25">
      <c r="A4584" s="27" t="s">
        <v>1767</v>
      </c>
      <c r="B4584" s="27" t="s">
        <v>493</v>
      </c>
    </row>
    <row r="4585" spans="1:2" ht="15.75" customHeight="1" x14ac:dyDescent="0.25">
      <c r="A4585" s="27" t="s">
        <v>1767</v>
      </c>
      <c r="B4585" s="27" t="s">
        <v>493</v>
      </c>
    </row>
    <row r="4586" spans="1:2" ht="15.75" customHeight="1" x14ac:dyDescent="0.25">
      <c r="A4586" s="27" t="s">
        <v>1767</v>
      </c>
      <c r="B4586" s="27" t="s">
        <v>493</v>
      </c>
    </row>
    <row r="4587" spans="1:2" ht="15.75" customHeight="1" x14ac:dyDescent="0.25">
      <c r="A4587" s="27" t="s">
        <v>1767</v>
      </c>
      <c r="B4587" s="27" t="s">
        <v>493</v>
      </c>
    </row>
    <row r="4588" spans="1:2" ht="15.75" customHeight="1" x14ac:dyDescent="0.25">
      <c r="A4588" s="27" t="s">
        <v>1767</v>
      </c>
      <c r="B4588" s="27" t="s">
        <v>493</v>
      </c>
    </row>
    <row r="4589" spans="1:2" ht="15.75" customHeight="1" x14ac:dyDescent="0.25">
      <c r="A4589" s="27" t="s">
        <v>1767</v>
      </c>
      <c r="B4589" s="27" t="s">
        <v>493</v>
      </c>
    </row>
    <row r="4590" spans="1:2" ht="15.75" customHeight="1" x14ac:dyDescent="0.25">
      <c r="A4590" s="27" t="s">
        <v>1768</v>
      </c>
      <c r="B4590" s="27" t="s">
        <v>494</v>
      </c>
    </row>
    <row r="4591" spans="1:2" ht="15.75" customHeight="1" x14ac:dyDescent="0.25">
      <c r="A4591" s="27" t="s">
        <v>1769</v>
      </c>
      <c r="B4591" s="27" t="s">
        <v>531</v>
      </c>
    </row>
    <row r="4592" spans="1:2" ht="15.75" customHeight="1" x14ac:dyDescent="0.25">
      <c r="A4592" s="27" t="s">
        <v>1769</v>
      </c>
      <c r="B4592" s="27" t="s">
        <v>531</v>
      </c>
    </row>
    <row r="4593" spans="1:2" ht="15.75" customHeight="1" x14ac:dyDescent="0.25">
      <c r="A4593" s="27" t="s">
        <v>1769</v>
      </c>
      <c r="B4593" s="27" t="s">
        <v>531</v>
      </c>
    </row>
    <row r="4594" spans="1:2" ht="15.75" customHeight="1" x14ac:dyDescent="0.25">
      <c r="A4594" s="27" t="s">
        <v>1769</v>
      </c>
      <c r="B4594" s="27" t="s">
        <v>531</v>
      </c>
    </row>
    <row r="4595" spans="1:2" ht="15.75" customHeight="1" x14ac:dyDescent="0.25">
      <c r="A4595" s="27" t="s">
        <v>1769</v>
      </c>
      <c r="B4595" s="27" t="s">
        <v>531</v>
      </c>
    </row>
    <row r="4596" spans="1:2" ht="15.75" customHeight="1" x14ac:dyDescent="0.25">
      <c r="A4596" s="27" t="s">
        <v>1769</v>
      </c>
      <c r="B4596" s="27" t="s">
        <v>531</v>
      </c>
    </row>
    <row r="4597" spans="1:2" ht="15.75" customHeight="1" x14ac:dyDescent="0.25">
      <c r="A4597" s="27" t="s">
        <v>1769</v>
      </c>
      <c r="B4597" s="27" t="s">
        <v>531</v>
      </c>
    </row>
    <row r="4598" spans="1:2" ht="15.75" customHeight="1" x14ac:dyDescent="0.25">
      <c r="A4598" s="27" t="s">
        <v>1769</v>
      </c>
      <c r="B4598" s="27" t="s">
        <v>531</v>
      </c>
    </row>
    <row r="4599" spans="1:2" ht="15.75" customHeight="1" x14ac:dyDescent="0.25">
      <c r="A4599" s="27" t="s">
        <v>1769</v>
      </c>
      <c r="B4599" s="27" t="s">
        <v>531</v>
      </c>
    </row>
    <row r="4600" spans="1:2" ht="15.75" customHeight="1" x14ac:dyDescent="0.25">
      <c r="A4600" s="27" t="s">
        <v>1769</v>
      </c>
      <c r="B4600" s="27" t="s">
        <v>531</v>
      </c>
    </row>
    <row r="4601" spans="1:2" ht="15.75" customHeight="1" x14ac:dyDescent="0.25">
      <c r="A4601" s="27" t="s">
        <v>1769</v>
      </c>
      <c r="B4601" s="27" t="s">
        <v>531</v>
      </c>
    </row>
    <row r="4602" spans="1:2" ht="15.75" customHeight="1" x14ac:dyDescent="0.25">
      <c r="A4602" s="27" t="s">
        <v>1769</v>
      </c>
      <c r="B4602" s="27" t="s">
        <v>531</v>
      </c>
    </row>
    <row r="4603" spans="1:2" ht="15.75" customHeight="1" x14ac:dyDescent="0.25">
      <c r="A4603" s="27" t="s">
        <v>1769</v>
      </c>
      <c r="B4603" s="27" t="s">
        <v>531</v>
      </c>
    </row>
    <row r="4604" spans="1:2" ht="15.75" customHeight="1" x14ac:dyDescent="0.25">
      <c r="A4604" s="27" t="s">
        <v>1769</v>
      </c>
      <c r="B4604" s="27" t="s">
        <v>531</v>
      </c>
    </row>
    <row r="4605" spans="1:2" ht="15.75" customHeight="1" x14ac:dyDescent="0.25">
      <c r="A4605" s="27" t="s">
        <v>1769</v>
      </c>
      <c r="B4605" s="27" t="s">
        <v>531</v>
      </c>
    </row>
    <row r="4606" spans="1:2" ht="15.75" customHeight="1" x14ac:dyDescent="0.25">
      <c r="A4606" s="27" t="s">
        <v>1769</v>
      </c>
      <c r="B4606" s="27" t="s">
        <v>531</v>
      </c>
    </row>
    <row r="4607" spans="1:2" ht="15.75" customHeight="1" x14ac:dyDescent="0.25">
      <c r="A4607" s="27" t="s">
        <v>1769</v>
      </c>
      <c r="B4607" s="27" t="s">
        <v>531</v>
      </c>
    </row>
    <row r="4608" spans="1:2" ht="15.75" customHeight="1" x14ac:dyDescent="0.25">
      <c r="A4608" s="27" t="s">
        <v>1769</v>
      </c>
      <c r="B4608" s="27" t="s">
        <v>531</v>
      </c>
    </row>
    <row r="4609" spans="1:2" ht="15.75" customHeight="1" x14ac:dyDescent="0.25">
      <c r="A4609" s="27" t="s">
        <v>1770</v>
      </c>
      <c r="B4609" s="27" t="s">
        <v>1771</v>
      </c>
    </row>
    <row r="4610" spans="1:2" ht="15.75" customHeight="1" x14ac:dyDescent="0.25">
      <c r="A4610" s="27" t="s">
        <v>1770</v>
      </c>
      <c r="B4610" s="27" t="s">
        <v>1771</v>
      </c>
    </row>
    <row r="4611" spans="1:2" ht="15.75" customHeight="1" x14ac:dyDescent="0.25">
      <c r="A4611" s="27" t="s">
        <v>1770</v>
      </c>
      <c r="B4611" s="27" t="s">
        <v>1771</v>
      </c>
    </row>
    <row r="4612" spans="1:2" ht="15.75" customHeight="1" x14ac:dyDescent="0.25">
      <c r="A4612" s="27" t="s">
        <v>1772</v>
      </c>
      <c r="B4612" s="27" t="s">
        <v>1773</v>
      </c>
    </row>
    <row r="4613" spans="1:2" ht="15.75" customHeight="1" x14ac:dyDescent="0.25">
      <c r="A4613" s="27" t="s">
        <v>1772</v>
      </c>
      <c r="B4613" s="27" t="s">
        <v>1773</v>
      </c>
    </row>
    <row r="4614" spans="1:2" ht="15.75" customHeight="1" x14ac:dyDescent="0.25">
      <c r="A4614" s="27" t="s">
        <v>1772</v>
      </c>
      <c r="B4614" s="27" t="s">
        <v>1773</v>
      </c>
    </row>
    <row r="4615" spans="1:2" ht="15.75" customHeight="1" x14ac:dyDescent="0.25">
      <c r="A4615" s="27" t="s">
        <v>1774</v>
      </c>
      <c r="B4615" s="27" t="s">
        <v>1775</v>
      </c>
    </row>
    <row r="4616" spans="1:2" ht="15.75" customHeight="1" x14ac:dyDescent="0.25">
      <c r="A4616" s="27" t="s">
        <v>1776</v>
      </c>
      <c r="B4616" s="27" t="s">
        <v>67</v>
      </c>
    </row>
    <row r="4617" spans="1:2" ht="15.75" customHeight="1" x14ac:dyDescent="0.25">
      <c r="A4617" s="27" t="s">
        <v>1776</v>
      </c>
      <c r="B4617" s="27" t="s">
        <v>67</v>
      </c>
    </row>
    <row r="4618" spans="1:2" ht="15.75" customHeight="1" x14ac:dyDescent="0.25">
      <c r="A4618" s="27" t="s">
        <v>1776</v>
      </c>
      <c r="B4618" s="27" t="s">
        <v>67</v>
      </c>
    </row>
    <row r="4619" spans="1:2" ht="15.75" customHeight="1" x14ac:dyDescent="0.25">
      <c r="A4619" s="27" t="s">
        <v>1776</v>
      </c>
      <c r="B4619" s="27" t="s">
        <v>67</v>
      </c>
    </row>
    <row r="4620" spans="1:2" ht="15.75" customHeight="1" x14ac:dyDescent="0.25">
      <c r="A4620" s="27" t="s">
        <v>1776</v>
      </c>
      <c r="B4620" s="27" t="s">
        <v>67</v>
      </c>
    </row>
    <row r="4621" spans="1:2" ht="15.75" customHeight="1" x14ac:dyDescent="0.25">
      <c r="A4621" s="27" t="s">
        <v>1776</v>
      </c>
      <c r="B4621" s="27" t="s">
        <v>67</v>
      </c>
    </row>
    <row r="4622" spans="1:2" ht="15.75" customHeight="1" x14ac:dyDescent="0.25">
      <c r="A4622" s="27" t="s">
        <v>1776</v>
      </c>
      <c r="B4622" s="27" t="s">
        <v>67</v>
      </c>
    </row>
    <row r="4623" spans="1:2" ht="15.75" customHeight="1" x14ac:dyDescent="0.25">
      <c r="A4623" s="27" t="s">
        <v>1776</v>
      </c>
      <c r="B4623" s="27" t="s">
        <v>67</v>
      </c>
    </row>
    <row r="4624" spans="1:2" ht="15.75" customHeight="1" x14ac:dyDescent="0.25">
      <c r="A4624" s="27" t="s">
        <v>1776</v>
      </c>
      <c r="B4624" s="27" t="s">
        <v>67</v>
      </c>
    </row>
    <row r="4625" spans="1:2" ht="15.75" customHeight="1" x14ac:dyDescent="0.25">
      <c r="A4625" s="27" t="s">
        <v>1777</v>
      </c>
      <c r="B4625" s="27" t="s">
        <v>497</v>
      </c>
    </row>
    <row r="4626" spans="1:2" ht="15.75" customHeight="1" x14ac:dyDescent="0.25">
      <c r="A4626" s="27" t="s">
        <v>1777</v>
      </c>
      <c r="B4626" s="27" t="s">
        <v>497</v>
      </c>
    </row>
    <row r="4627" spans="1:2" ht="15.75" customHeight="1" x14ac:dyDescent="0.25">
      <c r="A4627" s="27" t="s">
        <v>1777</v>
      </c>
      <c r="B4627" s="27" t="s">
        <v>497</v>
      </c>
    </row>
    <row r="4628" spans="1:2" ht="15.75" customHeight="1" x14ac:dyDescent="0.25">
      <c r="A4628" s="27" t="s">
        <v>1777</v>
      </c>
      <c r="B4628" s="27" t="s">
        <v>497</v>
      </c>
    </row>
  </sheetData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95"/>
  <sheetViews>
    <sheetView workbookViewId="0"/>
  </sheetViews>
  <sheetFormatPr defaultColWidth="14.42578125" defaultRowHeight="15" customHeight="1" x14ac:dyDescent="0.25"/>
  <cols>
    <col min="1" max="1" width="16" customWidth="1"/>
    <col min="2" max="2" width="72.28515625" customWidth="1"/>
    <col min="3" max="3" width="8.140625" customWidth="1"/>
    <col min="4" max="4" width="16.140625" customWidth="1"/>
    <col min="5" max="26" width="22.7109375" customWidth="1"/>
  </cols>
  <sheetData>
    <row r="1" spans="1:4" ht="18.75" x14ac:dyDescent="0.3">
      <c r="A1" s="28" t="s">
        <v>1778</v>
      </c>
      <c r="B1" s="28" t="s">
        <v>1779</v>
      </c>
      <c r="C1" s="28" t="s">
        <v>1780</v>
      </c>
      <c r="D1" s="14" t="s">
        <v>1781</v>
      </c>
    </row>
    <row r="2" spans="1:4" ht="18.75" x14ac:dyDescent="0.3">
      <c r="A2" s="29">
        <v>1000032</v>
      </c>
      <c r="B2" s="29" t="s">
        <v>9</v>
      </c>
      <c r="C2" s="29" t="s">
        <v>11</v>
      </c>
      <c r="D2" s="14" t="s">
        <v>301</v>
      </c>
    </row>
    <row r="3" spans="1:4" ht="18.75" x14ac:dyDescent="0.3">
      <c r="A3" s="29">
        <v>1000033</v>
      </c>
      <c r="B3" s="29" t="s">
        <v>12</v>
      </c>
      <c r="C3" s="29" t="s">
        <v>11</v>
      </c>
      <c r="D3" s="14" t="s">
        <v>301</v>
      </c>
    </row>
    <row r="4" spans="1:4" ht="18.75" x14ac:dyDescent="0.3">
      <c r="A4" s="29">
        <v>1001306</v>
      </c>
      <c r="B4" s="29" t="s">
        <v>13</v>
      </c>
      <c r="C4" s="29" t="s">
        <v>11</v>
      </c>
      <c r="D4" s="14" t="s">
        <v>301</v>
      </c>
    </row>
    <row r="5" spans="1:4" ht="18.75" x14ac:dyDescent="0.3">
      <c r="A5" s="29">
        <v>1000037</v>
      </c>
      <c r="B5" s="29" t="s">
        <v>46</v>
      </c>
      <c r="C5" s="29" t="s">
        <v>11</v>
      </c>
      <c r="D5" s="14" t="s">
        <v>301</v>
      </c>
    </row>
    <row r="6" spans="1:4" ht="18.75" x14ac:dyDescent="0.3">
      <c r="A6" s="29">
        <v>1000039</v>
      </c>
      <c r="B6" s="29" t="s">
        <v>16</v>
      </c>
      <c r="C6" s="29" t="s">
        <v>11</v>
      </c>
      <c r="D6" s="14" t="s">
        <v>301</v>
      </c>
    </row>
    <row r="7" spans="1:4" ht="18.75" x14ac:dyDescent="0.3">
      <c r="A7" s="29">
        <v>1001455</v>
      </c>
      <c r="B7" s="29" t="s">
        <v>17</v>
      </c>
      <c r="C7" s="29" t="s">
        <v>11</v>
      </c>
      <c r="D7" s="14" t="s">
        <v>301</v>
      </c>
    </row>
    <row r="8" spans="1:4" ht="18.75" x14ac:dyDescent="0.3">
      <c r="A8" s="29">
        <v>1000048</v>
      </c>
      <c r="B8" s="29" t="s">
        <v>19</v>
      </c>
      <c r="C8" s="29" t="s">
        <v>11</v>
      </c>
      <c r="D8" s="14" t="s">
        <v>301</v>
      </c>
    </row>
    <row r="9" spans="1:4" ht="18.75" x14ac:dyDescent="0.3">
      <c r="A9" s="29">
        <v>1000049</v>
      </c>
      <c r="B9" s="29" t="s">
        <v>48</v>
      </c>
      <c r="C9" s="29" t="s">
        <v>11</v>
      </c>
      <c r="D9" s="14" t="s">
        <v>301</v>
      </c>
    </row>
    <row r="10" spans="1:4" ht="18.75" x14ac:dyDescent="0.3">
      <c r="A10" s="29">
        <v>1000065</v>
      </c>
      <c r="B10" s="29" t="s">
        <v>131</v>
      </c>
      <c r="C10" s="29" t="s">
        <v>11</v>
      </c>
      <c r="D10" s="14" t="s">
        <v>301</v>
      </c>
    </row>
    <row r="11" spans="1:4" ht="18.75" x14ac:dyDescent="0.3">
      <c r="A11" s="29">
        <v>1001307</v>
      </c>
      <c r="B11" s="29" t="s">
        <v>389</v>
      </c>
      <c r="C11" s="29" t="s">
        <v>11</v>
      </c>
      <c r="D11" s="14" t="s">
        <v>301</v>
      </c>
    </row>
    <row r="12" spans="1:4" ht="18.75" x14ac:dyDescent="0.3">
      <c r="A12" s="29">
        <v>1001680</v>
      </c>
      <c r="B12" s="29" t="s">
        <v>135</v>
      </c>
      <c r="C12" s="29" t="s">
        <v>11</v>
      </c>
      <c r="D12" s="14" t="s">
        <v>301</v>
      </c>
    </row>
    <row r="13" spans="1:4" ht="18.75" x14ac:dyDescent="0.3">
      <c r="A13" s="29">
        <v>1001941</v>
      </c>
      <c r="B13" s="29" t="s">
        <v>58</v>
      </c>
      <c r="C13" s="29" t="s">
        <v>11</v>
      </c>
      <c r="D13" s="14" t="s">
        <v>301</v>
      </c>
    </row>
    <row r="14" spans="1:4" ht="18.75" x14ac:dyDescent="0.3">
      <c r="A14" s="29">
        <v>1001667</v>
      </c>
      <c r="B14" s="29" t="s">
        <v>139</v>
      </c>
      <c r="C14" s="29" t="s">
        <v>11</v>
      </c>
      <c r="D14" s="14" t="s">
        <v>301</v>
      </c>
    </row>
    <row r="15" spans="1:4" ht="18.75" x14ac:dyDescent="0.3">
      <c r="A15" s="29">
        <v>1001122</v>
      </c>
      <c r="B15" s="29" t="s">
        <v>140</v>
      </c>
      <c r="C15" s="29" t="s">
        <v>11</v>
      </c>
      <c r="D15" s="14" t="s">
        <v>301</v>
      </c>
    </row>
    <row r="16" spans="1:4" ht="18.75" x14ac:dyDescent="0.3">
      <c r="A16" s="29">
        <v>1000183</v>
      </c>
      <c r="B16" s="29" t="s">
        <v>51</v>
      </c>
      <c r="C16" s="29" t="s">
        <v>11</v>
      </c>
      <c r="D16" s="14" t="s">
        <v>301</v>
      </c>
    </row>
    <row r="17" spans="1:4" ht="18.75" x14ac:dyDescent="0.3">
      <c r="A17" s="29">
        <v>1000184</v>
      </c>
      <c r="B17" s="29" t="s">
        <v>28</v>
      </c>
      <c r="C17" s="29" t="s">
        <v>11</v>
      </c>
      <c r="D17" s="14" t="s">
        <v>301</v>
      </c>
    </row>
    <row r="18" spans="1:4" ht="18.75" x14ac:dyDescent="0.3">
      <c r="A18" s="29">
        <v>1000185</v>
      </c>
      <c r="B18" s="29" t="s">
        <v>52</v>
      </c>
      <c r="C18" s="29" t="s">
        <v>11</v>
      </c>
      <c r="D18" s="14" t="s">
        <v>301</v>
      </c>
    </row>
    <row r="19" spans="1:4" ht="18.75" x14ac:dyDescent="0.3">
      <c r="A19" s="29">
        <v>1000195</v>
      </c>
      <c r="B19" s="29" t="s">
        <v>32</v>
      </c>
      <c r="C19" s="29" t="s">
        <v>11</v>
      </c>
      <c r="D19" s="14" t="s">
        <v>301</v>
      </c>
    </row>
    <row r="20" spans="1:4" ht="18.75" x14ac:dyDescent="0.3">
      <c r="A20" s="29">
        <v>1000196</v>
      </c>
      <c r="B20" s="29" t="s">
        <v>64</v>
      </c>
      <c r="C20" s="29" t="s">
        <v>11</v>
      </c>
      <c r="D20" s="14" t="s">
        <v>301</v>
      </c>
    </row>
    <row r="21" spans="1:4" ht="15.75" customHeight="1" x14ac:dyDescent="0.3">
      <c r="A21" s="29">
        <v>1000197</v>
      </c>
      <c r="B21" s="29" t="s">
        <v>53</v>
      </c>
      <c r="C21" s="29" t="s">
        <v>11</v>
      </c>
      <c r="D21" s="14" t="s">
        <v>301</v>
      </c>
    </row>
    <row r="22" spans="1:4" ht="15.75" customHeight="1" x14ac:dyDescent="0.3">
      <c r="A22" s="29">
        <v>1000198</v>
      </c>
      <c r="B22" s="29" t="s">
        <v>65</v>
      </c>
      <c r="C22" s="29" t="s">
        <v>11</v>
      </c>
      <c r="D22" s="14" t="s">
        <v>301</v>
      </c>
    </row>
    <row r="23" spans="1:4" ht="15.75" customHeight="1" x14ac:dyDescent="0.3">
      <c r="A23" s="29">
        <v>1001741</v>
      </c>
      <c r="B23" s="29" t="s">
        <v>33</v>
      </c>
      <c r="C23" s="29" t="s">
        <v>11</v>
      </c>
      <c r="D23" s="14" t="s">
        <v>301</v>
      </c>
    </row>
    <row r="24" spans="1:4" ht="15.75" customHeight="1" x14ac:dyDescent="0.3">
      <c r="A24" s="29">
        <v>1001045</v>
      </c>
      <c r="B24" s="29" t="s">
        <v>145</v>
      </c>
      <c r="C24" s="29" t="s">
        <v>11</v>
      </c>
      <c r="D24" s="14" t="s">
        <v>301</v>
      </c>
    </row>
    <row r="25" spans="1:4" ht="15.75" customHeight="1" x14ac:dyDescent="0.3">
      <c r="A25" s="29">
        <v>1000224</v>
      </c>
      <c r="B25" s="29" t="s">
        <v>146</v>
      </c>
      <c r="C25" s="29" t="s">
        <v>11</v>
      </c>
      <c r="D25" s="14" t="s">
        <v>301</v>
      </c>
    </row>
    <row r="26" spans="1:4" ht="15.75" customHeight="1" x14ac:dyDescent="0.3">
      <c r="A26" s="29">
        <v>1001718</v>
      </c>
      <c r="B26" s="29" t="s">
        <v>147</v>
      </c>
      <c r="C26" s="29" t="s">
        <v>11</v>
      </c>
      <c r="D26" s="14" t="s">
        <v>301</v>
      </c>
    </row>
    <row r="27" spans="1:4" ht="15.75" customHeight="1" x14ac:dyDescent="0.3">
      <c r="A27" s="29">
        <v>1001299</v>
      </c>
      <c r="B27" s="29" t="s">
        <v>149</v>
      </c>
      <c r="C27" s="29" t="s">
        <v>11</v>
      </c>
      <c r="D27" s="14" t="s">
        <v>301</v>
      </c>
    </row>
    <row r="28" spans="1:4" ht="15.75" customHeight="1" x14ac:dyDescent="0.3">
      <c r="A28" s="29">
        <v>1002224</v>
      </c>
      <c r="B28" s="29" t="s">
        <v>1068</v>
      </c>
      <c r="C28" s="29" t="s">
        <v>11</v>
      </c>
      <c r="D28" s="14" t="s">
        <v>301</v>
      </c>
    </row>
    <row r="29" spans="1:4" ht="15.75" customHeight="1" x14ac:dyDescent="0.3">
      <c r="A29" s="29">
        <v>1001488</v>
      </c>
      <c r="B29" s="29" t="s">
        <v>34</v>
      </c>
      <c r="C29" s="29" t="s">
        <v>11</v>
      </c>
      <c r="D29" s="14" t="s">
        <v>301</v>
      </c>
    </row>
    <row r="30" spans="1:4" ht="15.75" customHeight="1" x14ac:dyDescent="0.3">
      <c r="A30" s="29">
        <v>1000243</v>
      </c>
      <c r="B30" s="29" t="s">
        <v>150</v>
      </c>
      <c r="C30" s="29" t="s">
        <v>11</v>
      </c>
      <c r="D30" s="14" t="s">
        <v>301</v>
      </c>
    </row>
    <row r="31" spans="1:4" ht="15.75" customHeight="1" x14ac:dyDescent="0.3">
      <c r="A31" s="29">
        <v>1000254</v>
      </c>
      <c r="B31" s="29" t="s">
        <v>151</v>
      </c>
      <c r="C31" s="29" t="s">
        <v>11</v>
      </c>
      <c r="D31" s="14" t="s">
        <v>301</v>
      </c>
    </row>
    <row r="32" spans="1:4" ht="15.75" customHeight="1" x14ac:dyDescent="0.3">
      <c r="A32" s="29">
        <v>1000258</v>
      </c>
      <c r="B32" s="29" t="s">
        <v>35</v>
      </c>
      <c r="C32" s="29" t="s">
        <v>11</v>
      </c>
      <c r="D32" s="14" t="s">
        <v>301</v>
      </c>
    </row>
    <row r="33" spans="1:4" ht="15.75" customHeight="1" x14ac:dyDescent="0.3">
      <c r="A33" s="29">
        <v>1001264</v>
      </c>
      <c r="B33" s="29" t="s">
        <v>37</v>
      </c>
      <c r="C33" s="29" t="s">
        <v>11</v>
      </c>
      <c r="D33" s="14" t="s">
        <v>301</v>
      </c>
    </row>
    <row r="34" spans="1:4" ht="15.75" customHeight="1" x14ac:dyDescent="0.3">
      <c r="A34" s="29">
        <v>1000319</v>
      </c>
      <c r="B34" s="29" t="s">
        <v>54</v>
      </c>
      <c r="C34" s="29" t="s">
        <v>11</v>
      </c>
      <c r="D34" s="14" t="s">
        <v>301</v>
      </c>
    </row>
    <row r="35" spans="1:4" ht="15.75" customHeight="1" x14ac:dyDescent="0.3">
      <c r="A35" s="29">
        <v>1000340</v>
      </c>
      <c r="B35" s="29" t="s">
        <v>159</v>
      </c>
      <c r="C35" s="29" t="s">
        <v>11</v>
      </c>
      <c r="D35" s="14" t="s">
        <v>301</v>
      </c>
    </row>
    <row r="36" spans="1:4" ht="15.75" customHeight="1" x14ac:dyDescent="0.3">
      <c r="A36" s="29">
        <v>1000348</v>
      </c>
      <c r="B36" s="29" t="s">
        <v>43</v>
      </c>
      <c r="C36" s="29" t="s">
        <v>11</v>
      </c>
      <c r="D36" s="14" t="s">
        <v>301</v>
      </c>
    </row>
    <row r="37" spans="1:4" ht="15.75" customHeight="1" x14ac:dyDescent="0.3">
      <c r="A37" s="29">
        <v>1000363</v>
      </c>
      <c r="B37" s="29" t="s">
        <v>160</v>
      </c>
      <c r="C37" s="29" t="s">
        <v>11</v>
      </c>
      <c r="D37" s="14" t="s">
        <v>301</v>
      </c>
    </row>
    <row r="38" spans="1:4" ht="15.75" customHeight="1" x14ac:dyDescent="0.3">
      <c r="A38" s="29">
        <v>1001736</v>
      </c>
      <c r="B38" s="29" t="s">
        <v>161</v>
      </c>
      <c r="C38" s="29" t="s">
        <v>11</v>
      </c>
      <c r="D38" s="14" t="s">
        <v>301</v>
      </c>
    </row>
    <row r="39" spans="1:4" ht="15.75" customHeight="1" x14ac:dyDescent="0.3">
      <c r="A39" s="29">
        <v>1000391</v>
      </c>
      <c r="B39" s="29" t="s">
        <v>1782</v>
      </c>
      <c r="C39" s="29" t="s">
        <v>11</v>
      </c>
      <c r="D39" s="14" t="s">
        <v>301</v>
      </c>
    </row>
    <row r="40" spans="1:4" ht="15.75" customHeight="1" x14ac:dyDescent="0.3">
      <c r="A40" s="29">
        <v>1000545</v>
      </c>
      <c r="B40" s="29" t="s">
        <v>1783</v>
      </c>
      <c r="C40" s="29" t="s">
        <v>11</v>
      </c>
      <c r="D40" s="14" t="s">
        <v>301</v>
      </c>
    </row>
    <row r="41" spans="1:4" ht="15.75" customHeight="1" x14ac:dyDescent="0.3">
      <c r="A41" s="29">
        <v>1000417</v>
      </c>
      <c r="B41" s="29" t="s">
        <v>163</v>
      </c>
      <c r="C41" s="29" t="s">
        <v>11</v>
      </c>
      <c r="D41" s="14" t="s">
        <v>301</v>
      </c>
    </row>
    <row r="42" spans="1:4" ht="15.75" customHeight="1" x14ac:dyDescent="0.3">
      <c r="A42" s="29">
        <v>1001669</v>
      </c>
      <c r="B42" s="29" t="s">
        <v>164</v>
      </c>
      <c r="C42" s="29" t="s">
        <v>11</v>
      </c>
      <c r="D42" s="14" t="s">
        <v>301</v>
      </c>
    </row>
    <row r="43" spans="1:4" ht="15.75" customHeight="1" x14ac:dyDescent="0.3">
      <c r="A43" s="29">
        <v>1001476</v>
      </c>
      <c r="B43" s="29" t="s">
        <v>165</v>
      </c>
      <c r="C43" s="29" t="s">
        <v>11</v>
      </c>
      <c r="D43" s="14" t="s">
        <v>301</v>
      </c>
    </row>
    <row r="44" spans="1:4" ht="15.75" customHeight="1" x14ac:dyDescent="0.3">
      <c r="A44" s="29">
        <v>1001663</v>
      </c>
      <c r="B44" s="29" t="s">
        <v>129</v>
      </c>
      <c r="C44" s="29" t="s">
        <v>47</v>
      </c>
      <c r="D44" s="14" t="s">
        <v>301</v>
      </c>
    </row>
    <row r="45" spans="1:4" ht="15.75" customHeight="1" x14ac:dyDescent="0.3">
      <c r="A45" s="29">
        <v>1001719</v>
      </c>
      <c r="B45" s="29" t="s">
        <v>539</v>
      </c>
      <c r="C45" s="29" t="s">
        <v>47</v>
      </c>
      <c r="D45" s="14" t="s">
        <v>301</v>
      </c>
    </row>
    <row r="46" spans="1:4" ht="15.75" customHeight="1" x14ac:dyDescent="0.3">
      <c r="A46" s="29">
        <v>1000035</v>
      </c>
      <c r="B46" s="29" t="s">
        <v>381</v>
      </c>
      <c r="C46" s="29" t="s">
        <v>47</v>
      </c>
      <c r="D46" s="14" t="s">
        <v>301</v>
      </c>
    </row>
    <row r="47" spans="1:4" ht="15.75" customHeight="1" x14ac:dyDescent="0.3">
      <c r="A47" s="29">
        <v>1000036</v>
      </c>
      <c r="B47" s="29" t="s">
        <v>15</v>
      </c>
      <c r="C47" s="29" t="s">
        <v>47</v>
      </c>
      <c r="D47" s="14" t="s">
        <v>301</v>
      </c>
    </row>
    <row r="48" spans="1:4" ht="15.75" customHeight="1" x14ac:dyDescent="0.3">
      <c r="A48" s="29">
        <v>1001110</v>
      </c>
      <c r="B48" s="29" t="s">
        <v>386</v>
      </c>
      <c r="C48" s="29" t="s">
        <v>47</v>
      </c>
      <c r="D48" s="14" t="s">
        <v>301</v>
      </c>
    </row>
    <row r="49" spans="1:4" ht="15.75" customHeight="1" x14ac:dyDescent="0.3">
      <c r="A49" s="29">
        <v>1001262</v>
      </c>
      <c r="B49" s="29" t="s">
        <v>388</v>
      </c>
      <c r="C49" s="29" t="s">
        <v>47</v>
      </c>
      <c r="D49" s="14" t="s">
        <v>301</v>
      </c>
    </row>
    <row r="50" spans="1:4" ht="15.75" customHeight="1" x14ac:dyDescent="0.3">
      <c r="A50" s="29">
        <v>1001712</v>
      </c>
      <c r="B50" s="29" t="s">
        <v>133</v>
      </c>
      <c r="C50" s="29" t="s">
        <v>47</v>
      </c>
      <c r="D50" s="14" t="s">
        <v>301</v>
      </c>
    </row>
    <row r="51" spans="1:4" ht="15.75" customHeight="1" x14ac:dyDescent="0.3">
      <c r="A51" s="29">
        <v>1001702</v>
      </c>
      <c r="B51" s="29" t="s">
        <v>20</v>
      </c>
      <c r="C51" s="29" t="s">
        <v>47</v>
      </c>
      <c r="D51" s="14" t="s">
        <v>301</v>
      </c>
    </row>
    <row r="52" spans="1:4" ht="15.75" customHeight="1" x14ac:dyDescent="0.3">
      <c r="A52" s="29">
        <v>1001701</v>
      </c>
      <c r="B52" s="29" t="s">
        <v>21</v>
      </c>
      <c r="C52" s="29" t="s">
        <v>47</v>
      </c>
      <c r="D52" s="14" t="s">
        <v>301</v>
      </c>
    </row>
    <row r="53" spans="1:4" ht="15.75" customHeight="1" x14ac:dyDescent="0.3">
      <c r="A53" s="29">
        <v>1000167</v>
      </c>
      <c r="B53" s="29" t="s">
        <v>412</v>
      </c>
      <c r="C53" s="29" t="s">
        <v>47</v>
      </c>
      <c r="D53" s="14" t="s">
        <v>301</v>
      </c>
    </row>
    <row r="54" spans="1:4" ht="15.75" customHeight="1" x14ac:dyDescent="0.3">
      <c r="A54" s="29">
        <v>1000171</v>
      </c>
      <c r="B54" s="29" t="s">
        <v>62</v>
      </c>
      <c r="C54" s="29" t="s">
        <v>47</v>
      </c>
      <c r="D54" s="14" t="s">
        <v>301</v>
      </c>
    </row>
    <row r="55" spans="1:4" ht="15.75" customHeight="1" x14ac:dyDescent="0.3">
      <c r="A55" s="29">
        <v>1001146</v>
      </c>
      <c r="B55" s="29" t="s">
        <v>27</v>
      </c>
      <c r="C55" s="29" t="s">
        <v>47</v>
      </c>
      <c r="D55" s="14" t="s">
        <v>301</v>
      </c>
    </row>
    <row r="56" spans="1:4" ht="15.75" customHeight="1" x14ac:dyDescent="0.3">
      <c r="A56" s="29">
        <v>1001478</v>
      </c>
      <c r="B56" s="29" t="s">
        <v>716</v>
      </c>
      <c r="C56" s="29" t="s">
        <v>47</v>
      </c>
      <c r="D56" s="14" t="s">
        <v>301</v>
      </c>
    </row>
    <row r="57" spans="1:4" ht="15.75" customHeight="1" x14ac:dyDescent="0.3">
      <c r="A57" s="29">
        <v>1006116</v>
      </c>
      <c r="B57" s="29" t="s">
        <v>30</v>
      </c>
      <c r="C57" s="29" t="s">
        <v>47</v>
      </c>
      <c r="D57" s="14" t="s">
        <v>301</v>
      </c>
    </row>
    <row r="58" spans="1:4" ht="15.75" customHeight="1" x14ac:dyDescent="0.3">
      <c r="A58" s="29">
        <v>1000189</v>
      </c>
      <c r="B58" s="29" t="s">
        <v>63</v>
      </c>
      <c r="C58" s="29" t="s">
        <v>47</v>
      </c>
      <c r="D58" s="14" t="s">
        <v>301</v>
      </c>
    </row>
    <row r="59" spans="1:4" ht="15.75" customHeight="1" x14ac:dyDescent="0.3">
      <c r="A59" s="29">
        <v>1001707</v>
      </c>
      <c r="B59" s="29" t="s">
        <v>143</v>
      </c>
      <c r="C59" s="29" t="s">
        <v>47</v>
      </c>
      <c r="D59" s="14" t="s">
        <v>301</v>
      </c>
    </row>
    <row r="60" spans="1:4" ht="15.75" customHeight="1" x14ac:dyDescent="0.3">
      <c r="A60" s="29">
        <v>1000629</v>
      </c>
      <c r="B60" s="29" t="s">
        <v>1784</v>
      </c>
      <c r="C60" s="29" t="s">
        <v>47</v>
      </c>
      <c r="D60" s="14" t="s">
        <v>301</v>
      </c>
    </row>
    <row r="61" spans="1:4" ht="15.75" customHeight="1" x14ac:dyDescent="0.3">
      <c r="A61" s="29">
        <v>1000481</v>
      </c>
      <c r="B61" s="29" t="s">
        <v>148</v>
      </c>
      <c r="C61" s="29" t="s">
        <v>47</v>
      </c>
      <c r="D61" s="14" t="s">
        <v>301</v>
      </c>
    </row>
    <row r="62" spans="1:4" ht="15.75" customHeight="1" x14ac:dyDescent="0.3">
      <c r="A62" s="29">
        <v>1000241</v>
      </c>
      <c r="B62" s="29" t="s">
        <v>445</v>
      </c>
      <c r="C62" s="29" t="s">
        <v>47</v>
      </c>
      <c r="D62" s="14" t="s">
        <v>301</v>
      </c>
    </row>
    <row r="63" spans="1:4" ht="15.75" customHeight="1" x14ac:dyDescent="0.3">
      <c r="A63" s="29">
        <v>1000256</v>
      </c>
      <c r="B63" s="29" t="s">
        <v>36</v>
      </c>
      <c r="C63" s="29" t="s">
        <v>47</v>
      </c>
      <c r="D63" s="14" t="s">
        <v>301</v>
      </c>
    </row>
    <row r="64" spans="1:4" ht="15.75" customHeight="1" x14ac:dyDescent="0.3">
      <c r="A64" s="29">
        <v>1000284</v>
      </c>
      <c r="B64" s="29" t="s">
        <v>38</v>
      </c>
      <c r="C64" s="29" t="s">
        <v>47</v>
      </c>
      <c r="D64" s="14" t="s">
        <v>301</v>
      </c>
    </row>
    <row r="65" spans="1:4" ht="15.75" customHeight="1" x14ac:dyDescent="0.3">
      <c r="A65" s="29">
        <v>1002270</v>
      </c>
      <c r="B65" s="29" t="s">
        <v>39</v>
      </c>
      <c r="C65" s="29" t="s">
        <v>47</v>
      </c>
      <c r="D65" s="14" t="s">
        <v>301</v>
      </c>
    </row>
    <row r="66" spans="1:4" ht="15.75" customHeight="1" x14ac:dyDescent="0.3">
      <c r="A66" s="29">
        <v>1001668</v>
      </c>
      <c r="B66" s="29" t="s">
        <v>153</v>
      </c>
      <c r="C66" s="29" t="s">
        <v>47</v>
      </c>
      <c r="D66" s="14" t="s">
        <v>301</v>
      </c>
    </row>
    <row r="67" spans="1:4" ht="15.75" customHeight="1" x14ac:dyDescent="0.3">
      <c r="A67" s="29">
        <v>1000300</v>
      </c>
      <c r="B67" s="29" t="s">
        <v>1785</v>
      </c>
      <c r="C67" s="29" t="s">
        <v>47</v>
      </c>
      <c r="D67" s="14" t="s">
        <v>301</v>
      </c>
    </row>
    <row r="68" spans="1:4" ht="15.75" customHeight="1" x14ac:dyDescent="0.3">
      <c r="A68" s="29">
        <v>1001241</v>
      </c>
      <c r="B68" s="29" t="s">
        <v>205</v>
      </c>
      <c r="C68" s="29" t="s">
        <v>47</v>
      </c>
      <c r="D68" s="14" t="s">
        <v>301</v>
      </c>
    </row>
    <row r="69" spans="1:4" ht="15.75" customHeight="1" x14ac:dyDescent="0.3">
      <c r="A69" s="29">
        <v>1001705</v>
      </c>
      <c r="B69" s="29" t="s">
        <v>40</v>
      </c>
      <c r="C69" s="29" t="s">
        <v>47</v>
      </c>
      <c r="D69" s="14" t="s">
        <v>301</v>
      </c>
    </row>
    <row r="70" spans="1:4" ht="15.75" customHeight="1" x14ac:dyDescent="0.3">
      <c r="A70" s="29">
        <v>1000311</v>
      </c>
      <c r="B70" s="29" t="s">
        <v>1786</v>
      </c>
      <c r="C70" s="29" t="s">
        <v>47</v>
      </c>
      <c r="D70" s="14" t="s">
        <v>301</v>
      </c>
    </row>
    <row r="71" spans="1:4" ht="15.75" customHeight="1" x14ac:dyDescent="0.3">
      <c r="A71" s="29">
        <v>1001660</v>
      </c>
      <c r="B71" s="29" t="s">
        <v>41</v>
      </c>
      <c r="C71" s="29" t="s">
        <v>47</v>
      </c>
      <c r="D71" s="14" t="s">
        <v>301</v>
      </c>
    </row>
    <row r="72" spans="1:4" ht="15.75" customHeight="1" x14ac:dyDescent="0.3">
      <c r="A72" s="29">
        <v>1002058</v>
      </c>
      <c r="B72" s="29" t="s">
        <v>158</v>
      </c>
      <c r="C72" s="29" t="s">
        <v>47</v>
      </c>
      <c r="D72" s="14" t="s">
        <v>301</v>
      </c>
    </row>
    <row r="73" spans="1:4" ht="15.75" customHeight="1" x14ac:dyDescent="0.3">
      <c r="A73" s="29">
        <v>1006136</v>
      </c>
      <c r="B73" s="29" t="s">
        <v>1787</v>
      </c>
      <c r="C73" s="29" t="s">
        <v>47</v>
      </c>
      <c r="D73" s="14" t="s">
        <v>301</v>
      </c>
    </row>
    <row r="74" spans="1:4" ht="15.75" customHeight="1" x14ac:dyDescent="0.3">
      <c r="A74" s="29">
        <v>1001197</v>
      </c>
      <c r="B74" s="29" t="s">
        <v>485</v>
      </c>
      <c r="C74" s="29" t="s">
        <v>47</v>
      </c>
      <c r="D74" s="14" t="s">
        <v>301</v>
      </c>
    </row>
    <row r="75" spans="1:4" ht="15.75" customHeight="1" x14ac:dyDescent="0.3">
      <c r="A75" s="29">
        <v>1000470</v>
      </c>
      <c r="B75" s="29" t="s">
        <v>67</v>
      </c>
      <c r="C75" s="29" t="s">
        <v>47</v>
      </c>
      <c r="D75" s="14" t="s">
        <v>301</v>
      </c>
    </row>
    <row r="76" spans="1:4" ht="15.75" customHeight="1" x14ac:dyDescent="0.3">
      <c r="A76" s="29">
        <v>1000478</v>
      </c>
      <c r="B76" s="29" t="s">
        <v>68</v>
      </c>
      <c r="C76" s="29" t="s">
        <v>47</v>
      </c>
      <c r="D76" s="14" t="s">
        <v>301</v>
      </c>
    </row>
    <row r="77" spans="1:4" ht="15.75" customHeight="1" x14ac:dyDescent="0.3">
      <c r="A77" s="29">
        <v>1000031</v>
      </c>
      <c r="B77" s="29" t="s">
        <v>1788</v>
      </c>
      <c r="C77" s="29" t="s">
        <v>57</v>
      </c>
      <c r="D77" s="14" t="s">
        <v>301</v>
      </c>
    </row>
    <row r="78" spans="1:4" ht="15.75" customHeight="1" x14ac:dyDescent="0.3">
      <c r="A78" s="29">
        <v>1001962</v>
      </c>
      <c r="B78" s="29" t="s">
        <v>541</v>
      </c>
      <c r="C78" s="29" t="s">
        <v>57</v>
      </c>
      <c r="D78" s="14" t="s">
        <v>301</v>
      </c>
    </row>
    <row r="79" spans="1:4" ht="15.75" customHeight="1" x14ac:dyDescent="0.3">
      <c r="A79" s="29">
        <v>1001029</v>
      </c>
      <c r="B79" s="29" t="s">
        <v>384</v>
      </c>
      <c r="C79" s="29" t="s">
        <v>57</v>
      </c>
      <c r="D79" s="14" t="s">
        <v>301</v>
      </c>
    </row>
    <row r="80" spans="1:4" ht="15.75" customHeight="1" x14ac:dyDescent="0.3">
      <c r="A80" s="29">
        <v>1000043</v>
      </c>
      <c r="B80" s="29" t="s">
        <v>385</v>
      </c>
      <c r="C80" s="29" t="s">
        <v>57</v>
      </c>
      <c r="D80" s="14" t="s">
        <v>301</v>
      </c>
    </row>
    <row r="81" spans="1:4" ht="15.75" customHeight="1" x14ac:dyDescent="0.3">
      <c r="A81" s="29">
        <v>1000657</v>
      </c>
      <c r="B81" s="29" t="s">
        <v>387</v>
      </c>
      <c r="C81" s="29" t="s">
        <v>57</v>
      </c>
      <c r="D81" s="14" t="s">
        <v>301</v>
      </c>
    </row>
    <row r="82" spans="1:4" ht="15.75" customHeight="1" x14ac:dyDescent="0.3">
      <c r="A82" s="29">
        <v>1000060</v>
      </c>
      <c r="B82" s="29" t="s">
        <v>130</v>
      </c>
      <c r="C82" s="29" t="s">
        <v>57</v>
      </c>
      <c r="D82" s="14" t="s">
        <v>301</v>
      </c>
    </row>
    <row r="83" spans="1:4" ht="15.75" customHeight="1" x14ac:dyDescent="0.3">
      <c r="A83" s="29">
        <v>1000814</v>
      </c>
      <c r="B83" s="29" t="s">
        <v>605</v>
      </c>
      <c r="C83" s="29" t="s">
        <v>57</v>
      </c>
      <c r="D83" s="14" t="s">
        <v>301</v>
      </c>
    </row>
    <row r="84" spans="1:4" ht="15.75" customHeight="1" x14ac:dyDescent="0.3">
      <c r="A84" s="29">
        <v>1001936</v>
      </c>
      <c r="B84" s="29" t="s">
        <v>614</v>
      </c>
      <c r="C84" s="29" t="s">
        <v>57</v>
      </c>
      <c r="D84" s="14" t="s">
        <v>301</v>
      </c>
    </row>
    <row r="85" spans="1:4" ht="15.75" customHeight="1" x14ac:dyDescent="0.3">
      <c r="A85" s="29">
        <v>1002284</v>
      </c>
      <c r="B85" s="29" t="s">
        <v>616</v>
      </c>
      <c r="C85" s="29" t="s">
        <v>57</v>
      </c>
      <c r="D85" s="14" t="s">
        <v>301</v>
      </c>
    </row>
    <row r="86" spans="1:4" ht="15.75" customHeight="1" x14ac:dyDescent="0.3">
      <c r="A86" s="29">
        <v>1001456</v>
      </c>
      <c r="B86" s="29" t="s">
        <v>618</v>
      </c>
      <c r="C86" s="29" t="s">
        <v>57</v>
      </c>
      <c r="D86" s="14" t="s">
        <v>301</v>
      </c>
    </row>
    <row r="87" spans="1:4" ht="15.75" customHeight="1" x14ac:dyDescent="0.3">
      <c r="A87" s="29">
        <v>1002244</v>
      </c>
      <c r="B87" s="29" t="s">
        <v>620</v>
      </c>
      <c r="C87" s="29" t="s">
        <v>57</v>
      </c>
      <c r="D87" s="14" t="s">
        <v>301</v>
      </c>
    </row>
    <row r="88" spans="1:4" ht="15.75" customHeight="1" x14ac:dyDescent="0.3">
      <c r="A88" s="29">
        <v>1001686</v>
      </c>
      <c r="B88" s="29" t="s">
        <v>392</v>
      </c>
      <c r="C88" s="29" t="s">
        <v>57</v>
      </c>
      <c r="D88" s="14" t="s">
        <v>301</v>
      </c>
    </row>
    <row r="89" spans="1:4" ht="15.75" customHeight="1" x14ac:dyDescent="0.3">
      <c r="A89" s="29">
        <v>1001704</v>
      </c>
      <c r="B89" s="29" t="s">
        <v>136</v>
      </c>
      <c r="C89" s="29" t="s">
        <v>57</v>
      </c>
      <c r="D89" s="14" t="s">
        <v>301</v>
      </c>
    </row>
    <row r="90" spans="1:4" ht="15.75" customHeight="1" x14ac:dyDescent="0.3">
      <c r="A90" s="29">
        <v>1000089</v>
      </c>
      <c r="B90" s="29" t="s">
        <v>60</v>
      </c>
      <c r="C90" s="29" t="s">
        <v>57</v>
      </c>
      <c r="D90" s="14" t="s">
        <v>301</v>
      </c>
    </row>
    <row r="91" spans="1:4" ht="15.75" customHeight="1" x14ac:dyDescent="0.3">
      <c r="A91" s="29">
        <v>1001703</v>
      </c>
      <c r="B91" s="29" t="s">
        <v>137</v>
      </c>
      <c r="C91" s="29" t="s">
        <v>57</v>
      </c>
      <c r="D91" s="14" t="s">
        <v>301</v>
      </c>
    </row>
    <row r="92" spans="1:4" ht="15.75" customHeight="1" x14ac:dyDescent="0.3">
      <c r="A92" s="29">
        <v>1000091</v>
      </c>
      <c r="B92" s="29" t="s">
        <v>1789</v>
      </c>
      <c r="C92" s="29" t="s">
        <v>57</v>
      </c>
      <c r="D92" s="14" t="s">
        <v>301</v>
      </c>
    </row>
    <row r="93" spans="1:4" ht="15.75" customHeight="1" x14ac:dyDescent="0.3">
      <c r="A93" s="29">
        <v>1001457</v>
      </c>
      <c r="B93" s="29" t="s">
        <v>641</v>
      </c>
      <c r="C93" s="29" t="s">
        <v>57</v>
      </c>
      <c r="D93" s="14" t="s">
        <v>301</v>
      </c>
    </row>
    <row r="94" spans="1:4" ht="15.75" customHeight="1" x14ac:dyDescent="0.3">
      <c r="A94" s="29">
        <v>1000095</v>
      </c>
      <c r="B94" s="29" t="s">
        <v>643</v>
      </c>
      <c r="C94" s="29" t="s">
        <v>57</v>
      </c>
      <c r="D94" s="14" t="s">
        <v>301</v>
      </c>
    </row>
    <row r="95" spans="1:4" ht="15.75" customHeight="1" x14ac:dyDescent="0.3">
      <c r="A95" s="29">
        <v>1000109</v>
      </c>
      <c r="B95" s="29" t="s">
        <v>1790</v>
      </c>
      <c r="C95" s="29" t="s">
        <v>57</v>
      </c>
      <c r="D95" s="14" t="s">
        <v>301</v>
      </c>
    </row>
    <row r="96" spans="1:4" ht="15.75" customHeight="1" x14ac:dyDescent="0.3">
      <c r="A96" s="29">
        <v>1006819</v>
      </c>
      <c r="B96" s="29" t="s">
        <v>138</v>
      </c>
      <c r="C96" s="29" t="s">
        <v>57</v>
      </c>
      <c r="D96" s="14" t="s">
        <v>301</v>
      </c>
    </row>
    <row r="97" spans="1:4" ht="15.75" customHeight="1" x14ac:dyDescent="0.3">
      <c r="A97" s="29">
        <v>1008890</v>
      </c>
      <c r="B97" s="29" t="s">
        <v>23</v>
      </c>
      <c r="C97" s="29" t="s">
        <v>57</v>
      </c>
      <c r="D97" s="14" t="s">
        <v>301</v>
      </c>
    </row>
    <row r="98" spans="1:4" ht="15.75" customHeight="1" x14ac:dyDescent="0.3">
      <c r="A98" s="29">
        <v>1001599</v>
      </c>
      <c r="B98" s="29" t="s">
        <v>1791</v>
      </c>
      <c r="C98" s="29" t="s">
        <v>57</v>
      </c>
      <c r="D98" s="14" t="s">
        <v>301</v>
      </c>
    </row>
    <row r="99" spans="1:4" ht="15.75" customHeight="1" x14ac:dyDescent="0.3">
      <c r="A99" s="29">
        <v>1000137</v>
      </c>
      <c r="B99" s="29" t="s">
        <v>395</v>
      </c>
      <c r="C99" s="29" t="s">
        <v>57</v>
      </c>
      <c r="D99" s="14" t="s">
        <v>301</v>
      </c>
    </row>
    <row r="100" spans="1:4" ht="15.75" customHeight="1" x14ac:dyDescent="0.3">
      <c r="A100" s="29">
        <v>1000713</v>
      </c>
      <c r="B100" s="29" t="s">
        <v>396</v>
      </c>
      <c r="C100" s="29" t="s">
        <v>57</v>
      </c>
      <c r="D100" s="14" t="s">
        <v>301</v>
      </c>
    </row>
    <row r="101" spans="1:4" ht="15.75" customHeight="1" x14ac:dyDescent="0.3">
      <c r="A101" s="29">
        <v>1000149</v>
      </c>
      <c r="B101" s="29" t="s">
        <v>397</v>
      </c>
      <c r="C101" s="29" t="s">
        <v>57</v>
      </c>
      <c r="D101" s="14" t="s">
        <v>301</v>
      </c>
    </row>
    <row r="102" spans="1:4" ht="15.75" customHeight="1" x14ac:dyDescent="0.3">
      <c r="A102" s="29">
        <v>1000150</v>
      </c>
      <c r="B102" s="29" t="s">
        <v>398</v>
      </c>
      <c r="C102" s="29" t="s">
        <v>57</v>
      </c>
      <c r="D102" s="14" t="s">
        <v>301</v>
      </c>
    </row>
    <row r="103" spans="1:4" ht="15.75" customHeight="1" x14ac:dyDescent="0.3">
      <c r="A103" s="29">
        <v>1000151</v>
      </c>
      <c r="B103" s="29" t="s">
        <v>1792</v>
      </c>
      <c r="C103" s="29" t="s">
        <v>57</v>
      </c>
      <c r="D103" s="14" t="s">
        <v>301</v>
      </c>
    </row>
    <row r="104" spans="1:4" ht="15.75" customHeight="1" x14ac:dyDescent="0.3">
      <c r="A104" s="29">
        <v>1000852</v>
      </c>
      <c r="B104" s="29" t="s">
        <v>1793</v>
      </c>
      <c r="C104" s="29" t="s">
        <v>57</v>
      </c>
      <c r="D104" s="14" t="s">
        <v>301</v>
      </c>
    </row>
    <row r="105" spans="1:4" ht="15.75" customHeight="1" x14ac:dyDescent="0.3">
      <c r="A105" s="29">
        <v>1001939</v>
      </c>
      <c r="B105" s="29" t="s">
        <v>50</v>
      </c>
      <c r="C105" s="29" t="s">
        <v>57</v>
      </c>
      <c r="D105" s="14" t="s">
        <v>301</v>
      </c>
    </row>
    <row r="106" spans="1:4" ht="15.75" customHeight="1" x14ac:dyDescent="0.3">
      <c r="A106" s="29">
        <v>1000834</v>
      </c>
      <c r="B106" s="29" t="s">
        <v>399</v>
      </c>
      <c r="C106" s="29" t="s">
        <v>57</v>
      </c>
      <c r="D106" s="14" t="s">
        <v>301</v>
      </c>
    </row>
    <row r="107" spans="1:4" ht="15.75" customHeight="1" x14ac:dyDescent="0.3">
      <c r="A107" s="29">
        <v>1000161</v>
      </c>
      <c r="B107" s="29" t="s">
        <v>1794</v>
      </c>
      <c r="C107" s="29" t="s">
        <v>57</v>
      </c>
      <c r="D107" s="14" t="s">
        <v>301</v>
      </c>
    </row>
    <row r="108" spans="1:4" ht="15.75" customHeight="1" x14ac:dyDescent="0.3">
      <c r="A108" s="29">
        <v>1000162</v>
      </c>
      <c r="B108" s="29" t="s">
        <v>141</v>
      </c>
      <c r="C108" s="29" t="s">
        <v>57</v>
      </c>
      <c r="D108" s="14" t="s">
        <v>301</v>
      </c>
    </row>
    <row r="109" spans="1:4" ht="15.75" customHeight="1" x14ac:dyDescent="0.3">
      <c r="A109" s="29">
        <v>1000163</v>
      </c>
      <c r="B109" s="29" t="s">
        <v>400</v>
      </c>
      <c r="C109" s="29" t="s">
        <v>57</v>
      </c>
      <c r="D109" s="14" t="s">
        <v>301</v>
      </c>
    </row>
    <row r="110" spans="1:4" ht="15.75" customHeight="1" x14ac:dyDescent="0.3">
      <c r="A110" s="29">
        <v>1000164</v>
      </c>
      <c r="B110" s="29" t="s">
        <v>1795</v>
      </c>
      <c r="C110" s="29" t="s">
        <v>57</v>
      </c>
      <c r="D110" s="14" t="s">
        <v>301</v>
      </c>
    </row>
    <row r="111" spans="1:4" ht="15.75" customHeight="1" x14ac:dyDescent="0.3">
      <c r="A111" s="29">
        <v>1000169</v>
      </c>
      <c r="B111" s="29" t="s">
        <v>415</v>
      </c>
      <c r="C111" s="29" t="s">
        <v>57</v>
      </c>
      <c r="D111" s="14" t="s">
        <v>301</v>
      </c>
    </row>
    <row r="112" spans="1:4" ht="15.75" customHeight="1" x14ac:dyDescent="0.3">
      <c r="A112" s="29">
        <v>1006829</v>
      </c>
      <c r="B112" s="29" t="s">
        <v>416</v>
      </c>
      <c r="C112" s="29" t="s">
        <v>57</v>
      </c>
      <c r="D112" s="14" t="s">
        <v>301</v>
      </c>
    </row>
    <row r="113" spans="1:4" ht="15.75" customHeight="1" x14ac:dyDescent="0.3">
      <c r="A113" s="29">
        <v>1001293</v>
      </c>
      <c r="B113" s="29" t="s">
        <v>420</v>
      </c>
      <c r="C113" s="29" t="s">
        <v>57</v>
      </c>
      <c r="D113" s="14" t="s">
        <v>301</v>
      </c>
    </row>
    <row r="114" spans="1:4" ht="15.75" customHeight="1" x14ac:dyDescent="0.3">
      <c r="A114" s="29">
        <v>1000838</v>
      </c>
      <c r="B114" s="29" t="s">
        <v>411</v>
      </c>
      <c r="C114" s="29" t="s">
        <v>57</v>
      </c>
      <c r="D114" s="14" t="s">
        <v>301</v>
      </c>
    </row>
    <row r="115" spans="1:4" ht="15.75" customHeight="1" x14ac:dyDescent="0.3">
      <c r="A115" s="29">
        <v>1000837</v>
      </c>
      <c r="B115" s="29" t="s">
        <v>413</v>
      </c>
      <c r="C115" s="29" t="s">
        <v>57</v>
      </c>
      <c r="D115" s="14" t="s">
        <v>301</v>
      </c>
    </row>
    <row r="116" spans="1:4" ht="15.75" customHeight="1" x14ac:dyDescent="0.3">
      <c r="A116" s="29">
        <v>1000553</v>
      </c>
      <c r="B116" s="29" t="s">
        <v>414</v>
      </c>
      <c r="C116" s="29" t="s">
        <v>57</v>
      </c>
      <c r="D116" s="14" t="s">
        <v>301</v>
      </c>
    </row>
    <row r="117" spans="1:4" ht="15.75" customHeight="1" x14ac:dyDescent="0.3">
      <c r="A117" s="29">
        <v>1000170</v>
      </c>
      <c r="B117" s="29" t="s">
        <v>61</v>
      </c>
      <c r="C117" s="29" t="s">
        <v>57</v>
      </c>
      <c r="D117" s="14" t="s">
        <v>301</v>
      </c>
    </row>
    <row r="118" spans="1:4" ht="15.75" customHeight="1" x14ac:dyDescent="0.3">
      <c r="A118" s="29">
        <v>1001218</v>
      </c>
      <c r="B118" s="29" t="s">
        <v>423</v>
      </c>
      <c r="C118" s="29" t="s">
        <v>57</v>
      </c>
      <c r="D118" s="14" t="s">
        <v>301</v>
      </c>
    </row>
    <row r="119" spans="1:4" ht="15.75" customHeight="1" x14ac:dyDescent="0.3">
      <c r="A119" s="29">
        <v>1000182</v>
      </c>
      <c r="B119" s="29" t="s">
        <v>431</v>
      </c>
      <c r="C119" s="29" t="s">
        <v>57</v>
      </c>
      <c r="D119" s="14" t="s">
        <v>301</v>
      </c>
    </row>
    <row r="120" spans="1:4" ht="15.75" customHeight="1" x14ac:dyDescent="0.3">
      <c r="A120" s="29">
        <v>1001294</v>
      </c>
      <c r="B120" s="29" t="s">
        <v>142</v>
      </c>
      <c r="C120" s="29" t="s">
        <v>57</v>
      </c>
      <c r="D120" s="14" t="s">
        <v>301</v>
      </c>
    </row>
    <row r="121" spans="1:4" ht="15.75" customHeight="1" x14ac:dyDescent="0.3">
      <c r="A121" s="29">
        <v>1001263</v>
      </c>
      <c r="B121" s="29" t="s">
        <v>719</v>
      </c>
      <c r="C121" s="29" t="s">
        <v>57</v>
      </c>
      <c r="D121" s="14" t="s">
        <v>301</v>
      </c>
    </row>
    <row r="122" spans="1:4" ht="15.75" customHeight="1" x14ac:dyDescent="0.3">
      <c r="A122" s="29">
        <v>1000190</v>
      </c>
      <c r="B122" s="29" t="s">
        <v>433</v>
      </c>
      <c r="C122" s="29" t="s">
        <v>57</v>
      </c>
      <c r="D122" s="14" t="s">
        <v>301</v>
      </c>
    </row>
    <row r="123" spans="1:4" ht="15.75" customHeight="1" x14ac:dyDescent="0.3">
      <c r="A123" s="29">
        <v>1002062</v>
      </c>
      <c r="B123" s="29" t="s">
        <v>1796</v>
      </c>
      <c r="C123" s="29" t="s">
        <v>57</v>
      </c>
      <c r="D123" s="14" t="s">
        <v>301</v>
      </c>
    </row>
    <row r="124" spans="1:4" ht="15.75" customHeight="1" x14ac:dyDescent="0.3">
      <c r="A124" s="29">
        <v>1000866</v>
      </c>
      <c r="B124" s="29" t="s">
        <v>1797</v>
      </c>
      <c r="C124" s="29" t="s">
        <v>57</v>
      </c>
      <c r="D124" s="14" t="s">
        <v>301</v>
      </c>
    </row>
    <row r="125" spans="1:4" ht="15.75" customHeight="1" x14ac:dyDescent="0.3">
      <c r="A125" s="29">
        <v>1000205</v>
      </c>
      <c r="B125" s="29" t="s">
        <v>144</v>
      </c>
      <c r="C125" s="29" t="s">
        <v>57</v>
      </c>
      <c r="D125" s="14" t="s">
        <v>301</v>
      </c>
    </row>
    <row r="126" spans="1:4" ht="15.75" customHeight="1" x14ac:dyDescent="0.3">
      <c r="A126" s="29">
        <v>1000207</v>
      </c>
      <c r="B126" s="29" t="s">
        <v>441</v>
      </c>
      <c r="C126" s="29" t="s">
        <v>57</v>
      </c>
      <c r="D126" s="14" t="s">
        <v>301</v>
      </c>
    </row>
    <row r="127" spans="1:4" ht="15.75" customHeight="1" x14ac:dyDescent="0.3">
      <c r="A127" s="29">
        <v>1001001</v>
      </c>
      <c r="B127" s="29" t="s">
        <v>1798</v>
      </c>
      <c r="C127" s="29" t="s">
        <v>57</v>
      </c>
      <c r="D127" s="14" t="s">
        <v>301</v>
      </c>
    </row>
    <row r="128" spans="1:4" ht="15.75" customHeight="1" x14ac:dyDescent="0.3">
      <c r="A128" s="29">
        <v>1001285</v>
      </c>
      <c r="B128" s="29" t="s">
        <v>1799</v>
      </c>
      <c r="C128" s="29" t="s">
        <v>57</v>
      </c>
      <c r="D128" s="14" t="s">
        <v>301</v>
      </c>
    </row>
    <row r="129" spans="1:4" ht="15.75" customHeight="1" x14ac:dyDescent="0.3">
      <c r="A129" s="29">
        <v>1001662</v>
      </c>
      <c r="B129" s="29" t="s">
        <v>1800</v>
      </c>
      <c r="C129" s="29" t="s">
        <v>57</v>
      </c>
      <c r="D129" s="14" t="s">
        <v>301</v>
      </c>
    </row>
    <row r="130" spans="1:4" ht="15.75" customHeight="1" x14ac:dyDescent="0.3">
      <c r="A130" s="29">
        <v>1000223</v>
      </c>
      <c r="B130" s="29" t="s">
        <v>327</v>
      </c>
      <c r="C130" s="29" t="s">
        <v>57</v>
      </c>
      <c r="D130" s="14" t="s">
        <v>301</v>
      </c>
    </row>
    <row r="131" spans="1:4" ht="15.75" customHeight="1" x14ac:dyDescent="0.3">
      <c r="A131" s="29">
        <v>1000607</v>
      </c>
      <c r="B131" s="29" t="s">
        <v>442</v>
      </c>
      <c r="C131" s="29" t="s">
        <v>57</v>
      </c>
      <c r="D131" s="14" t="s">
        <v>301</v>
      </c>
    </row>
    <row r="132" spans="1:4" ht="15.75" customHeight="1" x14ac:dyDescent="0.3">
      <c r="A132" s="29">
        <v>1000240</v>
      </c>
      <c r="B132" s="29" t="s">
        <v>446</v>
      </c>
      <c r="C132" s="29" t="s">
        <v>57</v>
      </c>
      <c r="D132" s="14" t="s">
        <v>301</v>
      </c>
    </row>
    <row r="133" spans="1:4" ht="15.75" customHeight="1" x14ac:dyDescent="0.3">
      <c r="A133" s="29">
        <v>1001025</v>
      </c>
      <c r="B133" s="29" t="s">
        <v>447</v>
      </c>
      <c r="C133" s="29" t="s">
        <v>57</v>
      </c>
      <c r="D133" s="14" t="s">
        <v>301</v>
      </c>
    </row>
    <row r="134" spans="1:4" ht="15.75" customHeight="1" x14ac:dyDescent="0.3">
      <c r="A134" s="29">
        <v>1001284</v>
      </c>
      <c r="B134" s="29" t="s">
        <v>449</v>
      </c>
      <c r="C134" s="29" t="s">
        <v>57</v>
      </c>
      <c r="D134" s="14" t="s">
        <v>301</v>
      </c>
    </row>
    <row r="135" spans="1:4" ht="15.75" customHeight="1" x14ac:dyDescent="0.3">
      <c r="A135" s="29">
        <v>1002157</v>
      </c>
      <c r="B135" s="29" t="s">
        <v>1088</v>
      </c>
      <c r="C135" s="29" t="s">
        <v>57</v>
      </c>
      <c r="D135" s="14" t="s">
        <v>301</v>
      </c>
    </row>
    <row r="136" spans="1:4" ht="15.75" customHeight="1" x14ac:dyDescent="0.3">
      <c r="A136" s="29">
        <v>1008908</v>
      </c>
      <c r="B136" s="29" t="s">
        <v>1801</v>
      </c>
      <c r="C136" s="29" t="s">
        <v>57</v>
      </c>
      <c r="D136" s="14" t="s">
        <v>301</v>
      </c>
    </row>
    <row r="137" spans="1:4" ht="15.75" customHeight="1" x14ac:dyDescent="0.3">
      <c r="A137" s="29">
        <v>1000255</v>
      </c>
      <c r="B137" s="29" t="s">
        <v>1802</v>
      </c>
      <c r="C137" s="29" t="s">
        <v>57</v>
      </c>
      <c r="D137" s="14" t="s">
        <v>301</v>
      </c>
    </row>
    <row r="138" spans="1:4" ht="15.75" customHeight="1" x14ac:dyDescent="0.3">
      <c r="A138" s="29">
        <v>1000260</v>
      </c>
      <c r="B138" s="29" t="s">
        <v>1803</v>
      </c>
      <c r="C138" s="29" t="s">
        <v>57</v>
      </c>
      <c r="D138" s="14" t="s">
        <v>301</v>
      </c>
    </row>
    <row r="139" spans="1:4" ht="15.75" customHeight="1" x14ac:dyDescent="0.3">
      <c r="A139" s="29">
        <v>1001290</v>
      </c>
      <c r="B139" s="29" t="s">
        <v>1804</v>
      </c>
      <c r="C139" s="29" t="s">
        <v>57</v>
      </c>
      <c r="D139" s="14" t="s">
        <v>301</v>
      </c>
    </row>
    <row r="140" spans="1:4" ht="15.75" customHeight="1" x14ac:dyDescent="0.3">
      <c r="A140" s="29">
        <v>1000262</v>
      </c>
      <c r="B140" s="29" t="s">
        <v>66</v>
      </c>
      <c r="C140" s="29" t="s">
        <v>57</v>
      </c>
      <c r="D140" s="14" t="s">
        <v>301</v>
      </c>
    </row>
    <row r="141" spans="1:4" ht="15.75" customHeight="1" x14ac:dyDescent="0.3">
      <c r="A141" s="29">
        <v>1000271</v>
      </c>
      <c r="B141" s="29" t="s">
        <v>1805</v>
      </c>
      <c r="C141" s="29" t="s">
        <v>57</v>
      </c>
      <c r="D141" s="14" t="s">
        <v>301</v>
      </c>
    </row>
    <row r="142" spans="1:4" ht="15.75" customHeight="1" x14ac:dyDescent="0.3">
      <c r="A142" s="29">
        <v>1002013</v>
      </c>
      <c r="B142" s="29" t="s">
        <v>454</v>
      </c>
      <c r="C142" s="29" t="s">
        <v>57</v>
      </c>
      <c r="D142" s="14" t="s">
        <v>301</v>
      </c>
    </row>
    <row r="143" spans="1:4" ht="15.75" customHeight="1" x14ac:dyDescent="0.3">
      <c r="A143" s="29">
        <v>1001940</v>
      </c>
      <c r="B143" s="29" t="s">
        <v>152</v>
      </c>
      <c r="C143" s="29" t="s">
        <v>57</v>
      </c>
      <c r="D143" s="14" t="s">
        <v>301</v>
      </c>
    </row>
    <row r="144" spans="1:4" ht="15.75" customHeight="1" x14ac:dyDescent="0.3">
      <c r="A144" s="29">
        <v>1001690</v>
      </c>
      <c r="B144" s="29" t="s">
        <v>1806</v>
      </c>
      <c r="C144" s="29" t="s">
        <v>57</v>
      </c>
      <c r="D144" s="14" t="s">
        <v>301</v>
      </c>
    </row>
    <row r="145" spans="1:4" ht="15.75" customHeight="1" x14ac:dyDescent="0.3">
      <c r="A145" s="29">
        <v>1000586</v>
      </c>
      <c r="B145" s="29" t="s">
        <v>456</v>
      </c>
      <c r="C145" s="29" t="s">
        <v>57</v>
      </c>
      <c r="D145" s="14" t="s">
        <v>301</v>
      </c>
    </row>
    <row r="146" spans="1:4" ht="15.75" customHeight="1" x14ac:dyDescent="0.3">
      <c r="A146" s="29">
        <v>1001042</v>
      </c>
      <c r="B146" s="29" t="s">
        <v>523</v>
      </c>
      <c r="C146" s="29" t="s">
        <v>57</v>
      </c>
      <c r="D146" s="14" t="s">
        <v>301</v>
      </c>
    </row>
    <row r="147" spans="1:4" ht="15.75" customHeight="1" x14ac:dyDescent="0.3">
      <c r="A147" s="29">
        <v>1006820</v>
      </c>
      <c r="B147" s="29" t="s">
        <v>1121</v>
      </c>
      <c r="C147" s="29" t="s">
        <v>57</v>
      </c>
      <c r="D147" s="14" t="s">
        <v>301</v>
      </c>
    </row>
    <row r="148" spans="1:4" ht="15.75" customHeight="1" x14ac:dyDescent="0.3">
      <c r="A148" s="29">
        <v>1001723</v>
      </c>
      <c r="B148" s="29" t="s">
        <v>1125</v>
      </c>
      <c r="C148" s="29" t="s">
        <v>57</v>
      </c>
      <c r="D148" s="14" t="s">
        <v>301</v>
      </c>
    </row>
    <row r="149" spans="1:4" ht="15.75" customHeight="1" x14ac:dyDescent="0.3">
      <c r="A149" s="29">
        <v>1000293</v>
      </c>
      <c r="B149" s="29" t="s">
        <v>458</v>
      </c>
      <c r="C149" s="29" t="s">
        <v>57</v>
      </c>
      <c r="D149" s="14" t="s">
        <v>301</v>
      </c>
    </row>
    <row r="150" spans="1:4" ht="15.75" customHeight="1" x14ac:dyDescent="0.3">
      <c r="A150" s="29">
        <v>1002104</v>
      </c>
      <c r="B150" s="29" t="s">
        <v>1807</v>
      </c>
      <c r="C150" s="29" t="s">
        <v>57</v>
      </c>
      <c r="D150" s="14" t="s">
        <v>301</v>
      </c>
    </row>
    <row r="151" spans="1:4" ht="15.75" customHeight="1" x14ac:dyDescent="0.3">
      <c r="A151" s="29">
        <v>1001189</v>
      </c>
      <c r="B151" s="29" t="s">
        <v>459</v>
      </c>
      <c r="C151" s="29" t="s">
        <v>57</v>
      </c>
      <c r="D151" s="14" t="s">
        <v>301</v>
      </c>
    </row>
    <row r="152" spans="1:4" ht="15.75" customHeight="1" x14ac:dyDescent="0.3">
      <c r="A152" s="29">
        <v>1000296</v>
      </c>
      <c r="B152" s="29" t="s">
        <v>460</v>
      </c>
      <c r="C152" s="29" t="s">
        <v>57</v>
      </c>
      <c r="D152" s="14" t="s">
        <v>301</v>
      </c>
    </row>
    <row r="153" spans="1:4" ht="15.75" customHeight="1" x14ac:dyDescent="0.3">
      <c r="A153" s="29">
        <v>1008895</v>
      </c>
      <c r="B153" s="29" t="s">
        <v>1808</v>
      </c>
      <c r="C153" s="29" t="s">
        <v>57</v>
      </c>
      <c r="D153" s="14" t="s">
        <v>301</v>
      </c>
    </row>
    <row r="154" spans="1:4" ht="15.75" customHeight="1" x14ac:dyDescent="0.3">
      <c r="A154" s="29">
        <v>1000636</v>
      </c>
      <c r="B154" s="29" t="s">
        <v>154</v>
      </c>
      <c r="C154" s="29" t="s">
        <v>57</v>
      </c>
      <c r="D154" s="14" t="s">
        <v>301</v>
      </c>
    </row>
    <row r="155" spans="1:4" ht="15.75" customHeight="1" x14ac:dyDescent="0.3">
      <c r="A155" s="29">
        <v>1008885</v>
      </c>
      <c r="B155" s="29" t="s">
        <v>1131</v>
      </c>
      <c r="C155" s="29" t="s">
        <v>57</v>
      </c>
      <c r="D155" s="14" t="s">
        <v>301</v>
      </c>
    </row>
    <row r="156" spans="1:4" ht="15.75" customHeight="1" x14ac:dyDescent="0.3">
      <c r="A156" s="29">
        <v>1002111</v>
      </c>
      <c r="B156" s="29" t="s">
        <v>462</v>
      </c>
      <c r="C156" s="29" t="s">
        <v>57</v>
      </c>
      <c r="D156" s="14" t="s">
        <v>301</v>
      </c>
    </row>
    <row r="157" spans="1:4" ht="15.75" customHeight="1" x14ac:dyDescent="0.3">
      <c r="A157" s="29">
        <v>1000536</v>
      </c>
      <c r="B157" s="29" t="s">
        <v>155</v>
      </c>
      <c r="C157" s="29" t="s">
        <v>57</v>
      </c>
      <c r="D157" s="14" t="s">
        <v>301</v>
      </c>
    </row>
    <row r="158" spans="1:4" ht="15.75" customHeight="1" x14ac:dyDescent="0.3">
      <c r="A158" s="29">
        <v>1001287</v>
      </c>
      <c r="B158" s="29" t="s">
        <v>1809</v>
      </c>
      <c r="C158" s="29" t="s">
        <v>57</v>
      </c>
      <c r="D158" s="14" t="s">
        <v>301</v>
      </c>
    </row>
    <row r="159" spans="1:4" ht="15.75" customHeight="1" x14ac:dyDescent="0.3">
      <c r="A159" s="29">
        <v>1001288</v>
      </c>
      <c r="B159" s="29" t="s">
        <v>1810</v>
      </c>
      <c r="C159" s="29" t="s">
        <v>57</v>
      </c>
      <c r="D159" s="14" t="s">
        <v>301</v>
      </c>
    </row>
    <row r="160" spans="1:4" ht="15.75" customHeight="1" x14ac:dyDescent="0.3">
      <c r="A160" s="29">
        <v>1001552</v>
      </c>
      <c r="B160" s="29" t="s">
        <v>156</v>
      </c>
      <c r="C160" s="29" t="s">
        <v>57</v>
      </c>
      <c r="D160" s="14" t="s">
        <v>301</v>
      </c>
    </row>
    <row r="161" spans="1:4" ht="15.75" customHeight="1" x14ac:dyDescent="0.3">
      <c r="A161" s="29">
        <v>1002258</v>
      </c>
      <c r="B161" s="29" t="s">
        <v>1811</v>
      </c>
      <c r="C161" s="29" t="s">
        <v>57</v>
      </c>
      <c r="D161" s="14" t="s">
        <v>301</v>
      </c>
    </row>
    <row r="162" spans="1:4" ht="15.75" customHeight="1" x14ac:dyDescent="0.3">
      <c r="A162" s="29">
        <v>1001049</v>
      </c>
      <c r="B162" s="29" t="s">
        <v>1140</v>
      </c>
      <c r="C162" s="29" t="s">
        <v>57</v>
      </c>
      <c r="D162" s="14" t="s">
        <v>301</v>
      </c>
    </row>
    <row r="163" spans="1:4" ht="15.75" customHeight="1" x14ac:dyDescent="0.3">
      <c r="A163" s="29">
        <v>1000321</v>
      </c>
      <c r="B163" s="29" t="s">
        <v>1151</v>
      </c>
      <c r="C163" s="29" t="s">
        <v>57</v>
      </c>
      <c r="D163" s="14" t="s">
        <v>301</v>
      </c>
    </row>
    <row r="164" spans="1:4" ht="15.75" customHeight="1" x14ac:dyDescent="0.3">
      <c r="A164" s="29">
        <v>1002022</v>
      </c>
      <c r="B164" s="29" t="s">
        <v>466</v>
      </c>
      <c r="C164" s="29" t="s">
        <v>57</v>
      </c>
      <c r="D164" s="14" t="s">
        <v>301</v>
      </c>
    </row>
    <row r="165" spans="1:4" ht="15.75" customHeight="1" x14ac:dyDescent="0.3">
      <c r="A165" s="29">
        <v>1001040</v>
      </c>
      <c r="B165" s="29" t="s">
        <v>1812</v>
      </c>
      <c r="C165" s="29" t="s">
        <v>57</v>
      </c>
      <c r="D165" s="14" t="s">
        <v>301</v>
      </c>
    </row>
    <row r="166" spans="1:4" ht="15.75" customHeight="1" x14ac:dyDescent="0.3">
      <c r="A166" s="29">
        <v>1000337</v>
      </c>
      <c r="B166" s="29" t="s">
        <v>1813</v>
      </c>
      <c r="C166" s="29" t="s">
        <v>57</v>
      </c>
      <c r="D166" s="14" t="s">
        <v>301</v>
      </c>
    </row>
    <row r="167" spans="1:4" ht="15.75" customHeight="1" x14ac:dyDescent="0.3">
      <c r="A167" s="29">
        <v>1000339</v>
      </c>
      <c r="B167" s="29" t="s">
        <v>1167</v>
      </c>
      <c r="C167" s="29" t="s">
        <v>57</v>
      </c>
      <c r="D167" s="14" t="s">
        <v>301</v>
      </c>
    </row>
    <row r="168" spans="1:4" ht="15.75" customHeight="1" x14ac:dyDescent="0.3">
      <c r="A168" s="29">
        <v>1000343</v>
      </c>
      <c r="B168" s="29" t="s">
        <v>1814</v>
      </c>
      <c r="C168" s="29" t="s">
        <v>57</v>
      </c>
      <c r="D168" s="14" t="s">
        <v>301</v>
      </c>
    </row>
    <row r="169" spans="1:4" ht="15.75" customHeight="1" x14ac:dyDescent="0.3">
      <c r="A169" s="29">
        <v>1001453</v>
      </c>
      <c r="B169" s="29" t="s">
        <v>1177</v>
      </c>
      <c r="C169" s="29" t="s">
        <v>57</v>
      </c>
      <c r="D169" s="14" t="s">
        <v>301</v>
      </c>
    </row>
    <row r="170" spans="1:4" ht="15.75" customHeight="1" x14ac:dyDescent="0.3">
      <c r="A170" s="29">
        <v>1001039</v>
      </c>
      <c r="B170" s="29" t="s">
        <v>471</v>
      </c>
      <c r="C170" s="29" t="s">
        <v>57</v>
      </c>
      <c r="D170" s="14" t="s">
        <v>301</v>
      </c>
    </row>
    <row r="171" spans="1:4" ht="15.75" customHeight="1" x14ac:dyDescent="0.3">
      <c r="A171" s="29">
        <v>1002011</v>
      </c>
      <c r="B171" s="29" t="s">
        <v>1815</v>
      </c>
      <c r="C171" s="29" t="s">
        <v>57</v>
      </c>
      <c r="D171" s="14" t="s">
        <v>301</v>
      </c>
    </row>
    <row r="172" spans="1:4" ht="15.75" customHeight="1" x14ac:dyDescent="0.3">
      <c r="A172" s="29">
        <v>1006120</v>
      </c>
      <c r="B172" s="29" t="s">
        <v>1816</v>
      </c>
      <c r="C172" s="29" t="s">
        <v>57</v>
      </c>
      <c r="D172" s="14" t="s">
        <v>301</v>
      </c>
    </row>
    <row r="173" spans="1:4" ht="15.75" customHeight="1" x14ac:dyDescent="0.3">
      <c r="A173" s="29">
        <v>1000503</v>
      </c>
      <c r="B173" s="29" t="s">
        <v>472</v>
      </c>
      <c r="C173" s="29" t="s">
        <v>57</v>
      </c>
      <c r="D173" s="14" t="s">
        <v>301</v>
      </c>
    </row>
    <row r="174" spans="1:4" ht="15.75" customHeight="1" x14ac:dyDescent="0.3">
      <c r="A174" s="29">
        <v>1008928</v>
      </c>
      <c r="B174" s="29" t="s">
        <v>1817</v>
      </c>
      <c r="C174" s="29" t="s">
        <v>57</v>
      </c>
      <c r="D174" s="14" t="s">
        <v>301</v>
      </c>
    </row>
    <row r="175" spans="1:4" ht="15.75" customHeight="1" x14ac:dyDescent="0.3">
      <c r="A175" s="29">
        <v>1001779</v>
      </c>
      <c r="B175" s="29" t="s">
        <v>1818</v>
      </c>
      <c r="C175" s="29" t="s">
        <v>57</v>
      </c>
      <c r="D175" s="14" t="s">
        <v>301</v>
      </c>
    </row>
    <row r="176" spans="1:4" ht="15.75" customHeight="1" x14ac:dyDescent="0.3">
      <c r="A176" s="29">
        <v>1008887</v>
      </c>
      <c r="B176" s="29" t="s">
        <v>1819</v>
      </c>
      <c r="C176" s="29" t="s">
        <v>57</v>
      </c>
      <c r="D176" s="14" t="s">
        <v>301</v>
      </c>
    </row>
    <row r="177" spans="1:4" ht="15.75" customHeight="1" x14ac:dyDescent="0.3">
      <c r="A177" s="29">
        <v>1001279</v>
      </c>
      <c r="B177" s="29" t="s">
        <v>1820</v>
      </c>
      <c r="C177" s="29" t="s">
        <v>57</v>
      </c>
      <c r="D177" s="14" t="s">
        <v>301</v>
      </c>
    </row>
    <row r="178" spans="1:4" ht="15.75" customHeight="1" x14ac:dyDescent="0.3">
      <c r="A178" s="29">
        <v>1000388</v>
      </c>
      <c r="B178" s="29" t="s">
        <v>162</v>
      </c>
      <c r="C178" s="29" t="s">
        <v>57</v>
      </c>
      <c r="D178" s="14" t="s">
        <v>301</v>
      </c>
    </row>
    <row r="179" spans="1:4" ht="15.75" customHeight="1" x14ac:dyDescent="0.3">
      <c r="A179" s="29">
        <v>1000392</v>
      </c>
      <c r="B179" s="29" t="s">
        <v>1821</v>
      </c>
      <c r="C179" s="29" t="s">
        <v>57</v>
      </c>
      <c r="D179" s="14" t="s">
        <v>301</v>
      </c>
    </row>
    <row r="180" spans="1:4" ht="15.75" customHeight="1" x14ac:dyDescent="0.3">
      <c r="A180" s="29">
        <v>1006818</v>
      </c>
      <c r="B180" s="29" t="s">
        <v>478</v>
      </c>
      <c r="C180" s="29" t="s">
        <v>57</v>
      </c>
      <c r="D180" s="14" t="s">
        <v>301</v>
      </c>
    </row>
    <row r="181" spans="1:4" ht="15.75" customHeight="1" x14ac:dyDescent="0.3">
      <c r="A181" s="29">
        <v>1001450</v>
      </c>
      <c r="B181" s="29" t="s">
        <v>481</v>
      </c>
      <c r="C181" s="29" t="s">
        <v>57</v>
      </c>
      <c r="D181" s="14" t="s">
        <v>301</v>
      </c>
    </row>
    <row r="182" spans="1:4" ht="15.75" customHeight="1" x14ac:dyDescent="0.3">
      <c r="A182" s="29">
        <v>1000797</v>
      </c>
      <c r="B182" s="29" t="s">
        <v>483</v>
      </c>
      <c r="C182" s="29" t="s">
        <v>57</v>
      </c>
      <c r="D182" s="14" t="s">
        <v>301</v>
      </c>
    </row>
    <row r="183" spans="1:4" ht="15.75" customHeight="1" x14ac:dyDescent="0.3">
      <c r="A183" s="29">
        <v>1001758</v>
      </c>
      <c r="B183" s="29" t="s">
        <v>1235</v>
      </c>
      <c r="C183" s="29" t="s">
        <v>57</v>
      </c>
      <c r="D183" s="14" t="s">
        <v>301</v>
      </c>
    </row>
    <row r="184" spans="1:4" ht="15.75" customHeight="1" x14ac:dyDescent="0.3">
      <c r="A184" s="29">
        <v>1001286</v>
      </c>
      <c r="B184" s="29" t="s">
        <v>1822</v>
      </c>
      <c r="C184" s="29" t="s">
        <v>57</v>
      </c>
      <c r="D184" s="14" t="s">
        <v>301</v>
      </c>
    </row>
    <row r="185" spans="1:4" ht="15.75" customHeight="1" x14ac:dyDescent="0.3">
      <c r="A185" s="29">
        <v>1001591</v>
      </c>
      <c r="B185" s="29" t="s">
        <v>1823</v>
      </c>
      <c r="C185" s="29" t="s">
        <v>57</v>
      </c>
      <c r="D185" s="14" t="s">
        <v>301</v>
      </c>
    </row>
    <row r="186" spans="1:4" ht="15.75" customHeight="1" x14ac:dyDescent="0.3">
      <c r="A186" s="29">
        <v>1000999</v>
      </c>
      <c r="B186" s="29" t="s">
        <v>474</v>
      </c>
      <c r="C186" s="29" t="s">
        <v>57</v>
      </c>
      <c r="D186" s="14" t="s">
        <v>301</v>
      </c>
    </row>
    <row r="187" spans="1:4" ht="15.75" customHeight="1" x14ac:dyDescent="0.3">
      <c r="A187" s="29" t="s">
        <v>1249</v>
      </c>
      <c r="B187" s="29" t="s">
        <v>1250</v>
      </c>
      <c r="C187" s="29" t="s">
        <v>57</v>
      </c>
      <c r="D187" s="14" t="s">
        <v>301</v>
      </c>
    </row>
    <row r="188" spans="1:4" ht="15.75" customHeight="1" x14ac:dyDescent="0.3">
      <c r="A188" s="29" t="s">
        <v>1257</v>
      </c>
      <c r="B188" s="29" t="s">
        <v>1258</v>
      </c>
      <c r="C188" s="29" t="s">
        <v>57</v>
      </c>
      <c r="D188" s="14" t="s">
        <v>301</v>
      </c>
    </row>
    <row r="189" spans="1:4" ht="15.75" customHeight="1" x14ac:dyDescent="0.3">
      <c r="A189" s="29" t="s">
        <v>1824</v>
      </c>
      <c r="B189" s="29" t="s">
        <v>1825</v>
      </c>
      <c r="C189" s="29" t="s">
        <v>57</v>
      </c>
      <c r="D189" s="14" t="s">
        <v>301</v>
      </c>
    </row>
    <row r="190" spans="1:4" ht="15.75" customHeight="1" x14ac:dyDescent="0.3">
      <c r="A190" s="29" t="s">
        <v>1826</v>
      </c>
      <c r="B190" s="29" t="s">
        <v>1827</v>
      </c>
      <c r="C190" s="29" t="s">
        <v>57</v>
      </c>
      <c r="D190" s="14" t="s">
        <v>301</v>
      </c>
    </row>
    <row r="191" spans="1:4" ht="15.75" customHeight="1" x14ac:dyDescent="0.3">
      <c r="A191" s="29" t="s">
        <v>1279</v>
      </c>
      <c r="B191" s="29" t="s">
        <v>1280</v>
      </c>
      <c r="C191" s="29" t="s">
        <v>57</v>
      </c>
      <c r="D191" s="14" t="s">
        <v>301</v>
      </c>
    </row>
    <row r="192" spans="1:4" ht="15.75" customHeight="1" x14ac:dyDescent="0.3">
      <c r="A192" s="29" t="s">
        <v>1828</v>
      </c>
      <c r="B192" s="29" t="s">
        <v>1829</v>
      </c>
      <c r="C192" s="29" t="s">
        <v>57</v>
      </c>
      <c r="D192" s="14" t="s">
        <v>301</v>
      </c>
    </row>
    <row r="193" spans="1:4" ht="15.75" customHeight="1" x14ac:dyDescent="0.3">
      <c r="A193" s="29" t="s">
        <v>1321</v>
      </c>
      <c r="B193" s="29" t="s">
        <v>1322</v>
      </c>
      <c r="C193" s="29" t="s">
        <v>57</v>
      </c>
      <c r="D193" s="14" t="s">
        <v>301</v>
      </c>
    </row>
    <row r="194" spans="1:4" ht="15.75" customHeight="1" x14ac:dyDescent="0.3">
      <c r="A194" s="29" t="s">
        <v>1337</v>
      </c>
      <c r="B194" s="29" t="s">
        <v>1338</v>
      </c>
      <c r="C194" s="29" t="s">
        <v>57</v>
      </c>
      <c r="D194" s="14" t="s">
        <v>301</v>
      </c>
    </row>
    <row r="195" spans="1:4" ht="15.75" customHeight="1" x14ac:dyDescent="0.3">
      <c r="A195" s="29" t="s">
        <v>1830</v>
      </c>
      <c r="B195" s="29" t="s">
        <v>1831</v>
      </c>
      <c r="C195" s="29" t="s">
        <v>57</v>
      </c>
      <c r="D195" s="14" t="s">
        <v>301</v>
      </c>
    </row>
    <row r="196" spans="1:4" ht="15.75" customHeight="1" x14ac:dyDescent="0.3">
      <c r="A196" s="29" t="s">
        <v>1832</v>
      </c>
      <c r="B196" s="29" t="s">
        <v>1833</v>
      </c>
      <c r="C196" s="29" t="s">
        <v>57</v>
      </c>
      <c r="D196" s="14" t="s">
        <v>301</v>
      </c>
    </row>
    <row r="197" spans="1:4" ht="15.75" customHeight="1" x14ac:dyDescent="0.3">
      <c r="A197" s="29" t="s">
        <v>1357</v>
      </c>
      <c r="B197" s="29" t="s">
        <v>1358</v>
      </c>
      <c r="C197" s="29" t="s">
        <v>57</v>
      </c>
      <c r="D197" s="14" t="s">
        <v>301</v>
      </c>
    </row>
    <row r="198" spans="1:4" ht="15.75" customHeight="1" x14ac:dyDescent="0.3">
      <c r="A198" s="29" t="s">
        <v>1365</v>
      </c>
      <c r="B198" s="29" t="s">
        <v>1366</v>
      </c>
      <c r="C198" s="29" t="s">
        <v>57</v>
      </c>
      <c r="D198" s="14" t="s">
        <v>301</v>
      </c>
    </row>
    <row r="199" spans="1:4" ht="15.75" customHeight="1" x14ac:dyDescent="0.3">
      <c r="A199" s="29" t="s">
        <v>1375</v>
      </c>
      <c r="B199" s="29" t="s">
        <v>1376</v>
      </c>
      <c r="C199" s="29" t="s">
        <v>57</v>
      </c>
      <c r="D199" s="14" t="s">
        <v>301</v>
      </c>
    </row>
    <row r="200" spans="1:4" ht="15.75" customHeight="1" x14ac:dyDescent="0.3">
      <c r="A200" s="29" t="s">
        <v>1377</v>
      </c>
      <c r="B200" s="29" t="s">
        <v>1378</v>
      </c>
      <c r="C200" s="29" t="s">
        <v>57</v>
      </c>
      <c r="D200" s="14" t="s">
        <v>301</v>
      </c>
    </row>
    <row r="201" spans="1:4" ht="15.75" customHeight="1" x14ac:dyDescent="0.3">
      <c r="A201" s="29" t="s">
        <v>1834</v>
      </c>
      <c r="B201" s="29" t="s">
        <v>1835</v>
      </c>
      <c r="C201" s="29" t="s">
        <v>57</v>
      </c>
      <c r="D201" s="14" t="s">
        <v>301</v>
      </c>
    </row>
    <row r="202" spans="1:4" ht="15.75" customHeight="1" x14ac:dyDescent="0.3">
      <c r="A202" s="29" t="s">
        <v>1381</v>
      </c>
      <c r="B202" s="29" t="s">
        <v>1382</v>
      </c>
      <c r="C202" s="29" t="s">
        <v>57</v>
      </c>
      <c r="D202" s="14" t="s">
        <v>301</v>
      </c>
    </row>
    <row r="203" spans="1:4" ht="15.75" customHeight="1" x14ac:dyDescent="0.3">
      <c r="A203" s="29" t="s">
        <v>1836</v>
      </c>
      <c r="B203" s="29" t="s">
        <v>1837</v>
      </c>
      <c r="C203" s="29" t="s">
        <v>57</v>
      </c>
      <c r="D203" s="14" t="s">
        <v>301</v>
      </c>
    </row>
    <row r="204" spans="1:4" ht="15.75" customHeight="1" x14ac:dyDescent="0.3">
      <c r="A204" s="29" t="s">
        <v>1393</v>
      </c>
      <c r="B204" s="29" t="s">
        <v>1394</v>
      </c>
      <c r="C204" s="29" t="s">
        <v>57</v>
      </c>
      <c r="D204" s="14" t="s">
        <v>301</v>
      </c>
    </row>
    <row r="205" spans="1:4" ht="15.75" customHeight="1" x14ac:dyDescent="0.3">
      <c r="A205" s="29" t="s">
        <v>1413</v>
      </c>
      <c r="B205" s="29" t="s">
        <v>1414</v>
      </c>
      <c r="C205" s="29" t="s">
        <v>57</v>
      </c>
      <c r="D205" s="14" t="s">
        <v>301</v>
      </c>
    </row>
    <row r="206" spans="1:4" ht="15.75" customHeight="1" x14ac:dyDescent="0.3">
      <c r="A206" s="29" t="s">
        <v>1838</v>
      </c>
      <c r="B206" s="29" t="s">
        <v>1839</v>
      </c>
      <c r="C206" s="29" t="s">
        <v>57</v>
      </c>
      <c r="D206" s="14" t="s">
        <v>301</v>
      </c>
    </row>
    <row r="207" spans="1:4" ht="15.75" customHeight="1" x14ac:dyDescent="0.3">
      <c r="A207" s="29" t="s">
        <v>1840</v>
      </c>
      <c r="B207" s="29" t="s">
        <v>1841</v>
      </c>
      <c r="C207" s="29" t="s">
        <v>57</v>
      </c>
      <c r="D207" s="14" t="s">
        <v>301</v>
      </c>
    </row>
    <row r="208" spans="1:4" ht="15.75" customHeight="1" x14ac:dyDescent="0.3">
      <c r="A208" s="29" t="s">
        <v>1842</v>
      </c>
      <c r="B208" s="29" t="s">
        <v>1843</v>
      </c>
      <c r="C208" s="29" t="s">
        <v>57</v>
      </c>
      <c r="D208" s="14" t="s">
        <v>301</v>
      </c>
    </row>
    <row r="209" spans="1:4" ht="15.75" customHeight="1" x14ac:dyDescent="0.3">
      <c r="A209" s="29" t="s">
        <v>1425</v>
      </c>
      <c r="B209" s="29" t="s">
        <v>1426</v>
      </c>
      <c r="C209" s="29" t="s">
        <v>57</v>
      </c>
      <c r="D209" s="14" t="s">
        <v>301</v>
      </c>
    </row>
    <row r="210" spans="1:4" ht="15.75" customHeight="1" x14ac:dyDescent="0.3">
      <c r="A210" s="29" t="s">
        <v>1427</v>
      </c>
      <c r="B210" s="29" t="s">
        <v>1428</v>
      </c>
      <c r="C210" s="29" t="s">
        <v>57</v>
      </c>
      <c r="D210" s="14" t="s">
        <v>301</v>
      </c>
    </row>
    <row r="211" spans="1:4" ht="15.75" customHeight="1" x14ac:dyDescent="0.3">
      <c r="A211" s="29" t="s">
        <v>1844</v>
      </c>
      <c r="B211" s="29" t="s">
        <v>1845</v>
      </c>
      <c r="C211" s="29" t="s">
        <v>57</v>
      </c>
      <c r="D211" s="14" t="s">
        <v>301</v>
      </c>
    </row>
    <row r="212" spans="1:4" ht="15.75" customHeight="1" x14ac:dyDescent="0.3">
      <c r="A212" s="29">
        <v>1000423</v>
      </c>
      <c r="B212" s="29" t="s">
        <v>1846</v>
      </c>
      <c r="C212" s="29" t="s">
        <v>57</v>
      </c>
      <c r="D212" s="14" t="s">
        <v>301</v>
      </c>
    </row>
    <row r="213" spans="1:4" ht="15.75" customHeight="1" x14ac:dyDescent="0.3">
      <c r="A213" s="29">
        <v>1000534</v>
      </c>
      <c r="B213" s="29" t="s">
        <v>484</v>
      </c>
      <c r="C213" s="29" t="s">
        <v>57</v>
      </c>
      <c r="D213" s="14" t="s">
        <v>301</v>
      </c>
    </row>
    <row r="214" spans="1:4" ht="15.75" customHeight="1" x14ac:dyDescent="0.3">
      <c r="A214" s="29">
        <v>1008883</v>
      </c>
      <c r="B214" s="29" t="s">
        <v>1847</v>
      </c>
      <c r="C214" s="29" t="s">
        <v>57</v>
      </c>
      <c r="D214" s="14" t="s">
        <v>301</v>
      </c>
    </row>
    <row r="215" spans="1:4" ht="15.75" customHeight="1" x14ac:dyDescent="0.3">
      <c r="A215" s="29">
        <v>1002107</v>
      </c>
      <c r="B215" s="29" t="s">
        <v>486</v>
      </c>
      <c r="C215" s="29" t="s">
        <v>57</v>
      </c>
      <c r="D215" s="14" t="s">
        <v>301</v>
      </c>
    </row>
    <row r="216" spans="1:4" ht="15.75" customHeight="1" x14ac:dyDescent="0.3">
      <c r="A216" s="29">
        <v>1006875</v>
      </c>
      <c r="B216" s="29" t="s">
        <v>488</v>
      </c>
      <c r="C216" s="29" t="s">
        <v>57</v>
      </c>
      <c r="D216" s="14" t="s">
        <v>301</v>
      </c>
    </row>
    <row r="217" spans="1:4" ht="15.75" customHeight="1" x14ac:dyDescent="0.3">
      <c r="A217" s="29">
        <v>1001200</v>
      </c>
      <c r="B217" s="29" t="s">
        <v>489</v>
      </c>
      <c r="C217" s="29" t="s">
        <v>57</v>
      </c>
      <c r="D217" s="14" t="s">
        <v>301</v>
      </c>
    </row>
    <row r="218" spans="1:4" ht="15.75" customHeight="1" x14ac:dyDescent="0.3">
      <c r="A218" s="29">
        <v>1001610</v>
      </c>
      <c r="B218" s="29" t="s">
        <v>1848</v>
      </c>
      <c r="C218" s="29" t="s">
        <v>57</v>
      </c>
      <c r="D218" s="14" t="s">
        <v>301</v>
      </c>
    </row>
    <row r="219" spans="1:4" ht="15.75" customHeight="1" x14ac:dyDescent="0.3">
      <c r="A219" s="29">
        <v>1001222</v>
      </c>
      <c r="B219" s="29" t="s">
        <v>491</v>
      </c>
      <c r="C219" s="29" t="s">
        <v>57</v>
      </c>
      <c r="D219" s="14" t="s">
        <v>301</v>
      </c>
    </row>
    <row r="220" spans="1:4" ht="15.75" customHeight="1" x14ac:dyDescent="0.3">
      <c r="A220" s="29">
        <v>1000578</v>
      </c>
      <c r="B220" s="29" t="s">
        <v>1460</v>
      </c>
      <c r="C220" s="29" t="s">
        <v>57</v>
      </c>
      <c r="D220" s="14" t="s">
        <v>301</v>
      </c>
    </row>
    <row r="221" spans="1:4" ht="15.75" customHeight="1" x14ac:dyDescent="0.3">
      <c r="A221" s="29">
        <v>1002281</v>
      </c>
      <c r="B221" s="29" t="s">
        <v>1849</v>
      </c>
      <c r="C221" s="29" t="s">
        <v>57</v>
      </c>
      <c r="D221" s="14" t="s">
        <v>301</v>
      </c>
    </row>
    <row r="222" spans="1:4" ht="15.75" customHeight="1" x14ac:dyDescent="0.3">
      <c r="A222" s="29">
        <v>1000446</v>
      </c>
      <c r="B222" s="29" t="s">
        <v>1762</v>
      </c>
      <c r="C222" s="29" t="s">
        <v>57</v>
      </c>
      <c r="D222" s="14" t="s">
        <v>301</v>
      </c>
    </row>
    <row r="223" spans="1:4" ht="15.75" customHeight="1" x14ac:dyDescent="0.3">
      <c r="A223" s="29">
        <v>1000455</v>
      </c>
      <c r="B223" s="29" t="s">
        <v>493</v>
      </c>
      <c r="C223" s="29" t="s">
        <v>57</v>
      </c>
      <c r="D223" s="14" t="s">
        <v>301</v>
      </c>
    </row>
    <row r="224" spans="1:4" ht="15.75" customHeight="1" x14ac:dyDescent="0.3">
      <c r="A224" s="29">
        <v>1001266</v>
      </c>
      <c r="B224" s="29" t="s">
        <v>495</v>
      </c>
      <c r="C224" s="29" t="s">
        <v>57</v>
      </c>
      <c r="D224" s="14" t="s">
        <v>301</v>
      </c>
    </row>
    <row r="225" spans="1:4" ht="15.75" customHeight="1" x14ac:dyDescent="0.3">
      <c r="A225" s="29">
        <v>1000457</v>
      </c>
      <c r="B225" s="29" t="s">
        <v>1850</v>
      </c>
      <c r="C225" s="29" t="s">
        <v>57</v>
      </c>
      <c r="D225" s="14" t="s">
        <v>301</v>
      </c>
    </row>
    <row r="226" spans="1:4" ht="15.75" customHeight="1" x14ac:dyDescent="0.3">
      <c r="A226" s="29">
        <v>1002108</v>
      </c>
      <c r="B226" s="29" t="s">
        <v>55</v>
      </c>
      <c r="C226" s="29" t="s">
        <v>57</v>
      </c>
      <c r="D226" s="14" t="s">
        <v>301</v>
      </c>
    </row>
    <row r="227" spans="1:4" ht="15.75" customHeight="1" x14ac:dyDescent="0.3">
      <c r="A227" s="29">
        <v>1001041</v>
      </c>
      <c r="B227" s="29" t="s">
        <v>1771</v>
      </c>
      <c r="C227" s="29" t="s">
        <v>57</v>
      </c>
      <c r="D227" s="14" t="s">
        <v>301</v>
      </c>
    </row>
    <row r="228" spans="1:4" ht="15.75" customHeight="1" x14ac:dyDescent="0.3">
      <c r="A228" s="29">
        <v>1000754</v>
      </c>
      <c r="B228" s="29" t="s">
        <v>1773</v>
      </c>
      <c r="C228" s="29" t="s">
        <v>57</v>
      </c>
      <c r="D228" s="14" t="s">
        <v>301</v>
      </c>
    </row>
    <row r="229" spans="1:4" ht="15.75" customHeight="1" x14ac:dyDescent="0.3">
      <c r="A229" s="29">
        <v>1001461</v>
      </c>
      <c r="B229" s="29" t="s">
        <v>166</v>
      </c>
      <c r="C229" s="29" t="s">
        <v>57</v>
      </c>
      <c r="D229" s="14" t="s">
        <v>301</v>
      </c>
    </row>
    <row r="230" spans="1:4" ht="15.75" customHeight="1" x14ac:dyDescent="0.3">
      <c r="A230" s="29">
        <v>22025672</v>
      </c>
      <c r="B230" s="29" t="s">
        <v>1851</v>
      </c>
      <c r="C230" s="29"/>
      <c r="D230" s="14" t="s">
        <v>301</v>
      </c>
    </row>
    <row r="231" spans="1:4" ht="15.75" customHeight="1" x14ac:dyDescent="0.3">
      <c r="A231" s="29">
        <v>253471</v>
      </c>
      <c r="B231" s="29" t="s">
        <v>1852</v>
      </c>
      <c r="C231" s="29"/>
      <c r="D231" s="14" t="s">
        <v>301</v>
      </c>
    </row>
    <row r="232" spans="1:4" ht="15.75" customHeight="1" x14ac:dyDescent="0.3">
      <c r="A232" s="29">
        <v>22025670</v>
      </c>
      <c r="B232" s="29" t="s">
        <v>1853</v>
      </c>
      <c r="C232" s="29"/>
      <c r="D232" s="14" t="s">
        <v>301</v>
      </c>
    </row>
    <row r="233" spans="1:4" ht="15.75" customHeight="1" x14ac:dyDescent="0.3">
      <c r="A233" s="29">
        <v>252264</v>
      </c>
      <c r="B233" s="29" t="s">
        <v>1854</v>
      </c>
      <c r="C233" s="29"/>
      <c r="D233" s="14" t="s">
        <v>301</v>
      </c>
    </row>
    <row r="234" spans="1:4" ht="15.75" customHeight="1" x14ac:dyDescent="0.3">
      <c r="A234" s="29">
        <v>30034376</v>
      </c>
      <c r="B234" s="29" t="s">
        <v>1855</v>
      </c>
      <c r="C234" s="29"/>
      <c r="D234" s="14" t="s">
        <v>301</v>
      </c>
    </row>
    <row r="235" spans="1:4" ht="15.75" customHeight="1" x14ac:dyDescent="0.3">
      <c r="A235" s="29">
        <v>22025242</v>
      </c>
      <c r="B235" s="29" t="s">
        <v>1856</v>
      </c>
      <c r="C235" s="29"/>
      <c r="D235" s="14" t="s">
        <v>301</v>
      </c>
    </row>
    <row r="236" spans="1:4" ht="15.75" customHeight="1" x14ac:dyDescent="0.3">
      <c r="A236" s="29">
        <v>254015</v>
      </c>
      <c r="B236" s="29" t="s">
        <v>1857</v>
      </c>
      <c r="C236" s="29"/>
      <c r="D236" s="14" t="s">
        <v>301</v>
      </c>
    </row>
    <row r="237" spans="1:4" ht="15.75" customHeight="1" x14ac:dyDescent="0.3">
      <c r="A237" s="29">
        <v>22055828</v>
      </c>
      <c r="B237" s="29" t="s">
        <v>1858</v>
      </c>
      <c r="C237" s="29"/>
      <c r="D237" s="14" t="s">
        <v>301</v>
      </c>
    </row>
    <row r="238" spans="1:4" ht="15.75" customHeight="1" x14ac:dyDescent="0.3">
      <c r="A238" s="29">
        <v>22056387</v>
      </c>
      <c r="B238" s="29" t="s">
        <v>1859</v>
      </c>
      <c r="C238" s="29"/>
      <c r="D238" s="14" t="s">
        <v>301</v>
      </c>
    </row>
    <row r="239" spans="1:4" ht="15.75" customHeight="1" x14ac:dyDescent="0.3">
      <c r="A239" s="29">
        <v>30059139</v>
      </c>
      <c r="B239" s="29" t="s">
        <v>1860</v>
      </c>
      <c r="C239" s="29"/>
      <c r="D239" s="14" t="s">
        <v>301</v>
      </c>
    </row>
    <row r="240" spans="1:4" ht="15.75" customHeight="1" x14ac:dyDescent="0.3">
      <c r="A240" s="29">
        <v>22023400</v>
      </c>
      <c r="B240" s="29" t="s">
        <v>1861</v>
      </c>
      <c r="C240" s="29"/>
      <c r="D240" s="14" t="s">
        <v>301</v>
      </c>
    </row>
    <row r="241" spans="1:4" ht="15.75" customHeight="1" x14ac:dyDescent="0.3">
      <c r="A241" s="29">
        <v>252265</v>
      </c>
      <c r="B241" s="29" t="s">
        <v>1862</v>
      </c>
      <c r="C241" s="29"/>
      <c r="D241" s="14" t="s">
        <v>301</v>
      </c>
    </row>
    <row r="242" spans="1:4" ht="15.75" customHeight="1" x14ac:dyDescent="0.3">
      <c r="A242" s="29">
        <v>251838</v>
      </c>
      <c r="B242" s="29" t="s">
        <v>1863</v>
      </c>
      <c r="C242" s="29"/>
      <c r="D242" s="14" t="s">
        <v>301</v>
      </c>
    </row>
    <row r="243" spans="1:4" ht="15.75" customHeight="1" x14ac:dyDescent="0.3">
      <c r="A243" s="29">
        <v>251837</v>
      </c>
      <c r="B243" s="29" t="s">
        <v>1864</v>
      </c>
      <c r="C243" s="29"/>
      <c r="D243" s="14" t="s">
        <v>301</v>
      </c>
    </row>
    <row r="244" spans="1:4" ht="15.75" customHeight="1" x14ac:dyDescent="0.3">
      <c r="A244" s="29">
        <v>252815</v>
      </c>
      <c r="B244" s="29" t="s">
        <v>1865</v>
      </c>
      <c r="C244" s="29"/>
      <c r="D244" s="14" t="s">
        <v>301</v>
      </c>
    </row>
    <row r="245" spans="1:4" ht="15.75" customHeight="1" x14ac:dyDescent="0.3">
      <c r="A245" s="29">
        <v>1000013</v>
      </c>
      <c r="B245" s="29" t="s">
        <v>1866</v>
      </c>
      <c r="C245" s="29"/>
      <c r="D245" s="14" t="s">
        <v>301</v>
      </c>
    </row>
    <row r="246" spans="1:4" ht="15.75" customHeight="1" x14ac:dyDescent="0.3">
      <c r="A246" s="29">
        <v>30033133</v>
      </c>
      <c r="B246" s="29" t="s">
        <v>1867</v>
      </c>
      <c r="C246" s="29"/>
      <c r="D246" s="14" t="s">
        <v>301</v>
      </c>
    </row>
    <row r="247" spans="1:4" ht="15.75" customHeight="1" x14ac:dyDescent="0.3">
      <c r="A247" s="29" t="s">
        <v>1868</v>
      </c>
      <c r="B247" s="29" t="s">
        <v>1869</v>
      </c>
      <c r="C247" s="29"/>
      <c r="D247" s="14" t="s">
        <v>301</v>
      </c>
    </row>
    <row r="248" spans="1:4" ht="15.75" customHeight="1" x14ac:dyDescent="0.3">
      <c r="A248" s="29">
        <v>252154</v>
      </c>
      <c r="B248" s="29" t="s">
        <v>1870</v>
      </c>
      <c r="C248" s="29"/>
      <c r="D248" s="14" t="s">
        <v>301</v>
      </c>
    </row>
    <row r="249" spans="1:4" ht="15.75" customHeight="1" x14ac:dyDescent="0.3">
      <c r="A249" s="29" t="s">
        <v>374</v>
      </c>
      <c r="B249" s="29" t="s">
        <v>375</v>
      </c>
      <c r="C249" s="29"/>
      <c r="D249" s="14" t="s">
        <v>301</v>
      </c>
    </row>
    <row r="250" spans="1:4" ht="15.75" customHeight="1" x14ac:dyDescent="0.3">
      <c r="A250" s="29">
        <v>252268</v>
      </c>
      <c r="B250" s="29" t="s">
        <v>1871</v>
      </c>
      <c r="C250" s="29"/>
      <c r="D250" s="14" t="s">
        <v>301</v>
      </c>
    </row>
    <row r="251" spans="1:4" ht="15.75" customHeight="1" x14ac:dyDescent="0.3">
      <c r="A251" s="29">
        <v>1000021</v>
      </c>
      <c r="B251" s="29" t="s">
        <v>376</v>
      </c>
      <c r="C251" s="29"/>
      <c r="D251" s="14" t="s">
        <v>301</v>
      </c>
    </row>
    <row r="252" spans="1:4" ht="15.75" customHeight="1" x14ac:dyDescent="0.3">
      <c r="A252" s="29">
        <v>253995</v>
      </c>
      <c r="B252" s="29" t="s">
        <v>1872</v>
      </c>
      <c r="C252" s="29"/>
      <c r="D252" s="14" t="s">
        <v>301</v>
      </c>
    </row>
    <row r="253" spans="1:4" ht="15.75" customHeight="1" x14ac:dyDescent="0.3">
      <c r="A253" s="29">
        <v>252260</v>
      </c>
      <c r="B253" s="29" t="s">
        <v>1873</v>
      </c>
      <c r="C253" s="29"/>
      <c r="D253" s="14" t="s">
        <v>301</v>
      </c>
    </row>
    <row r="254" spans="1:4" ht="15.75" customHeight="1" x14ac:dyDescent="0.3">
      <c r="A254" s="29">
        <v>253994</v>
      </c>
      <c r="B254" s="29" t="s">
        <v>1874</v>
      </c>
      <c r="C254" s="29"/>
      <c r="D254" s="14" t="s">
        <v>301</v>
      </c>
    </row>
    <row r="255" spans="1:4" ht="15.75" customHeight="1" x14ac:dyDescent="0.3">
      <c r="A255" s="29">
        <v>30059450</v>
      </c>
      <c r="B255" s="29" t="s">
        <v>1875</v>
      </c>
      <c r="C255" s="29"/>
      <c r="D255" s="14" t="s">
        <v>301</v>
      </c>
    </row>
    <row r="256" spans="1:4" ht="15.75" customHeight="1" x14ac:dyDescent="0.3">
      <c r="A256" s="29">
        <v>30033993</v>
      </c>
      <c r="B256" s="29" t="s">
        <v>1876</v>
      </c>
      <c r="C256" s="29"/>
      <c r="D256" s="14" t="s">
        <v>301</v>
      </c>
    </row>
    <row r="257" spans="1:4" ht="15.75" customHeight="1" x14ac:dyDescent="0.3">
      <c r="A257" s="29">
        <v>30033990</v>
      </c>
      <c r="B257" s="29" t="s">
        <v>1877</v>
      </c>
      <c r="C257" s="29"/>
      <c r="D257" s="14" t="s">
        <v>301</v>
      </c>
    </row>
    <row r="258" spans="1:4" ht="15.75" customHeight="1" x14ac:dyDescent="0.3">
      <c r="A258" s="29">
        <v>30033992</v>
      </c>
      <c r="B258" s="29" t="s">
        <v>1878</v>
      </c>
      <c r="C258" s="29"/>
      <c r="D258" s="14" t="s">
        <v>301</v>
      </c>
    </row>
    <row r="259" spans="1:4" ht="15.75" customHeight="1" x14ac:dyDescent="0.3">
      <c r="A259" s="29">
        <v>1002304</v>
      </c>
      <c r="B259" s="29" t="s">
        <v>1879</v>
      </c>
      <c r="C259" s="29"/>
      <c r="D259" s="14" t="s">
        <v>301</v>
      </c>
    </row>
    <row r="260" spans="1:4" ht="15.75" customHeight="1" x14ac:dyDescent="0.3">
      <c r="A260" s="29">
        <v>1815</v>
      </c>
      <c r="B260" s="29" t="s">
        <v>1880</v>
      </c>
      <c r="C260" s="29"/>
      <c r="D260" s="14" t="s">
        <v>301</v>
      </c>
    </row>
    <row r="261" spans="1:4" ht="15.75" customHeight="1" x14ac:dyDescent="0.3">
      <c r="A261" s="29">
        <v>1006884</v>
      </c>
      <c r="B261" s="29" t="s">
        <v>377</v>
      </c>
      <c r="C261" s="29"/>
      <c r="D261" s="14" t="s">
        <v>301</v>
      </c>
    </row>
    <row r="262" spans="1:4" ht="15.75" customHeight="1" x14ac:dyDescent="0.3">
      <c r="A262" s="29">
        <v>1006882</v>
      </c>
      <c r="B262" s="29" t="s">
        <v>378</v>
      </c>
      <c r="C262" s="29"/>
      <c r="D262" s="14" t="s">
        <v>301</v>
      </c>
    </row>
    <row r="263" spans="1:4" ht="15.75" customHeight="1" x14ac:dyDescent="0.3">
      <c r="A263" s="29">
        <v>1006885</v>
      </c>
      <c r="B263" s="29" t="s">
        <v>379</v>
      </c>
      <c r="C263" s="29"/>
      <c r="D263" s="14" t="s">
        <v>301</v>
      </c>
    </row>
    <row r="264" spans="1:4" ht="15.75" customHeight="1" x14ac:dyDescent="0.3">
      <c r="A264" s="29">
        <v>1006883</v>
      </c>
      <c r="B264" s="29" t="s">
        <v>380</v>
      </c>
      <c r="C264" s="29"/>
      <c r="D264" s="14" t="s">
        <v>301</v>
      </c>
    </row>
    <row r="265" spans="1:4" ht="15.75" customHeight="1" x14ac:dyDescent="0.3">
      <c r="A265" s="29">
        <v>1001268</v>
      </c>
      <c r="B265" s="29" t="s">
        <v>537</v>
      </c>
      <c r="C265" s="29"/>
      <c r="D265" s="14" t="s">
        <v>301</v>
      </c>
    </row>
    <row r="266" spans="1:4" ht="15.75" customHeight="1" x14ac:dyDescent="0.3">
      <c r="A266" s="29">
        <v>1008878</v>
      </c>
      <c r="B266" s="29" t="s">
        <v>548</v>
      </c>
      <c r="C266" s="29"/>
      <c r="D266" s="14" t="s">
        <v>301</v>
      </c>
    </row>
    <row r="267" spans="1:4" ht="15.75" customHeight="1" x14ac:dyDescent="0.3">
      <c r="A267" s="29">
        <v>9000010</v>
      </c>
      <c r="B267" s="29" t="s">
        <v>46</v>
      </c>
      <c r="C267" s="29"/>
      <c r="D267" s="14" t="s">
        <v>301</v>
      </c>
    </row>
    <row r="268" spans="1:4" ht="15.75" customHeight="1" x14ac:dyDescent="0.3">
      <c r="A268" s="29">
        <v>1001410</v>
      </c>
      <c r="B268" s="29" t="s">
        <v>552</v>
      </c>
      <c r="C268" s="29"/>
      <c r="D268" s="14" t="s">
        <v>301</v>
      </c>
    </row>
    <row r="269" spans="1:4" ht="15.75" customHeight="1" x14ac:dyDescent="0.3">
      <c r="A269" s="29">
        <v>1001411</v>
      </c>
      <c r="B269" s="29" t="s">
        <v>554</v>
      </c>
      <c r="C269" s="29"/>
      <c r="D269" s="14" t="s">
        <v>301</v>
      </c>
    </row>
    <row r="270" spans="1:4" ht="15.75" customHeight="1" x14ac:dyDescent="0.3">
      <c r="A270" s="29">
        <v>1001260</v>
      </c>
      <c r="B270" s="29" t="s">
        <v>382</v>
      </c>
      <c r="C270" s="29"/>
      <c r="D270" s="14" t="s">
        <v>301</v>
      </c>
    </row>
    <row r="271" spans="1:4" ht="15.75" customHeight="1" x14ac:dyDescent="0.3">
      <c r="A271" s="29">
        <v>1001588</v>
      </c>
      <c r="B271" s="29" t="s">
        <v>557</v>
      </c>
      <c r="C271" s="29"/>
      <c r="D271" s="14" t="s">
        <v>301</v>
      </c>
    </row>
    <row r="272" spans="1:4" ht="15.75" customHeight="1" x14ac:dyDescent="0.3">
      <c r="A272" s="29">
        <v>252287</v>
      </c>
      <c r="B272" s="29" t="s">
        <v>1881</v>
      </c>
      <c r="C272" s="29"/>
      <c r="D272" s="14" t="s">
        <v>301</v>
      </c>
    </row>
    <row r="273" spans="1:4" ht="15.75" customHeight="1" x14ac:dyDescent="0.3">
      <c r="A273" s="29">
        <v>1001843</v>
      </c>
      <c r="B273" s="29" t="s">
        <v>1882</v>
      </c>
      <c r="C273" s="29"/>
      <c r="D273" s="14" t="s">
        <v>301</v>
      </c>
    </row>
    <row r="274" spans="1:4" ht="15.75" customHeight="1" x14ac:dyDescent="0.25">
      <c r="A274" s="14">
        <v>1006135</v>
      </c>
      <c r="B274" s="14" t="s">
        <v>1883</v>
      </c>
      <c r="D274" s="14" t="s">
        <v>301</v>
      </c>
    </row>
    <row r="275" spans="1:4" ht="15.75" customHeight="1" x14ac:dyDescent="0.25">
      <c r="A275" s="14" t="s">
        <v>1884</v>
      </c>
      <c r="B275" s="14" t="s">
        <v>1885</v>
      </c>
      <c r="D275" s="14" t="s">
        <v>301</v>
      </c>
    </row>
    <row r="276" spans="1:4" ht="15.75" customHeight="1" x14ac:dyDescent="0.25">
      <c r="A276" s="14">
        <v>30034366</v>
      </c>
      <c r="B276" s="14" t="s">
        <v>1886</v>
      </c>
      <c r="D276" s="14" t="s">
        <v>301</v>
      </c>
    </row>
    <row r="277" spans="1:4" ht="15.75" customHeight="1" x14ac:dyDescent="0.25">
      <c r="A277" s="14">
        <v>30033991</v>
      </c>
      <c r="B277" s="14" t="s">
        <v>1887</v>
      </c>
      <c r="D277" s="14" t="s">
        <v>301</v>
      </c>
    </row>
    <row r="278" spans="1:4" ht="15.75" customHeight="1" x14ac:dyDescent="0.25">
      <c r="A278" s="14">
        <v>30034261</v>
      </c>
      <c r="B278" s="14" t="s">
        <v>1888</v>
      </c>
      <c r="D278" s="14" t="s">
        <v>301</v>
      </c>
    </row>
    <row r="279" spans="1:4" ht="15.75" customHeight="1" x14ac:dyDescent="0.25">
      <c r="A279" s="14">
        <v>252274</v>
      </c>
      <c r="B279" s="14" t="s">
        <v>1889</v>
      </c>
      <c r="D279" s="14" t="s">
        <v>301</v>
      </c>
    </row>
    <row r="280" spans="1:4" ht="15.75" customHeight="1" x14ac:dyDescent="0.25">
      <c r="A280" s="14">
        <v>254423</v>
      </c>
      <c r="B280" s="14" t="s">
        <v>1890</v>
      </c>
      <c r="D280" s="14" t="s">
        <v>301</v>
      </c>
    </row>
    <row r="281" spans="1:4" ht="15.75" customHeight="1" x14ac:dyDescent="0.25">
      <c r="A281" s="14">
        <v>253997</v>
      </c>
      <c r="B281" s="14" t="s">
        <v>1891</v>
      </c>
      <c r="D281" s="14" t="s">
        <v>301</v>
      </c>
    </row>
    <row r="282" spans="1:4" ht="15.75" customHeight="1" x14ac:dyDescent="0.25">
      <c r="A282" s="14">
        <v>253996</v>
      </c>
      <c r="B282" s="14" t="s">
        <v>1892</v>
      </c>
      <c r="D282" s="14" t="s">
        <v>301</v>
      </c>
    </row>
    <row r="283" spans="1:4" ht="15.75" customHeight="1" x14ac:dyDescent="0.25">
      <c r="A283" s="14">
        <v>254017</v>
      </c>
      <c r="B283" s="14" t="s">
        <v>1893</v>
      </c>
      <c r="D283" s="14" t="s">
        <v>301</v>
      </c>
    </row>
    <row r="284" spans="1:4" ht="15.75" customHeight="1" x14ac:dyDescent="0.25">
      <c r="A284" s="14">
        <v>254018</v>
      </c>
      <c r="B284" s="14" t="s">
        <v>1894</v>
      </c>
      <c r="D284" s="14" t="s">
        <v>301</v>
      </c>
    </row>
    <row r="285" spans="1:4" ht="15.75" customHeight="1" x14ac:dyDescent="0.25">
      <c r="A285" s="14">
        <v>30059451</v>
      </c>
      <c r="B285" s="14" t="s">
        <v>1894</v>
      </c>
      <c r="D285" s="14" t="s">
        <v>301</v>
      </c>
    </row>
    <row r="286" spans="1:4" ht="15.75" customHeight="1" x14ac:dyDescent="0.25">
      <c r="A286" s="14">
        <v>1002178</v>
      </c>
      <c r="B286" s="14" t="s">
        <v>1895</v>
      </c>
      <c r="D286" s="14" t="s">
        <v>301</v>
      </c>
    </row>
    <row r="287" spans="1:4" ht="15.75" customHeight="1" x14ac:dyDescent="0.25">
      <c r="A287" s="14">
        <v>253552</v>
      </c>
      <c r="B287" s="14" t="s">
        <v>1896</v>
      </c>
      <c r="D287" s="14" t="s">
        <v>301</v>
      </c>
    </row>
    <row r="288" spans="1:4" ht="15.75" customHeight="1" x14ac:dyDescent="0.25">
      <c r="A288" s="14">
        <v>1006942</v>
      </c>
      <c r="B288" s="14" t="s">
        <v>1897</v>
      </c>
      <c r="D288" s="14" t="s">
        <v>301</v>
      </c>
    </row>
    <row r="289" spans="1:4" ht="15.75" customHeight="1" x14ac:dyDescent="0.25">
      <c r="A289" s="14">
        <v>1000674</v>
      </c>
      <c r="B289" s="14" t="s">
        <v>1898</v>
      </c>
      <c r="D289" s="14" t="s">
        <v>301</v>
      </c>
    </row>
    <row r="290" spans="1:4" ht="15.75" customHeight="1" x14ac:dyDescent="0.25">
      <c r="A290" s="14">
        <v>30034297</v>
      </c>
      <c r="B290" s="14" t="s">
        <v>1899</v>
      </c>
      <c r="D290" s="14" t="s">
        <v>301</v>
      </c>
    </row>
    <row r="291" spans="1:4" ht="15.75" customHeight="1" x14ac:dyDescent="0.25">
      <c r="A291" s="14">
        <v>22062307</v>
      </c>
      <c r="B291" s="14" t="s">
        <v>1900</v>
      </c>
      <c r="D291" s="14" t="s">
        <v>301</v>
      </c>
    </row>
    <row r="292" spans="1:4" ht="15.75" customHeight="1" x14ac:dyDescent="0.25">
      <c r="A292" s="14">
        <v>30030829</v>
      </c>
      <c r="B292" s="14" t="s">
        <v>383</v>
      </c>
      <c r="D292" s="14" t="s">
        <v>301</v>
      </c>
    </row>
    <row r="293" spans="1:4" ht="15.75" customHeight="1" x14ac:dyDescent="0.25">
      <c r="A293" s="14">
        <v>253362</v>
      </c>
      <c r="B293" s="14" t="s">
        <v>1901</v>
      </c>
      <c r="D293" s="14" t="s">
        <v>301</v>
      </c>
    </row>
    <row r="294" spans="1:4" ht="15.75" customHeight="1" x14ac:dyDescent="0.25">
      <c r="A294" s="14">
        <v>1000041</v>
      </c>
      <c r="B294" s="14" t="s">
        <v>1902</v>
      </c>
      <c r="D294" s="14" t="s">
        <v>301</v>
      </c>
    </row>
    <row r="295" spans="1:4" ht="15.75" customHeight="1" x14ac:dyDescent="0.25">
      <c r="A295" s="14">
        <v>1000042</v>
      </c>
      <c r="B295" s="14" t="s">
        <v>1903</v>
      </c>
      <c r="D295" s="14" t="s">
        <v>301</v>
      </c>
    </row>
    <row r="296" spans="1:4" ht="15.75" customHeight="1" x14ac:dyDescent="0.25">
      <c r="A296" s="14">
        <v>1001144</v>
      </c>
      <c r="B296" s="14" t="s">
        <v>1904</v>
      </c>
      <c r="D296" s="14" t="s">
        <v>301</v>
      </c>
    </row>
    <row r="297" spans="1:4" ht="15.75" customHeight="1" x14ac:dyDescent="0.25">
      <c r="A297" s="14">
        <v>1001038</v>
      </c>
      <c r="B297" s="14" t="s">
        <v>1905</v>
      </c>
      <c r="D297" s="14" t="s">
        <v>301</v>
      </c>
    </row>
    <row r="298" spans="1:4" ht="15.75" customHeight="1" x14ac:dyDescent="0.25">
      <c r="A298" s="14">
        <v>1000051</v>
      </c>
      <c r="B298" s="14" t="s">
        <v>1906</v>
      </c>
      <c r="D298" s="14" t="s">
        <v>301</v>
      </c>
    </row>
    <row r="299" spans="1:4" ht="15.75" customHeight="1" x14ac:dyDescent="0.25">
      <c r="A299" s="14">
        <v>254067</v>
      </c>
      <c r="B299" s="14" t="s">
        <v>1907</v>
      </c>
      <c r="D299" s="14" t="s">
        <v>301</v>
      </c>
    </row>
    <row r="300" spans="1:4" ht="15.75" customHeight="1" x14ac:dyDescent="0.25">
      <c r="A300" s="14">
        <v>22059927</v>
      </c>
      <c r="B300" s="14" t="s">
        <v>1908</v>
      </c>
      <c r="D300" s="14" t="s">
        <v>301</v>
      </c>
    </row>
    <row r="301" spans="1:4" ht="15.75" customHeight="1" x14ac:dyDescent="0.25">
      <c r="A301" s="14">
        <v>254011</v>
      </c>
      <c r="B301" s="14" t="s">
        <v>1909</v>
      </c>
      <c r="D301" s="14" t="s">
        <v>301</v>
      </c>
    </row>
    <row r="302" spans="1:4" ht="15.75" customHeight="1" x14ac:dyDescent="0.25">
      <c r="A302" s="14">
        <v>22056443</v>
      </c>
      <c r="B302" s="14" t="s">
        <v>1910</v>
      </c>
      <c r="D302" s="14" t="s">
        <v>301</v>
      </c>
    </row>
    <row r="303" spans="1:4" ht="15.75" customHeight="1" x14ac:dyDescent="0.25">
      <c r="A303" s="14">
        <v>22060456</v>
      </c>
      <c r="B303" s="14" t="s">
        <v>1911</v>
      </c>
      <c r="D303" s="14" t="s">
        <v>301</v>
      </c>
    </row>
    <row r="304" spans="1:4" ht="15.75" customHeight="1" x14ac:dyDescent="0.25">
      <c r="A304" s="14">
        <v>254777</v>
      </c>
      <c r="B304" s="14" t="s">
        <v>1912</v>
      </c>
      <c r="D304" s="14" t="s">
        <v>301</v>
      </c>
    </row>
    <row r="305" spans="1:4" ht="15.75" customHeight="1" x14ac:dyDescent="0.25">
      <c r="A305" s="14">
        <v>22067192</v>
      </c>
      <c r="B305" s="14" t="s">
        <v>1913</v>
      </c>
      <c r="D305" s="14" t="s">
        <v>301</v>
      </c>
    </row>
    <row r="306" spans="1:4" ht="15.75" customHeight="1" x14ac:dyDescent="0.25">
      <c r="A306" s="14">
        <v>254909</v>
      </c>
      <c r="B306" s="14" t="s">
        <v>1914</v>
      </c>
      <c r="D306" s="14" t="s">
        <v>301</v>
      </c>
    </row>
    <row r="307" spans="1:4" ht="15.75" customHeight="1" x14ac:dyDescent="0.25">
      <c r="A307" s="14">
        <v>254488</v>
      </c>
      <c r="B307" s="14" t="s">
        <v>1915</v>
      </c>
      <c r="D307" s="14" t="s">
        <v>301</v>
      </c>
    </row>
    <row r="308" spans="1:4" ht="15.75" customHeight="1" x14ac:dyDescent="0.25">
      <c r="A308" s="14">
        <v>22064687</v>
      </c>
      <c r="B308" s="14" t="s">
        <v>1915</v>
      </c>
      <c r="D308" s="14" t="s">
        <v>301</v>
      </c>
    </row>
    <row r="309" spans="1:4" ht="15.75" customHeight="1" x14ac:dyDescent="0.25">
      <c r="A309" s="14">
        <v>1006932</v>
      </c>
      <c r="B309" s="14" t="s">
        <v>1916</v>
      </c>
      <c r="D309" s="14" t="s">
        <v>301</v>
      </c>
    </row>
    <row r="310" spans="1:4" ht="15.75" customHeight="1" x14ac:dyDescent="0.25">
      <c r="A310" s="14">
        <v>254385</v>
      </c>
      <c r="B310" s="14" t="s">
        <v>1917</v>
      </c>
      <c r="D310" s="14" t="s">
        <v>301</v>
      </c>
    </row>
    <row r="311" spans="1:4" ht="15.75" customHeight="1" x14ac:dyDescent="0.25">
      <c r="A311" s="14">
        <v>30033453</v>
      </c>
      <c r="B311" s="14" t="s">
        <v>1918</v>
      </c>
      <c r="D311" s="14" t="s">
        <v>301</v>
      </c>
    </row>
    <row r="312" spans="1:4" ht="15.75" customHeight="1" x14ac:dyDescent="0.25">
      <c r="A312" s="14">
        <v>9000069</v>
      </c>
      <c r="B312" s="14" t="s">
        <v>1919</v>
      </c>
      <c r="D312" s="14" t="s">
        <v>301</v>
      </c>
    </row>
    <row r="313" spans="1:4" ht="15.75" customHeight="1" x14ac:dyDescent="0.25">
      <c r="A313" s="14">
        <v>1002357</v>
      </c>
      <c r="B313" s="14" t="s">
        <v>1920</v>
      </c>
      <c r="D313" s="14" t="s">
        <v>301</v>
      </c>
    </row>
    <row r="314" spans="1:4" ht="15.75" customHeight="1" x14ac:dyDescent="0.25">
      <c r="A314" s="14" t="s">
        <v>1921</v>
      </c>
      <c r="B314" s="14" t="s">
        <v>1922</v>
      </c>
      <c r="D314" s="14" t="s">
        <v>301</v>
      </c>
    </row>
    <row r="315" spans="1:4" ht="15.75" customHeight="1" x14ac:dyDescent="0.25">
      <c r="A315" s="14">
        <v>1000062</v>
      </c>
      <c r="B315" s="14" t="s">
        <v>1923</v>
      </c>
      <c r="D315" s="14" t="s">
        <v>301</v>
      </c>
    </row>
    <row r="316" spans="1:4" ht="15.75" customHeight="1" x14ac:dyDescent="0.25">
      <c r="A316" s="14">
        <v>1001872</v>
      </c>
      <c r="B316" s="14" t="s">
        <v>565</v>
      </c>
      <c r="D316" s="14" t="s">
        <v>301</v>
      </c>
    </row>
    <row r="317" spans="1:4" ht="15.75" customHeight="1" x14ac:dyDescent="0.25">
      <c r="A317" s="14">
        <v>1002050</v>
      </c>
      <c r="B317" s="14" t="s">
        <v>1924</v>
      </c>
      <c r="D317" s="14" t="s">
        <v>301</v>
      </c>
    </row>
    <row r="318" spans="1:4" ht="15.75" customHeight="1" x14ac:dyDescent="0.25">
      <c r="A318" s="14">
        <v>1002051</v>
      </c>
      <c r="B318" s="14" t="s">
        <v>1925</v>
      </c>
      <c r="D318" s="14" t="s">
        <v>301</v>
      </c>
    </row>
    <row r="319" spans="1:4" ht="15.75" customHeight="1" x14ac:dyDescent="0.25">
      <c r="A319" s="14">
        <v>1002052</v>
      </c>
      <c r="B319" s="14" t="s">
        <v>1926</v>
      </c>
      <c r="D319" s="14" t="s">
        <v>301</v>
      </c>
    </row>
    <row r="320" spans="1:4" ht="15.75" customHeight="1" x14ac:dyDescent="0.25">
      <c r="A320" s="14">
        <v>1002151</v>
      </c>
      <c r="B320" s="14" t="s">
        <v>1927</v>
      </c>
      <c r="D320" s="14" t="s">
        <v>301</v>
      </c>
    </row>
    <row r="321" spans="1:4" ht="15.75" customHeight="1" x14ac:dyDescent="0.25">
      <c r="A321" s="14">
        <v>1000066</v>
      </c>
      <c r="B321" s="14" t="s">
        <v>390</v>
      </c>
      <c r="D321" s="14" t="s">
        <v>301</v>
      </c>
    </row>
    <row r="322" spans="1:4" ht="15.75" customHeight="1" x14ac:dyDescent="0.25">
      <c r="A322" s="14">
        <v>1001430</v>
      </c>
      <c r="B322" s="14" t="s">
        <v>391</v>
      </c>
      <c r="D322" s="14" t="s">
        <v>301</v>
      </c>
    </row>
    <row r="323" spans="1:4" ht="15.75" customHeight="1" x14ac:dyDescent="0.25">
      <c r="A323" s="14">
        <v>30034248</v>
      </c>
      <c r="B323" s="14" t="s">
        <v>1928</v>
      </c>
      <c r="D323" s="14" t="s">
        <v>301</v>
      </c>
    </row>
    <row r="324" spans="1:4" ht="15.75" customHeight="1" x14ac:dyDescent="0.25">
      <c r="A324" s="14">
        <v>30034354</v>
      </c>
      <c r="B324" s="14" t="s">
        <v>1929</v>
      </c>
      <c r="D324" s="14" t="s">
        <v>301</v>
      </c>
    </row>
    <row r="325" spans="1:4" ht="15.75" customHeight="1" x14ac:dyDescent="0.25">
      <c r="A325" s="14">
        <v>252305</v>
      </c>
      <c r="B325" s="14" t="s">
        <v>1930</v>
      </c>
      <c r="D325" s="14" t="s">
        <v>301</v>
      </c>
    </row>
    <row r="326" spans="1:4" ht="15.75" customHeight="1" x14ac:dyDescent="0.25">
      <c r="A326" s="14">
        <v>1008891</v>
      </c>
      <c r="B326" s="14" t="s">
        <v>607</v>
      </c>
      <c r="D326" s="14" t="s">
        <v>301</v>
      </c>
    </row>
    <row r="327" spans="1:4" ht="15.75" customHeight="1" x14ac:dyDescent="0.25">
      <c r="A327" s="14">
        <v>1002184</v>
      </c>
      <c r="B327" s="14" t="s">
        <v>609</v>
      </c>
      <c r="D327" s="14" t="s">
        <v>301</v>
      </c>
    </row>
    <row r="328" spans="1:4" ht="15.75" customHeight="1" x14ac:dyDescent="0.25">
      <c r="A328" s="14">
        <v>1001986</v>
      </c>
      <c r="B328" s="14" t="s">
        <v>611</v>
      </c>
      <c r="D328" s="14" t="s">
        <v>301</v>
      </c>
    </row>
    <row r="329" spans="1:4" ht="15.75" customHeight="1" x14ac:dyDescent="0.25">
      <c r="A329" s="14">
        <v>1000082</v>
      </c>
      <c r="B329" s="14" t="s">
        <v>132</v>
      </c>
      <c r="D329" s="14" t="s">
        <v>301</v>
      </c>
    </row>
    <row r="330" spans="1:4" ht="15.75" customHeight="1" x14ac:dyDescent="0.25">
      <c r="A330" s="14">
        <v>1001305</v>
      </c>
      <c r="B330" s="14" t="s">
        <v>134</v>
      </c>
      <c r="D330" s="14" t="s">
        <v>301</v>
      </c>
    </row>
    <row r="331" spans="1:4" ht="15.75" customHeight="1" x14ac:dyDescent="0.25">
      <c r="A331" s="14">
        <v>1006916</v>
      </c>
      <c r="B331" s="14" t="s">
        <v>629</v>
      </c>
      <c r="D331" s="14" t="s">
        <v>301</v>
      </c>
    </row>
    <row r="332" spans="1:4" ht="15.75" customHeight="1" x14ac:dyDescent="0.25">
      <c r="A332" s="14">
        <v>1002196</v>
      </c>
      <c r="B332" s="14" t="s">
        <v>631</v>
      </c>
      <c r="D332" s="14" t="s">
        <v>301</v>
      </c>
    </row>
    <row r="333" spans="1:4" ht="15.75" customHeight="1" x14ac:dyDescent="0.25">
      <c r="A333" s="14">
        <v>1002095</v>
      </c>
      <c r="B333" s="14" t="s">
        <v>633</v>
      </c>
      <c r="D333" s="14" t="s">
        <v>301</v>
      </c>
    </row>
    <row r="334" spans="1:4" ht="15.75" customHeight="1" x14ac:dyDescent="0.25">
      <c r="A334" s="14">
        <v>1000086</v>
      </c>
      <c r="B334" s="14" t="s">
        <v>636</v>
      </c>
      <c r="D334" s="14" t="s">
        <v>301</v>
      </c>
    </row>
    <row r="335" spans="1:4" ht="15.75" customHeight="1" x14ac:dyDescent="0.25">
      <c r="A335" s="14">
        <v>1002144</v>
      </c>
      <c r="B335" s="14" t="s">
        <v>393</v>
      </c>
      <c r="D335" s="14" t="s">
        <v>301</v>
      </c>
    </row>
    <row r="336" spans="1:4" ht="15.75" customHeight="1" x14ac:dyDescent="0.25">
      <c r="A336" s="14">
        <v>22012558</v>
      </c>
      <c r="B336" s="14" t="s">
        <v>1931</v>
      </c>
      <c r="D336" s="14" t="s">
        <v>301</v>
      </c>
    </row>
    <row r="337" spans="1:4" ht="15.75" customHeight="1" x14ac:dyDescent="0.25">
      <c r="A337" s="14">
        <v>22012559</v>
      </c>
      <c r="B337" s="14" t="s">
        <v>1932</v>
      </c>
      <c r="D337" s="14" t="s">
        <v>301</v>
      </c>
    </row>
    <row r="338" spans="1:4" ht="15.75" customHeight="1" x14ac:dyDescent="0.25">
      <c r="A338" s="14">
        <v>244281</v>
      </c>
      <c r="B338" s="14" t="s">
        <v>1933</v>
      </c>
      <c r="D338" s="14" t="s">
        <v>301</v>
      </c>
    </row>
    <row r="339" spans="1:4" ht="15.75" customHeight="1" x14ac:dyDescent="0.25">
      <c r="A339" s="14">
        <v>22012575</v>
      </c>
      <c r="B339" s="14" t="s">
        <v>1934</v>
      </c>
      <c r="D339" s="14" t="s">
        <v>301</v>
      </c>
    </row>
    <row r="340" spans="1:4" ht="15.75" customHeight="1" x14ac:dyDescent="0.25">
      <c r="A340" s="14">
        <v>22045872</v>
      </c>
      <c r="B340" s="14" t="s">
        <v>1935</v>
      </c>
      <c r="D340" s="14" t="s">
        <v>301</v>
      </c>
    </row>
    <row r="341" spans="1:4" ht="15.75" customHeight="1" x14ac:dyDescent="0.25">
      <c r="A341" s="14">
        <v>60000132</v>
      </c>
      <c r="B341" s="14" t="s">
        <v>1936</v>
      </c>
      <c r="D341" s="14" t="s">
        <v>301</v>
      </c>
    </row>
    <row r="342" spans="1:4" ht="15.75" customHeight="1" x14ac:dyDescent="0.25">
      <c r="A342" s="14">
        <v>252166</v>
      </c>
      <c r="B342" s="14" t="s">
        <v>1937</v>
      </c>
      <c r="D342" s="14" t="s">
        <v>301</v>
      </c>
    </row>
    <row r="343" spans="1:4" ht="15.75" customHeight="1" x14ac:dyDescent="0.25">
      <c r="A343" s="14">
        <v>60000133</v>
      </c>
      <c r="B343" s="14" t="s">
        <v>1937</v>
      </c>
      <c r="D343" s="14" t="s">
        <v>301</v>
      </c>
    </row>
    <row r="344" spans="1:4" ht="15.75" customHeight="1" x14ac:dyDescent="0.25">
      <c r="A344" s="14">
        <v>252165</v>
      </c>
      <c r="B344" s="14" t="s">
        <v>1938</v>
      </c>
      <c r="D344" s="14" t="s">
        <v>301</v>
      </c>
    </row>
    <row r="345" spans="1:4" ht="15.75" customHeight="1" x14ac:dyDescent="0.25">
      <c r="A345" s="14">
        <v>253655</v>
      </c>
      <c r="B345" s="14" t="s">
        <v>1939</v>
      </c>
      <c r="D345" s="14" t="s">
        <v>301</v>
      </c>
    </row>
    <row r="346" spans="1:4" ht="15.75" customHeight="1" x14ac:dyDescent="0.25">
      <c r="A346" s="14" t="s">
        <v>1940</v>
      </c>
      <c r="B346" s="14" t="s">
        <v>1941</v>
      </c>
      <c r="D346" s="14" t="s">
        <v>301</v>
      </c>
    </row>
    <row r="347" spans="1:4" ht="15.75" customHeight="1" x14ac:dyDescent="0.25">
      <c r="A347" s="14">
        <v>254627</v>
      </c>
      <c r="B347" s="14" t="s">
        <v>1942</v>
      </c>
      <c r="D347" s="14" t="s">
        <v>301</v>
      </c>
    </row>
    <row r="348" spans="1:4" ht="15.75" customHeight="1" x14ac:dyDescent="0.25">
      <c r="A348" s="14">
        <v>22026267</v>
      </c>
      <c r="B348" s="14" t="s">
        <v>1943</v>
      </c>
      <c r="D348" s="14" t="s">
        <v>301</v>
      </c>
    </row>
    <row r="349" spans="1:4" ht="15.75" customHeight="1" x14ac:dyDescent="0.25">
      <c r="A349" s="14">
        <v>22061736</v>
      </c>
      <c r="B349" s="14" t="s">
        <v>1944</v>
      </c>
      <c r="D349" s="14" t="s">
        <v>301</v>
      </c>
    </row>
    <row r="350" spans="1:4" ht="15.75" customHeight="1" x14ac:dyDescent="0.25">
      <c r="A350" s="14">
        <v>254337</v>
      </c>
      <c r="B350" s="14" t="s">
        <v>1945</v>
      </c>
      <c r="D350" s="14" t="s">
        <v>301</v>
      </c>
    </row>
    <row r="351" spans="1:4" ht="15.75" customHeight="1" x14ac:dyDescent="0.25">
      <c r="A351" s="14">
        <v>22065373</v>
      </c>
      <c r="B351" s="14" t="s">
        <v>1946</v>
      </c>
      <c r="D351" s="14" t="s">
        <v>301</v>
      </c>
    </row>
    <row r="352" spans="1:4" ht="15.75" customHeight="1" x14ac:dyDescent="0.25">
      <c r="A352" s="14">
        <v>29812</v>
      </c>
      <c r="B352" s="14" t="s">
        <v>1947</v>
      </c>
      <c r="D352" s="14" t="s">
        <v>301</v>
      </c>
    </row>
    <row r="353" spans="1:4" ht="15.75" customHeight="1" x14ac:dyDescent="0.25">
      <c r="A353" s="14">
        <v>27948</v>
      </c>
      <c r="B353" s="14" t="s">
        <v>1948</v>
      </c>
      <c r="D353" s="14" t="s">
        <v>301</v>
      </c>
    </row>
    <row r="354" spans="1:4" ht="15.75" customHeight="1" x14ac:dyDescent="0.25">
      <c r="A354" s="14">
        <v>254334</v>
      </c>
      <c r="B354" s="14" t="s">
        <v>1949</v>
      </c>
      <c r="D354" s="14" t="s">
        <v>301</v>
      </c>
    </row>
    <row r="355" spans="1:4" ht="15.75" customHeight="1" x14ac:dyDescent="0.25">
      <c r="A355" s="14">
        <v>60000572</v>
      </c>
      <c r="B355" s="14" t="s">
        <v>1950</v>
      </c>
      <c r="D355" s="14" t="s">
        <v>301</v>
      </c>
    </row>
    <row r="356" spans="1:4" ht="15.75" customHeight="1" x14ac:dyDescent="0.25">
      <c r="A356" s="14">
        <v>22030303</v>
      </c>
      <c r="B356" s="14" t="s">
        <v>1951</v>
      </c>
      <c r="D356" s="14" t="s">
        <v>301</v>
      </c>
    </row>
    <row r="357" spans="1:4" ht="15.75" customHeight="1" x14ac:dyDescent="0.25">
      <c r="A357" s="14">
        <v>254338</v>
      </c>
      <c r="B357" s="14" t="s">
        <v>1952</v>
      </c>
      <c r="D357" s="14" t="s">
        <v>301</v>
      </c>
    </row>
    <row r="358" spans="1:4" ht="15.75" customHeight="1" x14ac:dyDescent="0.25">
      <c r="A358" s="14">
        <v>22065302</v>
      </c>
      <c r="B358" s="14" t="s">
        <v>1953</v>
      </c>
      <c r="D358" s="14" t="s">
        <v>301</v>
      </c>
    </row>
    <row r="359" spans="1:4" ht="15.75" customHeight="1" x14ac:dyDescent="0.25">
      <c r="A359" s="14">
        <v>22065301</v>
      </c>
      <c r="B359" s="14" t="s">
        <v>1954</v>
      </c>
      <c r="D359" s="14" t="s">
        <v>301</v>
      </c>
    </row>
    <row r="360" spans="1:4" ht="15.75" customHeight="1" x14ac:dyDescent="0.25">
      <c r="A360" s="14">
        <v>60000575</v>
      </c>
      <c r="B360" s="14" t="s">
        <v>1954</v>
      </c>
      <c r="D360" s="14" t="s">
        <v>301</v>
      </c>
    </row>
    <row r="361" spans="1:4" ht="15.75" customHeight="1" x14ac:dyDescent="0.25">
      <c r="A361" s="14">
        <v>60000571</v>
      </c>
      <c r="B361" s="14" t="s">
        <v>1955</v>
      </c>
      <c r="D361" s="14" t="s">
        <v>301</v>
      </c>
    </row>
    <row r="362" spans="1:4" ht="15.75" customHeight="1" x14ac:dyDescent="0.25">
      <c r="A362" s="14">
        <v>60000566</v>
      </c>
      <c r="B362" s="14" t="s">
        <v>1956</v>
      </c>
      <c r="D362" s="14" t="s">
        <v>301</v>
      </c>
    </row>
    <row r="363" spans="1:4" ht="15.75" customHeight="1" x14ac:dyDescent="0.25">
      <c r="A363" s="14">
        <v>60000569</v>
      </c>
      <c r="B363" s="14" t="s">
        <v>1957</v>
      </c>
      <c r="D363" s="14" t="s">
        <v>301</v>
      </c>
    </row>
    <row r="364" spans="1:4" ht="15.75" customHeight="1" x14ac:dyDescent="0.25">
      <c r="A364" s="14">
        <v>254330</v>
      </c>
      <c r="B364" s="14" t="s">
        <v>1957</v>
      </c>
      <c r="D364" s="14" t="s">
        <v>301</v>
      </c>
    </row>
    <row r="365" spans="1:4" ht="15.75" customHeight="1" x14ac:dyDescent="0.25">
      <c r="A365" s="14">
        <v>252175</v>
      </c>
      <c r="B365" s="14" t="s">
        <v>1958</v>
      </c>
      <c r="D365" s="14" t="s">
        <v>301</v>
      </c>
    </row>
    <row r="366" spans="1:4" ht="15.75" customHeight="1" x14ac:dyDescent="0.25">
      <c r="A366" s="14">
        <v>254343</v>
      </c>
      <c r="B366" s="14" t="s">
        <v>1959</v>
      </c>
      <c r="D366" s="14" t="s">
        <v>301</v>
      </c>
    </row>
    <row r="367" spans="1:4" ht="15.75" customHeight="1" x14ac:dyDescent="0.25">
      <c r="A367" s="14">
        <v>22011926</v>
      </c>
      <c r="B367" s="14" t="s">
        <v>1960</v>
      </c>
      <c r="D367" s="14" t="s">
        <v>301</v>
      </c>
    </row>
    <row r="368" spans="1:4" ht="15.75" customHeight="1" x14ac:dyDescent="0.25">
      <c r="A368" s="14">
        <v>254329</v>
      </c>
      <c r="B368" s="14" t="s">
        <v>1961</v>
      </c>
      <c r="D368" s="14" t="s">
        <v>301</v>
      </c>
    </row>
    <row r="369" spans="1:4" ht="15.75" customHeight="1" x14ac:dyDescent="0.25">
      <c r="A369" s="14">
        <v>22011943</v>
      </c>
      <c r="B369" s="14" t="s">
        <v>1962</v>
      </c>
      <c r="D369" s="14" t="s">
        <v>301</v>
      </c>
    </row>
    <row r="370" spans="1:4" ht="15.75" customHeight="1" x14ac:dyDescent="0.25">
      <c r="A370" s="14">
        <v>22012560</v>
      </c>
      <c r="B370" s="14" t="s">
        <v>1963</v>
      </c>
      <c r="D370" s="14" t="s">
        <v>301</v>
      </c>
    </row>
    <row r="371" spans="1:4" ht="15.75" customHeight="1" x14ac:dyDescent="0.25">
      <c r="A371" s="14">
        <v>22011941</v>
      </c>
      <c r="B371" s="14" t="s">
        <v>1964</v>
      </c>
      <c r="D371" s="14" t="s">
        <v>301</v>
      </c>
    </row>
    <row r="372" spans="1:4" ht="15.75" customHeight="1" x14ac:dyDescent="0.25">
      <c r="A372" s="14">
        <v>60000570</v>
      </c>
      <c r="B372" s="14" t="s">
        <v>1965</v>
      </c>
      <c r="D372" s="14" t="s">
        <v>301</v>
      </c>
    </row>
    <row r="373" spans="1:4" ht="15.75" customHeight="1" x14ac:dyDescent="0.25">
      <c r="A373" s="14">
        <v>60000215</v>
      </c>
      <c r="B373" s="14" t="s">
        <v>1966</v>
      </c>
      <c r="D373" s="14" t="s">
        <v>301</v>
      </c>
    </row>
    <row r="374" spans="1:4" ht="15.75" customHeight="1" x14ac:dyDescent="0.25">
      <c r="A374" s="14">
        <v>60000218</v>
      </c>
      <c r="B374" s="14" t="s">
        <v>1967</v>
      </c>
      <c r="D374" s="14" t="s">
        <v>301</v>
      </c>
    </row>
    <row r="375" spans="1:4" ht="15.75" customHeight="1" x14ac:dyDescent="0.25">
      <c r="A375" s="14">
        <v>22067673</v>
      </c>
      <c r="B375" s="14" t="s">
        <v>1968</v>
      </c>
      <c r="D375" s="14" t="s">
        <v>301</v>
      </c>
    </row>
    <row r="376" spans="1:4" ht="15.75" customHeight="1" x14ac:dyDescent="0.25">
      <c r="A376" s="14">
        <v>22066606</v>
      </c>
      <c r="B376" s="14" t="s">
        <v>1969</v>
      </c>
      <c r="D376" s="14" t="s">
        <v>301</v>
      </c>
    </row>
    <row r="377" spans="1:4" ht="15.75" customHeight="1" x14ac:dyDescent="0.25">
      <c r="A377" s="14">
        <v>22067763</v>
      </c>
      <c r="B377" s="14" t="s">
        <v>1970</v>
      </c>
      <c r="D377" s="14" t="s">
        <v>301</v>
      </c>
    </row>
    <row r="378" spans="1:4" ht="15.75" customHeight="1" x14ac:dyDescent="0.25">
      <c r="A378" s="14">
        <v>22067770</v>
      </c>
      <c r="B378" s="14" t="s">
        <v>1971</v>
      </c>
      <c r="D378" s="14" t="s">
        <v>301</v>
      </c>
    </row>
    <row r="379" spans="1:4" ht="15.75" customHeight="1" x14ac:dyDescent="0.25">
      <c r="A379" s="14">
        <v>22067682</v>
      </c>
      <c r="B379" s="14" t="s">
        <v>1972</v>
      </c>
      <c r="D379" s="14" t="s">
        <v>301</v>
      </c>
    </row>
    <row r="380" spans="1:4" ht="15.75" customHeight="1" x14ac:dyDescent="0.25">
      <c r="A380" s="14">
        <v>22067772</v>
      </c>
      <c r="B380" s="14" t="s">
        <v>1973</v>
      </c>
      <c r="D380" s="14" t="s">
        <v>301</v>
      </c>
    </row>
    <row r="381" spans="1:4" ht="15.75" customHeight="1" x14ac:dyDescent="0.25">
      <c r="A381" s="14">
        <v>22067767</v>
      </c>
      <c r="B381" s="14" t="s">
        <v>1974</v>
      </c>
      <c r="D381" s="14" t="s">
        <v>301</v>
      </c>
    </row>
    <row r="382" spans="1:4" ht="15.75" customHeight="1" x14ac:dyDescent="0.25">
      <c r="A382" s="14">
        <v>22067771</v>
      </c>
      <c r="B382" s="14" t="s">
        <v>1975</v>
      </c>
      <c r="D382" s="14" t="s">
        <v>301</v>
      </c>
    </row>
    <row r="383" spans="1:4" ht="15.75" customHeight="1" x14ac:dyDescent="0.25">
      <c r="A383" s="14">
        <v>22012583</v>
      </c>
      <c r="B383" s="14" t="s">
        <v>1976</v>
      </c>
      <c r="D383" s="14" t="s">
        <v>301</v>
      </c>
    </row>
    <row r="384" spans="1:4" ht="15.75" customHeight="1" x14ac:dyDescent="0.25">
      <c r="A384" s="14">
        <v>22067680</v>
      </c>
      <c r="B384" s="14" t="s">
        <v>1977</v>
      </c>
      <c r="D384" s="14" t="s">
        <v>301</v>
      </c>
    </row>
    <row r="385" spans="1:4" ht="15.75" customHeight="1" x14ac:dyDescent="0.25">
      <c r="A385" s="14" t="s">
        <v>1978</v>
      </c>
      <c r="B385" s="14" t="s">
        <v>1979</v>
      </c>
      <c r="D385" s="14" t="s">
        <v>301</v>
      </c>
    </row>
    <row r="386" spans="1:4" ht="15.75" customHeight="1" x14ac:dyDescent="0.25">
      <c r="A386" s="14">
        <v>60000187</v>
      </c>
      <c r="B386" s="14" t="s">
        <v>1980</v>
      </c>
      <c r="D386" s="14" t="s">
        <v>301</v>
      </c>
    </row>
    <row r="387" spans="1:4" ht="15.75" customHeight="1" x14ac:dyDescent="0.25">
      <c r="A387" s="14">
        <v>60000182</v>
      </c>
      <c r="B387" s="14" t="s">
        <v>1981</v>
      </c>
      <c r="D387" s="14" t="s">
        <v>301</v>
      </c>
    </row>
    <row r="388" spans="1:4" ht="15.75" customHeight="1" x14ac:dyDescent="0.25">
      <c r="A388" s="14">
        <v>252177</v>
      </c>
      <c r="B388" s="14" t="s">
        <v>1981</v>
      </c>
      <c r="D388" s="14" t="s">
        <v>301</v>
      </c>
    </row>
    <row r="389" spans="1:4" ht="15.75" customHeight="1" x14ac:dyDescent="0.25">
      <c r="A389" s="14">
        <v>31000310</v>
      </c>
      <c r="B389" s="14" t="s">
        <v>1982</v>
      </c>
      <c r="D389" s="14" t="s">
        <v>301</v>
      </c>
    </row>
    <row r="390" spans="1:4" ht="15.75" customHeight="1" x14ac:dyDescent="0.25">
      <c r="A390" s="14">
        <v>20007107</v>
      </c>
      <c r="B390" s="14" t="s">
        <v>1983</v>
      </c>
      <c r="D390" s="14" t="s">
        <v>301</v>
      </c>
    </row>
    <row r="391" spans="1:4" ht="15.75" customHeight="1" x14ac:dyDescent="0.25">
      <c r="A391" s="14">
        <v>20007191</v>
      </c>
      <c r="B391" s="14" t="s">
        <v>1984</v>
      </c>
      <c r="D391" s="14" t="s">
        <v>301</v>
      </c>
    </row>
    <row r="392" spans="1:4" ht="15.75" customHeight="1" x14ac:dyDescent="0.25">
      <c r="A392" s="14">
        <v>20006899</v>
      </c>
      <c r="B392" s="14" t="s">
        <v>1985</v>
      </c>
      <c r="D392" s="14" t="s">
        <v>301</v>
      </c>
    </row>
    <row r="393" spans="1:4" ht="15.75" customHeight="1" x14ac:dyDescent="0.25">
      <c r="A393" s="14" t="s">
        <v>1986</v>
      </c>
      <c r="B393" s="14" t="s">
        <v>1987</v>
      </c>
      <c r="D393" s="14" t="s">
        <v>301</v>
      </c>
    </row>
    <row r="394" spans="1:4" ht="15.75" customHeight="1" x14ac:dyDescent="0.25">
      <c r="A394" s="14">
        <v>220011941</v>
      </c>
      <c r="B394" s="14" t="s">
        <v>1988</v>
      </c>
      <c r="D394" s="14" t="s">
        <v>301</v>
      </c>
    </row>
    <row r="395" spans="1:4" ht="15.75" customHeight="1" x14ac:dyDescent="0.25">
      <c r="A395" s="14">
        <v>247327</v>
      </c>
      <c r="B395" s="14" t="s">
        <v>1989</v>
      </c>
      <c r="D395" s="14" t="s">
        <v>301</v>
      </c>
    </row>
    <row r="396" spans="1:4" ht="15.75" customHeight="1" x14ac:dyDescent="0.25">
      <c r="A396" s="14">
        <v>254284</v>
      </c>
      <c r="B396" s="14" t="s">
        <v>1990</v>
      </c>
      <c r="D396" s="14" t="s">
        <v>301</v>
      </c>
    </row>
    <row r="397" spans="1:4" ht="15.75" customHeight="1" x14ac:dyDescent="0.25">
      <c r="A397" s="14">
        <v>22061794</v>
      </c>
      <c r="B397" s="14" t="s">
        <v>1991</v>
      </c>
      <c r="D397" s="14" t="s">
        <v>301</v>
      </c>
    </row>
    <row r="398" spans="1:4" ht="15.75" customHeight="1" x14ac:dyDescent="0.25">
      <c r="A398" s="14">
        <v>254286</v>
      </c>
      <c r="B398" s="14" t="s">
        <v>1992</v>
      </c>
      <c r="D398" s="14" t="s">
        <v>301</v>
      </c>
    </row>
    <row r="399" spans="1:4" ht="15.75" customHeight="1" x14ac:dyDescent="0.25">
      <c r="A399" s="14">
        <v>22061796</v>
      </c>
      <c r="B399" s="14" t="s">
        <v>1992</v>
      </c>
      <c r="D399" s="14" t="s">
        <v>301</v>
      </c>
    </row>
    <row r="400" spans="1:4" ht="15.75" customHeight="1" x14ac:dyDescent="0.25">
      <c r="A400" s="14">
        <v>22061797</v>
      </c>
      <c r="B400" s="14" t="s">
        <v>1993</v>
      </c>
      <c r="D400" s="14" t="s">
        <v>301</v>
      </c>
    </row>
    <row r="401" spans="1:4" ht="15.75" customHeight="1" x14ac:dyDescent="0.25">
      <c r="A401" s="14">
        <v>254287</v>
      </c>
      <c r="B401" s="14" t="s">
        <v>1993</v>
      </c>
      <c r="D401" s="14" t="s">
        <v>301</v>
      </c>
    </row>
    <row r="402" spans="1:4" ht="15.75" customHeight="1" x14ac:dyDescent="0.25">
      <c r="A402" s="14">
        <v>22061791</v>
      </c>
      <c r="B402" s="14" t="s">
        <v>1994</v>
      </c>
      <c r="D402" s="14" t="s">
        <v>301</v>
      </c>
    </row>
    <row r="403" spans="1:4" ht="15.75" customHeight="1" x14ac:dyDescent="0.25">
      <c r="A403" s="14">
        <v>254283</v>
      </c>
      <c r="B403" s="14" t="s">
        <v>1995</v>
      </c>
      <c r="D403" s="14" t="s">
        <v>301</v>
      </c>
    </row>
    <row r="404" spans="1:4" ht="15.75" customHeight="1" x14ac:dyDescent="0.25">
      <c r="A404" s="14">
        <v>254280</v>
      </c>
      <c r="B404" s="14" t="s">
        <v>1996</v>
      </c>
      <c r="D404" s="14" t="s">
        <v>301</v>
      </c>
    </row>
    <row r="405" spans="1:4" ht="15.75" customHeight="1" x14ac:dyDescent="0.25">
      <c r="A405" s="14">
        <v>22061792</v>
      </c>
      <c r="B405" s="14" t="s">
        <v>1997</v>
      </c>
      <c r="D405" s="14" t="s">
        <v>301</v>
      </c>
    </row>
    <row r="406" spans="1:4" ht="15.75" customHeight="1" x14ac:dyDescent="0.25">
      <c r="A406" s="14">
        <v>22061790</v>
      </c>
      <c r="B406" s="14" t="s">
        <v>1998</v>
      </c>
      <c r="D406" s="14" t="s">
        <v>301</v>
      </c>
    </row>
    <row r="407" spans="1:4" ht="15.75" customHeight="1" x14ac:dyDescent="0.25">
      <c r="A407" s="14">
        <v>22061793</v>
      </c>
      <c r="B407" s="14" t="s">
        <v>1999</v>
      </c>
      <c r="D407" s="14" t="s">
        <v>301</v>
      </c>
    </row>
    <row r="408" spans="1:4" ht="15.75" customHeight="1" x14ac:dyDescent="0.25">
      <c r="A408" s="14">
        <v>30059442</v>
      </c>
      <c r="B408" s="14" t="s">
        <v>2000</v>
      </c>
      <c r="D408" s="14" t="s">
        <v>301</v>
      </c>
    </row>
    <row r="409" spans="1:4" ht="15.75" customHeight="1" x14ac:dyDescent="0.25">
      <c r="A409" s="14">
        <v>30058622</v>
      </c>
      <c r="B409" s="14" t="s">
        <v>2001</v>
      </c>
      <c r="D409" s="14" t="s">
        <v>301</v>
      </c>
    </row>
    <row r="410" spans="1:4" ht="15.75" customHeight="1" x14ac:dyDescent="0.25">
      <c r="A410" s="14">
        <v>30001277</v>
      </c>
      <c r="B410" s="14" t="s">
        <v>2002</v>
      </c>
      <c r="D410" s="14" t="s">
        <v>301</v>
      </c>
    </row>
    <row r="411" spans="1:4" ht="15.75" customHeight="1" x14ac:dyDescent="0.25">
      <c r="A411" s="14">
        <v>22060789</v>
      </c>
      <c r="B411" s="14" t="s">
        <v>2003</v>
      </c>
      <c r="D411" s="14" t="s">
        <v>301</v>
      </c>
    </row>
    <row r="412" spans="1:4" ht="15.75" customHeight="1" x14ac:dyDescent="0.25">
      <c r="A412" s="14">
        <v>30058618</v>
      </c>
      <c r="B412" s="14" t="s">
        <v>2004</v>
      </c>
      <c r="D412" s="14" t="s">
        <v>301</v>
      </c>
    </row>
    <row r="413" spans="1:4" ht="15.75" customHeight="1" x14ac:dyDescent="0.25">
      <c r="A413" s="14">
        <v>1001927</v>
      </c>
      <c r="B413" s="14" t="s">
        <v>2005</v>
      </c>
      <c r="D413" s="14" t="s">
        <v>301</v>
      </c>
    </row>
    <row r="414" spans="1:4" ht="15.75" customHeight="1" x14ac:dyDescent="0.25">
      <c r="A414" s="14">
        <v>1000107</v>
      </c>
      <c r="B414" s="14" t="s">
        <v>2006</v>
      </c>
      <c r="D414" s="14" t="s">
        <v>301</v>
      </c>
    </row>
    <row r="415" spans="1:4" ht="15.75" customHeight="1" x14ac:dyDescent="0.25">
      <c r="A415" s="14">
        <v>1000108</v>
      </c>
      <c r="B415" s="14" t="s">
        <v>2007</v>
      </c>
      <c r="D415" s="14" t="s">
        <v>301</v>
      </c>
    </row>
    <row r="416" spans="1:4" ht="15.75" customHeight="1" x14ac:dyDescent="0.25">
      <c r="A416" s="14">
        <v>1001185</v>
      </c>
      <c r="B416" s="14" t="s">
        <v>394</v>
      </c>
      <c r="D416" s="14" t="s">
        <v>301</v>
      </c>
    </row>
    <row r="417" spans="1:4" ht="15.75" customHeight="1" x14ac:dyDescent="0.25">
      <c r="A417" s="14">
        <v>1001959</v>
      </c>
      <c r="B417" s="14" t="s">
        <v>2008</v>
      </c>
      <c r="D417" s="14" t="s">
        <v>301</v>
      </c>
    </row>
    <row r="418" spans="1:4" ht="15.75" customHeight="1" x14ac:dyDescent="0.25">
      <c r="A418" s="14">
        <v>22064686</v>
      </c>
      <c r="B418" s="14" t="s">
        <v>2009</v>
      </c>
      <c r="D418" s="14" t="s">
        <v>301</v>
      </c>
    </row>
    <row r="419" spans="1:4" ht="15.75" customHeight="1" x14ac:dyDescent="0.25">
      <c r="A419" s="14">
        <v>30033434</v>
      </c>
      <c r="B419" s="14" t="s">
        <v>2010</v>
      </c>
      <c r="D419" s="14" t="s">
        <v>301</v>
      </c>
    </row>
    <row r="420" spans="1:4" ht="15.75" customHeight="1" x14ac:dyDescent="0.25">
      <c r="A420" s="14">
        <v>253847</v>
      </c>
      <c r="B420" s="14" t="s">
        <v>2011</v>
      </c>
      <c r="D420" s="14" t="s">
        <v>301</v>
      </c>
    </row>
    <row r="421" spans="1:4" ht="15.75" customHeight="1" x14ac:dyDescent="0.25">
      <c r="A421" s="14">
        <v>22015431</v>
      </c>
      <c r="B421" s="14" t="s">
        <v>2012</v>
      </c>
      <c r="D421" s="14" t="s">
        <v>301</v>
      </c>
    </row>
    <row r="422" spans="1:4" ht="15.75" customHeight="1" x14ac:dyDescent="0.25">
      <c r="A422" s="14">
        <v>254771</v>
      </c>
      <c r="B422" s="14" t="s">
        <v>2013</v>
      </c>
      <c r="D422" s="14" t="s">
        <v>301</v>
      </c>
    </row>
    <row r="423" spans="1:4" ht="15.75" customHeight="1" x14ac:dyDescent="0.25">
      <c r="A423" s="14">
        <v>22063254</v>
      </c>
      <c r="B423" s="14" t="s">
        <v>2014</v>
      </c>
      <c r="D423" s="14" t="s">
        <v>301</v>
      </c>
    </row>
    <row r="424" spans="1:4" ht="15.75" customHeight="1" x14ac:dyDescent="0.25">
      <c r="A424" s="14">
        <v>22030277</v>
      </c>
      <c r="B424" s="14" t="s">
        <v>2015</v>
      </c>
      <c r="D424" s="14" t="s">
        <v>301</v>
      </c>
    </row>
    <row r="425" spans="1:4" ht="15.75" customHeight="1" x14ac:dyDescent="0.25">
      <c r="A425" s="14">
        <v>22030799</v>
      </c>
      <c r="B425" s="14" t="s">
        <v>2016</v>
      </c>
      <c r="D425" s="14" t="s">
        <v>301</v>
      </c>
    </row>
    <row r="426" spans="1:4" ht="15.75" customHeight="1" x14ac:dyDescent="0.25">
      <c r="A426" s="14">
        <v>254270</v>
      </c>
      <c r="B426" s="14" t="s">
        <v>2017</v>
      </c>
      <c r="D426" s="14" t="s">
        <v>301</v>
      </c>
    </row>
    <row r="427" spans="1:4" ht="15.75" customHeight="1" x14ac:dyDescent="0.25">
      <c r="A427" s="14">
        <v>22061782</v>
      </c>
      <c r="B427" s="14" t="s">
        <v>2018</v>
      </c>
      <c r="D427" s="14" t="s">
        <v>301</v>
      </c>
    </row>
    <row r="428" spans="1:4" ht="15.75" customHeight="1" x14ac:dyDescent="0.25">
      <c r="A428" s="14">
        <v>22059418</v>
      </c>
      <c r="B428" s="14" t="s">
        <v>2019</v>
      </c>
      <c r="D428" s="14" t="s">
        <v>301</v>
      </c>
    </row>
    <row r="429" spans="1:4" ht="15.75" customHeight="1" x14ac:dyDescent="0.25">
      <c r="A429" s="14">
        <v>30034002</v>
      </c>
      <c r="B429" s="14" t="s">
        <v>2020</v>
      </c>
      <c r="D429" s="14" t="s">
        <v>301</v>
      </c>
    </row>
    <row r="430" spans="1:4" ht="15.75" customHeight="1" x14ac:dyDescent="0.25">
      <c r="A430" s="14">
        <v>254683</v>
      </c>
      <c r="B430" s="14" t="s">
        <v>2021</v>
      </c>
      <c r="D430" s="14" t="s">
        <v>301</v>
      </c>
    </row>
    <row r="431" spans="1:4" ht="15.75" customHeight="1" x14ac:dyDescent="0.25">
      <c r="A431" s="14">
        <v>254512</v>
      </c>
      <c r="B431" s="14" t="s">
        <v>2022</v>
      </c>
      <c r="D431" s="14" t="s">
        <v>301</v>
      </c>
    </row>
    <row r="432" spans="1:4" ht="15.75" customHeight="1" x14ac:dyDescent="0.25">
      <c r="A432" s="14">
        <v>22059332</v>
      </c>
      <c r="B432" s="14" t="s">
        <v>2022</v>
      </c>
      <c r="D432" s="14" t="s">
        <v>301</v>
      </c>
    </row>
    <row r="433" spans="1:4" ht="15.75" customHeight="1" x14ac:dyDescent="0.25">
      <c r="A433" s="14">
        <v>22059333</v>
      </c>
      <c r="B433" s="14" t="s">
        <v>2023</v>
      </c>
      <c r="D433" s="14" t="s">
        <v>301</v>
      </c>
    </row>
    <row r="434" spans="1:4" ht="15.75" customHeight="1" x14ac:dyDescent="0.25">
      <c r="A434" s="14">
        <v>22065523</v>
      </c>
      <c r="B434" s="14" t="s">
        <v>2024</v>
      </c>
      <c r="D434" s="14" t="s">
        <v>301</v>
      </c>
    </row>
    <row r="435" spans="1:4" ht="15.75" customHeight="1" x14ac:dyDescent="0.25">
      <c r="A435" s="14">
        <v>254273</v>
      </c>
      <c r="B435" s="14" t="s">
        <v>2025</v>
      </c>
      <c r="D435" s="14" t="s">
        <v>301</v>
      </c>
    </row>
    <row r="436" spans="1:4" ht="15.75" customHeight="1" x14ac:dyDescent="0.25">
      <c r="A436" s="14">
        <v>22061784</v>
      </c>
      <c r="B436" s="14" t="s">
        <v>2026</v>
      </c>
      <c r="D436" s="14" t="s">
        <v>301</v>
      </c>
    </row>
    <row r="437" spans="1:4" ht="15.75" customHeight="1" x14ac:dyDescent="0.25">
      <c r="A437" s="14">
        <v>22061785</v>
      </c>
      <c r="B437" s="14" t="s">
        <v>2027</v>
      </c>
      <c r="D437" s="14" t="s">
        <v>301</v>
      </c>
    </row>
    <row r="438" spans="1:4" ht="15.75" customHeight="1" x14ac:dyDescent="0.25">
      <c r="A438" s="14">
        <v>254274</v>
      </c>
      <c r="B438" s="14" t="s">
        <v>2028</v>
      </c>
      <c r="D438" s="14" t="s">
        <v>301</v>
      </c>
    </row>
    <row r="439" spans="1:4" ht="15.75" customHeight="1" x14ac:dyDescent="0.25">
      <c r="A439" s="14">
        <v>30059204</v>
      </c>
      <c r="B439" s="14" t="s">
        <v>2029</v>
      </c>
      <c r="D439" s="14" t="s">
        <v>301</v>
      </c>
    </row>
    <row r="440" spans="1:4" ht="15.75" customHeight="1" x14ac:dyDescent="0.25">
      <c r="A440" s="14">
        <v>1000482</v>
      </c>
      <c r="B440" s="14" t="s">
        <v>2030</v>
      </c>
      <c r="D440" s="14" t="s">
        <v>301</v>
      </c>
    </row>
    <row r="441" spans="1:4" ht="15.75" customHeight="1" x14ac:dyDescent="0.25">
      <c r="A441" s="14">
        <v>1002358</v>
      </c>
      <c r="B441" s="14" t="s">
        <v>2031</v>
      </c>
      <c r="D441" s="14" t="s">
        <v>301</v>
      </c>
    </row>
    <row r="442" spans="1:4" ht="15.75" customHeight="1" x14ac:dyDescent="0.25">
      <c r="A442" s="14">
        <v>9000062</v>
      </c>
      <c r="B442" s="14" t="s">
        <v>2032</v>
      </c>
      <c r="D442" s="14" t="s">
        <v>301</v>
      </c>
    </row>
    <row r="443" spans="1:4" ht="15.75" customHeight="1" x14ac:dyDescent="0.25">
      <c r="A443" s="14">
        <v>9000087</v>
      </c>
      <c r="B443" s="14" t="s">
        <v>2033</v>
      </c>
      <c r="D443" s="14" t="s">
        <v>301</v>
      </c>
    </row>
    <row r="444" spans="1:4" ht="15.75" customHeight="1" x14ac:dyDescent="0.25">
      <c r="A444" s="14">
        <v>1001964</v>
      </c>
      <c r="B444" s="14" t="s">
        <v>2034</v>
      </c>
      <c r="D444" s="14" t="s">
        <v>301</v>
      </c>
    </row>
    <row r="445" spans="1:4" ht="15.75" customHeight="1" x14ac:dyDescent="0.25">
      <c r="A445" s="14">
        <v>1002342</v>
      </c>
      <c r="B445" s="14" t="s">
        <v>2035</v>
      </c>
      <c r="D445" s="14" t="s">
        <v>301</v>
      </c>
    </row>
    <row r="446" spans="1:4" ht="15.75" customHeight="1" x14ac:dyDescent="0.25">
      <c r="A446" s="14">
        <v>1002343</v>
      </c>
      <c r="B446" s="14" t="s">
        <v>2036</v>
      </c>
      <c r="D446" s="14" t="s">
        <v>301</v>
      </c>
    </row>
    <row r="447" spans="1:4" ht="15.75" customHeight="1" x14ac:dyDescent="0.25">
      <c r="A447" s="14">
        <v>1002345</v>
      </c>
      <c r="B447" s="14" t="s">
        <v>2037</v>
      </c>
      <c r="D447" s="14" t="s">
        <v>301</v>
      </c>
    </row>
    <row r="448" spans="1:4" ht="15.75" customHeight="1" x14ac:dyDescent="0.25">
      <c r="A448" s="14">
        <v>1002346</v>
      </c>
      <c r="B448" s="14" t="s">
        <v>2038</v>
      </c>
      <c r="D448" s="14" t="s">
        <v>301</v>
      </c>
    </row>
    <row r="449" spans="1:4" ht="15.75" customHeight="1" x14ac:dyDescent="0.25">
      <c r="A449" s="14" t="s">
        <v>2039</v>
      </c>
      <c r="B449" s="14" t="s">
        <v>2040</v>
      </c>
      <c r="D449" s="14" t="s">
        <v>301</v>
      </c>
    </row>
    <row r="450" spans="1:4" ht="15.75" customHeight="1" x14ac:dyDescent="0.25">
      <c r="A450" s="14">
        <v>254341</v>
      </c>
      <c r="B450" s="14" t="s">
        <v>2041</v>
      </c>
      <c r="D450" s="14" t="s">
        <v>301</v>
      </c>
    </row>
    <row r="451" spans="1:4" ht="15.75" customHeight="1" x14ac:dyDescent="0.25">
      <c r="A451" s="14" t="s">
        <v>2042</v>
      </c>
      <c r="B451" s="14" t="s">
        <v>2043</v>
      </c>
      <c r="D451" s="14" t="s">
        <v>301</v>
      </c>
    </row>
    <row r="452" spans="1:4" ht="15.75" customHeight="1" x14ac:dyDescent="0.25">
      <c r="A452" s="14">
        <v>254712</v>
      </c>
      <c r="B452" s="14" t="s">
        <v>2044</v>
      </c>
      <c r="D452" s="14" t="s">
        <v>301</v>
      </c>
    </row>
    <row r="453" spans="1:4" ht="15.75" customHeight="1" x14ac:dyDescent="0.25">
      <c r="A453" s="14" t="s">
        <v>2045</v>
      </c>
      <c r="B453" s="14" t="s">
        <v>2046</v>
      </c>
      <c r="D453" s="14" t="s">
        <v>301</v>
      </c>
    </row>
    <row r="454" spans="1:4" ht="15.75" customHeight="1" x14ac:dyDescent="0.25">
      <c r="A454" s="14">
        <v>1006890</v>
      </c>
      <c r="B454" s="14" t="s">
        <v>2047</v>
      </c>
      <c r="D454" s="14" t="s">
        <v>301</v>
      </c>
    </row>
    <row r="455" spans="1:4" ht="15.75" customHeight="1" x14ac:dyDescent="0.25">
      <c r="A455" s="14">
        <v>1002012</v>
      </c>
      <c r="B455" s="14" t="s">
        <v>2048</v>
      </c>
      <c r="D455" s="14" t="s">
        <v>301</v>
      </c>
    </row>
    <row r="456" spans="1:4" ht="15.75" customHeight="1" x14ac:dyDescent="0.25">
      <c r="A456" s="14">
        <v>1000831</v>
      </c>
      <c r="B456" s="14" t="s">
        <v>2049</v>
      </c>
      <c r="D456" s="14" t="s">
        <v>301</v>
      </c>
    </row>
    <row r="457" spans="1:4" ht="15.75" customHeight="1" x14ac:dyDescent="0.25">
      <c r="A457" s="14">
        <v>1000832</v>
      </c>
      <c r="B457" s="14" t="s">
        <v>2050</v>
      </c>
      <c r="D457" s="14" t="s">
        <v>301</v>
      </c>
    </row>
    <row r="458" spans="1:4" ht="15.75" customHeight="1" x14ac:dyDescent="0.25">
      <c r="A458" s="14">
        <v>1000833</v>
      </c>
      <c r="B458" s="14" t="s">
        <v>2051</v>
      </c>
      <c r="D458" s="14" t="s">
        <v>301</v>
      </c>
    </row>
    <row r="459" spans="1:4" ht="15.75" customHeight="1" x14ac:dyDescent="0.25">
      <c r="A459" s="14">
        <v>1000835</v>
      </c>
      <c r="B459" s="14" t="s">
        <v>2052</v>
      </c>
      <c r="D459" s="14" t="s">
        <v>301</v>
      </c>
    </row>
    <row r="460" spans="1:4" ht="15.75" customHeight="1" x14ac:dyDescent="0.25">
      <c r="A460" s="14">
        <v>1000830</v>
      </c>
      <c r="B460" s="14" t="s">
        <v>2053</v>
      </c>
      <c r="D460" s="14" t="s">
        <v>301</v>
      </c>
    </row>
    <row r="461" spans="1:4" ht="15.75" customHeight="1" x14ac:dyDescent="0.25">
      <c r="A461" s="14">
        <v>1000165</v>
      </c>
      <c r="B461" s="14" t="s">
        <v>2054</v>
      </c>
      <c r="D461" s="14" t="s">
        <v>301</v>
      </c>
    </row>
    <row r="462" spans="1:4" ht="15.75" customHeight="1" x14ac:dyDescent="0.25">
      <c r="A462" s="14">
        <v>1000166</v>
      </c>
      <c r="B462" s="14" t="s">
        <v>2055</v>
      </c>
      <c r="D462" s="14" t="s">
        <v>301</v>
      </c>
    </row>
    <row r="463" spans="1:4" ht="15.75" customHeight="1" x14ac:dyDescent="0.25">
      <c r="A463" s="14">
        <v>1006833</v>
      </c>
      <c r="B463" s="14" t="s">
        <v>401</v>
      </c>
      <c r="D463" s="14" t="s">
        <v>301</v>
      </c>
    </row>
    <row r="464" spans="1:4" ht="15.75" customHeight="1" x14ac:dyDescent="0.25">
      <c r="A464" s="14">
        <v>1006842</v>
      </c>
      <c r="B464" s="14" t="s">
        <v>2056</v>
      </c>
      <c r="D464" s="14" t="s">
        <v>301</v>
      </c>
    </row>
    <row r="465" spans="1:4" ht="15.75" customHeight="1" x14ac:dyDescent="0.25">
      <c r="A465" s="14">
        <v>1006850</v>
      </c>
      <c r="B465" s="14" t="s">
        <v>402</v>
      </c>
      <c r="D465" s="14" t="s">
        <v>301</v>
      </c>
    </row>
    <row r="466" spans="1:4" ht="15.75" customHeight="1" x14ac:dyDescent="0.25">
      <c r="A466" s="14">
        <v>100120</v>
      </c>
      <c r="B466" s="14" t="s">
        <v>403</v>
      </c>
      <c r="D466" s="14" t="s">
        <v>301</v>
      </c>
    </row>
    <row r="467" spans="1:4" ht="15.75" customHeight="1" x14ac:dyDescent="0.25">
      <c r="A467" s="14">
        <v>1000528</v>
      </c>
      <c r="B467" s="14" t="s">
        <v>2057</v>
      </c>
      <c r="D467" s="14" t="s">
        <v>301</v>
      </c>
    </row>
    <row r="468" spans="1:4" ht="15.75" customHeight="1" x14ac:dyDescent="0.25">
      <c r="A468" s="14">
        <v>1000529</v>
      </c>
      <c r="B468" s="14" t="s">
        <v>2058</v>
      </c>
      <c r="D468" s="14" t="s">
        <v>301</v>
      </c>
    </row>
    <row r="469" spans="1:4" ht="15.75" customHeight="1" x14ac:dyDescent="0.25">
      <c r="A469" s="14">
        <v>1000532</v>
      </c>
      <c r="B469" s="14" t="s">
        <v>2059</v>
      </c>
      <c r="D469" s="14" t="s">
        <v>301</v>
      </c>
    </row>
    <row r="470" spans="1:4" ht="15.75" customHeight="1" x14ac:dyDescent="0.25">
      <c r="A470" s="14">
        <v>1006835</v>
      </c>
      <c r="B470" s="14" t="s">
        <v>404</v>
      </c>
      <c r="D470" s="14" t="s">
        <v>301</v>
      </c>
    </row>
    <row r="471" spans="1:4" ht="15.75" customHeight="1" x14ac:dyDescent="0.25">
      <c r="A471" s="14">
        <v>1006836</v>
      </c>
      <c r="B471" s="14" t="s">
        <v>405</v>
      </c>
      <c r="D471" s="14" t="s">
        <v>301</v>
      </c>
    </row>
    <row r="472" spans="1:4" ht="15.75" customHeight="1" x14ac:dyDescent="0.25">
      <c r="A472" s="14">
        <v>1006837</v>
      </c>
      <c r="B472" s="14" t="s">
        <v>406</v>
      </c>
      <c r="D472" s="14" t="s">
        <v>301</v>
      </c>
    </row>
    <row r="473" spans="1:4" ht="15.75" customHeight="1" x14ac:dyDescent="0.25">
      <c r="A473" s="14">
        <v>1006838</v>
      </c>
      <c r="B473" s="14" t="s">
        <v>407</v>
      </c>
      <c r="D473" s="14" t="s">
        <v>301</v>
      </c>
    </row>
    <row r="474" spans="1:4" ht="15.75" customHeight="1" x14ac:dyDescent="0.25">
      <c r="A474" s="14">
        <v>1006827</v>
      </c>
      <c r="B474" s="14" t="s">
        <v>408</v>
      </c>
      <c r="D474" s="14" t="s">
        <v>301</v>
      </c>
    </row>
    <row r="475" spans="1:4" ht="15.75" customHeight="1" x14ac:dyDescent="0.25">
      <c r="A475" s="14">
        <v>1006828</v>
      </c>
      <c r="B475" s="14" t="s">
        <v>409</v>
      </c>
      <c r="D475" s="14" t="s">
        <v>301</v>
      </c>
    </row>
    <row r="476" spans="1:4" ht="15.75" customHeight="1" x14ac:dyDescent="0.25">
      <c r="A476" s="14">
        <v>1002103</v>
      </c>
      <c r="B476" s="14" t="s">
        <v>410</v>
      </c>
      <c r="D476" s="14" t="s">
        <v>301</v>
      </c>
    </row>
    <row r="477" spans="1:4" ht="15.75" customHeight="1" x14ac:dyDescent="0.25">
      <c r="A477" s="14">
        <v>1006839</v>
      </c>
      <c r="B477" s="14" t="s">
        <v>417</v>
      </c>
      <c r="D477" s="14" t="s">
        <v>301</v>
      </c>
    </row>
    <row r="478" spans="1:4" ht="15.75" customHeight="1" x14ac:dyDescent="0.25">
      <c r="A478" s="14">
        <v>1001677</v>
      </c>
      <c r="B478" s="14" t="s">
        <v>418</v>
      </c>
      <c r="D478" s="14" t="s">
        <v>301</v>
      </c>
    </row>
    <row r="479" spans="1:4" ht="15.75" customHeight="1" x14ac:dyDescent="0.25">
      <c r="A479" s="14">
        <v>1006950</v>
      </c>
      <c r="B479" s="14" t="s">
        <v>419</v>
      </c>
      <c r="D479" s="14" t="s">
        <v>301</v>
      </c>
    </row>
    <row r="480" spans="1:4" ht="15.75" customHeight="1" x14ac:dyDescent="0.25">
      <c r="A480" s="14">
        <v>1001676</v>
      </c>
      <c r="B480" s="14" t="s">
        <v>421</v>
      </c>
      <c r="D480" s="14" t="s">
        <v>301</v>
      </c>
    </row>
    <row r="481" spans="1:4" ht="15.75" customHeight="1" x14ac:dyDescent="0.25">
      <c r="A481" s="14">
        <v>1006831</v>
      </c>
      <c r="B481" s="14" t="s">
        <v>421</v>
      </c>
      <c r="D481" s="14" t="s">
        <v>301</v>
      </c>
    </row>
    <row r="482" spans="1:4" ht="15.75" customHeight="1" x14ac:dyDescent="0.25">
      <c r="A482" s="14">
        <v>1006832</v>
      </c>
      <c r="B482" s="14" t="s">
        <v>422</v>
      </c>
      <c r="D482" s="14" t="s">
        <v>301</v>
      </c>
    </row>
    <row r="483" spans="1:4" ht="15.75" customHeight="1" x14ac:dyDescent="0.25">
      <c r="A483" s="14">
        <v>1000839</v>
      </c>
      <c r="B483" s="14" t="s">
        <v>694</v>
      </c>
      <c r="D483" s="14" t="s">
        <v>301</v>
      </c>
    </row>
    <row r="484" spans="1:4" ht="15.75" customHeight="1" x14ac:dyDescent="0.25">
      <c r="A484" s="14">
        <v>1006834</v>
      </c>
      <c r="B484" s="14" t="s">
        <v>2060</v>
      </c>
      <c r="D484" s="14" t="s">
        <v>301</v>
      </c>
    </row>
    <row r="485" spans="1:4" ht="15.75" customHeight="1" x14ac:dyDescent="0.25">
      <c r="A485" s="14">
        <v>1006952</v>
      </c>
      <c r="B485" s="14" t="s">
        <v>424</v>
      </c>
      <c r="D485" s="14" t="s">
        <v>301</v>
      </c>
    </row>
    <row r="486" spans="1:4" ht="15.75" customHeight="1" x14ac:dyDescent="0.25">
      <c r="A486" s="14">
        <v>1000174</v>
      </c>
      <c r="B486" s="14" t="s">
        <v>426</v>
      </c>
      <c r="D486" s="14" t="s">
        <v>301</v>
      </c>
    </row>
    <row r="487" spans="1:4" ht="15.75" customHeight="1" x14ac:dyDescent="0.25">
      <c r="A487" s="14">
        <v>1000175</v>
      </c>
      <c r="B487" s="14" t="s">
        <v>700</v>
      </c>
      <c r="D487" s="14" t="s">
        <v>301</v>
      </c>
    </row>
    <row r="488" spans="1:4" ht="15.75" customHeight="1" x14ac:dyDescent="0.25">
      <c r="A488" s="14">
        <v>1006843</v>
      </c>
      <c r="B488" s="14" t="s">
        <v>427</v>
      </c>
      <c r="D488" s="14" t="s">
        <v>301</v>
      </c>
    </row>
    <row r="489" spans="1:4" ht="15.75" customHeight="1" x14ac:dyDescent="0.25">
      <c r="A489" s="14">
        <v>1006844</v>
      </c>
      <c r="B489" s="14" t="s">
        <v>428</v>
      </c>
      <c r="D489" s="14" t="s">
        <v>301</v>
      </c>
    </row>
    <row r="490" spans="1:4" ht="15.75" customHeight="1" x14ac:dyDescent="0.25">
      <c r="A490" s="14">
        <v>1006845</v>
      </c>
      <c r="B490" s="14" t="s">
        <v>429</v>
      </c>
      <c r="D490" s="14" t="s">
        <v>301</v>
      </c>
    </row>
    <row r="491" spans="1:4" ht="15.75" customHeight="1" x14ac:dyDescent="0.25">
      <c r="A491" s="14">
        <v>1001788</v>
      </c>
      <c r="B491" s="14" t="s">
        <v>709</v>
      </c>
      <c r="D491" s="14" t="s">
        <v>301</v>
      </c>
    </row>
    <row r="492" spans="1:4" ht="15.75" customHeight="1" x14ac:dyDescent="0.25">
      <c r="A492" s="14">
        <v>1006846</v>
      </c>
      <c r="B492" s="14" t="s">
        <v>430</v>
      </c>
      <c r="D492" s="14" t="s">
        <v>301</v>
      </c>
    </row>
    <row r="493" spans="1:4" ht="15.75" customHeight="1" x14ac:dyDescent="0.25">
      <c r="A493" s="14">
        <v>100879</v>
      </c>
      <c r="B493" s="14" t="s">
        <v>432</v>
      </c>
      <c r="D493" s="14" t="s">
        <v>301</v>
      </c>
    </row>
    <row r="494" spans="1:4" ht="15.75" customHeight="1" x14ac:dyDescent="0.25">
      <c r="A494" s="14">
        <v>1002283</v>
      </c>
      <c r="B494" s="14" t="s">
        <v>2061</v>
      </c>
      <c r="D494" s="14" t="s">
        <v>301</v>
      </c>
    </row>
    <row r="495" spans="1:4" ht="15.75" customHeight="1" x14ac:dyDescent="0.25">
      <c r="A495" s="14">
        <v>1006847</v>
      </c>
      <c r="B495" s="14" t="s">
        <v>434</v>
      </c>
      <c r="D495" s="14" t="s">
        <v>301</v>
      </c>
    </row>
    <row r="496" spans="1:4" ht="15.75" customHeight="1" x14ac:dyDescent="0.25">
      <c r="A496" s="14">
        <v>1006848</v>
      </c>
      <c r="B496" s="14" t="s">
        <v>435</v>
      </c>
      <c r="D496" s="14" t="s">
        <v>301</v>
      </c>
    </row>
    <row r="497" spans="1:4" ht="15.75" customHeight="1" x14ac:dyDescent="0.25">
      <c r="A497" s="14">
        <v>1006849</v>
      </c>
      <c r="B497" s="14" t="s">
        <v>436</v>
      </c>
      <c r="D497" s="14" t="s">
        <v>301</v>
      </c>
    </row>
    <row r="498" spans="1:4" ht="15.75" customHeight="1" x14ac:dyDescent="0.25">
      <c r="A498" s="14">
        <v>1001787</v>
      </c>
      <c r="B498" s="14" t="s">
        <v>437</v>
      </c>
      <c r="D498" s="14" t="s">
        <v>301</v>
      </c>
    </row>
    <row r="499" spans="1:4" ht="15.75" customHeight="1" x14ac:dyDescent="0.25">
      <c r="A499" s="14">
        <v>1002334</v>
      </c>
      <c r="B499" s="14" t="s">
        <v>438</v>
      </c>
      <c r="D499" s="14" t="s">
        <v>301</v>
      </c>
    </row>
    <row r="500" spans="1:4" ht="15.75" customHeight="1" x14ac:dyDescent="0.25">
      <c r="A500" s="14">
        <v>1002355</v>
      </c>
      <c r="B500" s="14" t="s">
        <v>2062</v>
      </c>
      <c r="D500" s="14" t="s">
        <v>301</v>
      </c>
    </row>
    <row r="501" spans="1:4" ht="15.75" customHeight="1" x14ac:dyDescent="0.25">
      <c r="A501" s="14">
        <v>1002326</v>
      </c>
      <c r="B501" s="14" t="s">
        <v>2063</v>
      </c>
      <c r="D501" s="14" t="s">
        <v>301</v>
      </c>
    </row>
    <row r="502" spans="1:4" ht="15.75" customHeight="1" x14ac:dyDescent="0.25">
      <c r="A502" s="14">
        <v>9000020</v>
      </c>
      <c r="B502" s="14" t="s">
        <v>144</v>
      </c>
      <c r="D502" s="14" t="s">
        <v>301</v>
      </c>
    </row>
    <row r="503" spans="1:4" ht="15.75" customHeight="1" x14ac:dyDescent="0.25">
      <c r="A503" s="14">
        <v>30001276</v>
      </c>
      <c r="B503" s="14" t="s">
        <v>733</v>
      </c>
      <c r="D503" s="14" t="s">
        <v>301</v>
      </c>
    </row>
    <row r="504" spans="1:4" ht="15.75" customHeight="1" x14ac:dyDescent="0.25">
      <c r="A504" s="14">
        <v>30001280</v>
      </c>
      <c r="B504" s="14" t="s">
        <v>439</v>
      </c>
      <c r="D504" s="14" t="s">
        <v>301</v>
      </c>
    </row>
    <row r="505" spans="1:4" ht="15.75" customHeight="1" x14ac:dyDescent="0.25">
      <c r="A505" s="14">
        <v>9000059</v>
      </c>
      <c r="B505" s="14" t="s">
        <v>736</v>
      </c>
      <c r="D505" s="14" t="s">
        <v>301</v>
      </c>
    </row>
    <row r="506" spans="1:4" ht="15.75" customHeight="1" x14ac:dyDescent="0.25">
      <c r="A506" s="14">
        <v>1001031</v>
      </c>
      <c r="B506" s="14" t="s">
        <v>2064</v>
      </c>
      <c r="D506" s="14" t="s">
        <v>301</v>
      </c>
    </row>
    <row r="507" spans="1:4" ht="15.75" customHeight="1" x14ac:dyDescent="0.25">
      <c r="A507" s="14">
        <v>252123</v>
      </c>
      <c r="B507" s="14" t="s">
        <v>2065</v>
      </c>
      <c r="D507" s="14" t="s">
        <v>301</v>
      </c>
    </row>
    <row r="508" spans="1:4" ht="15.75" customHeight="1" x14ac:dyDescent="0.25">
      <c r="A508" s="14">
        <v>252130</v>
      </c>
      <c r="B508" s="14" t="s">
        <v>2066</v>
      </c>
      <c r="D508" s="14" t="s">
        <v>301</v>
      </c>
    </row>
    <row r="509" spans="1:4" ht="15.75" customHeight="1" x14ac:dyDescent="0.25">
      <c r="A509" s="14">
        <v>252159</v>
      </c>
      <c r="B509" s="14" t="s">
        <v>2067</v>
      </c>
      <c r="D509" s="14" t="s">
        <v>301</v>
      </c>
    </row>
    <row r="510" spans="1:4" ht="15.75" customHeight="1" x14ac:dyDescent="0.25">
      <c r="A510" s="14">
        <v>251849</v>
      </c>
      <c r="B510" s="14" t="s">
        <v>2068</v>
      </c>
      <c r="D510" s="14" t="s">
        <v>301</v>
      </c>
    </row>
    <row r="511" spans="1:4" ht="15.75" customHeight="1" x14ac:dyDescent="0.25">
      <c r="A511" s="14">
        <v>22057620</v>
      </c>
      <c r="B511" s="14" t="s">
        <v>2069</v>
      </c>
      <c r="D511" s="14" t="s">
        <v>301</v>
      </c>
    </row>
    <row r="512" spans="1:4" ht="15.75" customHeight="1" x14ac:dyDescent="0.25">
      <c r="A512" s="14">
        <v>252129</v>
      </c>
      <c r="B512" s="14" t="s">
        <v>2070</v>
      </c>
      <c r="D512" s="14" t="s">
        <v>301</v>
      </c>
    </row>
    <row r="513" spans="1:4" ht="15.75" customHeight="1" x14ac:dyDescent="0.25">
      <c r="A513" s="14">
        <v>252132</v>
      </c>
      <c r="B513" s="14" t="s">
        <v>2071</v>
      </c>
      <c r="D513" s="14" t="s">
        <v>301</v>
      </c>
    </row>
    <row r="514" spans="1:4" ht="15.75" customHeight="1" x14ac:dyDescent="0.25">
      <c r="A514" s="14">
        <v>22026158</v>
      </c>
      <c r="B514" s="14" t="s">
        <v>2072</v>
      </c>
      <c r="D514" s="14" t="s">
        <v>301</v>
      </c>
    </row>
    <row r="515" spans="1:4" ht="15.75" customHeight="1" x14ac:dyDescent="0.25">
      <c r="A515" s="14">
        <v>30033099</v>
      </c>
      <c r="B515" s="14" t="s">
        <v>2073</v>
      </c>
      <c r="D515" s="14" t="s">
        <v>301</v>
      </c>
    </row>
    <row r="516" spans="1:4" ht="15.75" customHeight="1" x14ac:dyDescent="0.25">
      <c r="A516" s="14">
        <v>252134</v>
      </c>
      <c r="B516" s="14" t="s">
        <v>2073</v>
      </c>
      <c r="D516" s="14" t="s">
        <v>301</v>
      </c>
    </row>
    <row r="517" spans="1:4" ht="15.75" customHeight="1" x14ac:dyDescent="0.25">
      <c r="A517" s="14">
        <v>252135</v>
      </c>
      <c r="B517" s="14" t="s">
        <v>2074</v>
      </c>
      <c r="D517" s="14" t="s">
        <v>301</v>
      </c>
    </row>
    <row r="518" spans="1:4" ht="15.75" customHeight="1" x14ac:dyDescent="0.25">
      <c r="A518" s="14">
        <v>30033093</v>
      </c>
      <c r="B518" s="14" t="s">
        <v>2075</v>
      </c>
      <c r="D518" s="14" t="s">
        <v>301</v>
      </c>
    </row>
    <row r="519" spans="1:4" ht="15.75" customHeight="1" x14ac:dyDescent="0.25">
      <c r="A519" s="14">
        <v>252157</v>
      </c>
      <c r="B519" s="14" t="s">
        <v>2076</v>
      </c>
      <c r="D519" s="14" t="s">
        <v>301</v>
      </c>
    </row>
    <row r="520" spans="1:4" ht="15.75" customHeight="1" x14ac:dyDescent="0.25">
      <c r="A520" s="14">
        <v>30033109</v>
      </c>
      <c r="B520" s="14" t="s">
        <v>2077</v>
      </c>
      <c r="D520" s="14" t="s">
        <v>301</v>
      </c>
    </row>
    <row r="521" spans="1:4" ht="15.75" customHeight="1" x14ac:dyDescent="0.25">
      <c r="A521" s="14">
        <v>252138</v>
      </c>
      <c r="B521" s="14" t="s">
        <v>2078</v>
      </c>
      <c r="D521" s="14" t="s">
        <v>301</v>
      </c>
    </row>
    <row r="522" spans="1:4" ht="15.75" customHeight="1" x14ac:dyDescent="0.25">
      <c r="A522" s="14">
        <v>251839</v>
      </c>
      <c r="B522" s="14" t="s">
        <v>2079</v>
      </c>
      <c r="D522" s="14" t="s">
        <v>301</v>
      </c>
    </row>
    <row r="523" spans="1:4" ht="15.75" customHeight="1" x14ac:dyDescent="0.25">
      <c r="A523" s="14">
        <v>22025673</v>
      </c>
      <c r="B523" s="14" t="s">
        <v>2080</v>
      </c>
      <c r="D523" s="14" t="s">
        <v>301</v>
      </c>
    </row>
    <row r="524" spans="1:4" ht="15.75" customHeight="1" x14ac:dyDescent="0.25">
      <c r="A524" s="14">
        <v>251883</v>
      </c>
      <c r="B524" s="14" t="s">
        <v>2081</v>
      </c>
      <c r="D524" s="14" t="s">
        <v>301</v>
      </c>
    </row>
    <row r="525" spans="1:4" ht="15.75" customHeight="1" x14ac:dyDescent="0.25">
      <c r="A525" s="14">
        <v>22025963</v>
      </c>
      <c r="B525" s="14" t="s">
        <v>2081</v>
      </c>
      <c r="D525" s="14" t="s">
        <v>301</v>
      </c>
    </row>
    <row r="526" spans="1:4" ht="15.75" customHeight="1" x14ac:dyDescent="0.25">
      <c r="A526" s="14">
        <v>22057330</v>
      </c>
      <c r="B526" s="14" t="s">
        <v>2082</v>
      </c>
      <c r="D526" s="14" t="s">
        <v>301</v>
      </c>
    </row>
    <row r="527" spans="1:4" ht="15.75" customHeight="1" x14ac:dyDescent="0.25">
      <c r="A527" s="14">
        <v>252128</v>
      </c>
      <c r="B527" s="14" t="s">
        <v>2082</v>
      </c>
      <c r="D527" s="14" t="s">
        <v>301</v>
      </c>
    </row>
    <row r="528" spans="1:4" ht="15.75" customHeight="1" x14ac:dyDescent="0.25">
      <c r="A528" s="14">
        <v>30033185</v>
      </c>
      <c r="B528" s="14" t="s">
        <v>2083</v>
      </c>
      <c r="D528" s="14" t="s">
        <v>301</v>
      </c>
    </row>
    <row r="529" spans="1:4" ht="15.75" customHeight="1" x14ac:dyDescent="0.25">
      <c r="A529" s="14">
        <v>22026147</v>
      </c>
      <c r="B529" s="14" t="s">
        <v>2084</v>
      </c>
      <c r="D529" s="14" t="s">
        <v>301</v>
      </c>
    </row>
    <row r="530" spans="1:4" ht="15.75" customHeight="1" x14ac:dyDescent="0.25">
      <c r="A530" s="14">
        <v>22026189</v>
      </c>
      <c r="B530" s="14" t="s">
        <v>2085</v>
      </c>
      <c r="D530" s="14" t="s">
        <v>301</v>
      </c>
    </row>
    <row r="531" spans="1:4" ht="15.75" customHeight="1" x14ac:dyDescent="0.25">
      <c r="A531" s="14">
        <v>253071</v>
      </c>
      <c r="B531" s="14" t="s">
        <v>2086</v>
      </c>
      <c r="D531" s="14" t="s">
        <v>301</v>
      </c>
    </row>
    <row r="532" spans="1:4" ht="15.75" customHeight="1" x14ac:dyDescent="0.25">
      <c r="A532" s="14">
        <v>254066</v>
      </c>
      <c r="B532" s="14" t="s">
        <v>2087</v>
      </c>
      <c r="D532" s="14" t="s">
        <v>301</v>
      </c>
    </row>
    <row r="533" spans="1:4" ht="15.75" customHeight="1" x14ac:dyDescent="0.25">
      <c r="A533" s="14">
        <v>251862</v>
      </c>
      <c r="B533" s="14" t="s">
        <v>2088</v>
      </c>
      <c r="D533" s="14" t="s">
        <v>301</v>
      </c>
    </row>
    <row r="534" spans="1:4" ht="15.75" customHeight="1" x14ac:dyDescent="0.25">
      <c r="A534" s="14">
        <v>22062363</v>
      </c>
      <c r="B534" s="14" t="s">
        <v>2089</v>
      </c>
      <c r="D534" s="14" t="s">
        <v>301</v>
      </c>
    </row>
    <row r="535" spans="1:4" ht="15.75" customHeight="1" x14ac:dyDescent="0.25">
      <c r="A535" s="14">
        <v>254491</v>
      </c>
      <c r="B535" s="14" t="s">
        <v>2090</v>
      </c>
      <c r="D535" s="14" t="s">
        <v>301</v>
      </c>
    </row>
    <row r="536" spans="1:4" ht="15.75" customHeight="1" x14ac:dyDescent="0.25">
      <c r="A536" s="14">
        <v>22064688</v>
      </c>
      <c r="B536" s="14" t="s">
        <v>2091</v>
      </c>
      <c r="D536" s="14" t="s">
        <v>301</v>
      </c>
    </row>
    <row r="537" spans="1:4" ht="15.75" customHeight="1" x14ac:dyDescent="0.25">
      <c r="A537" s="14">
        <v>254028</v>
      </c>
      <c r="B537" s="14" t="s">
        <v>2092</v>
      </c>
      <c r="D537" s="14" t="s">
        <v>301</v>
      </c>
    </row>
    <row r="538" spans="1:4" ht="15.75" customHeight="1" x14ac:dyDescent="0.25">
      <c r="A538" s="14">
        <v>22066730</v>
      </c>
      <c r="B538" s="14" t="s">
        <v>2093</v>
      </c>
      <c r="D538" s="14" t="s">
        <v>301</v>
      </c>
    </row>
    <row r="539" spans="1:4" ht="15.75" customHeight="1" x14ac:dyDescent="0.25">
      <c r="A539" s="14">
        <v>1006928</v>
      </c>
      <c r="B539" s="14" t="s">
        <v>2094</v>
      </c>
      <c r="D539" s="14" t="s">
        <v>301</v>
      </c>
    </row>
    <row r="540" spans="1:4" ht="15.75" customHeight="1" x14ac:dyDescent="0.25">
      <c r="A540" s="14">
        <v>1001282</v>
      </c>
      <c r="B540" s="14" t="s">
        <v>272</v>
      </c>
      <c r="D540" s="14" t="s">
        <v>301</v>
      </c>
    </row>
    <row r="541" spans="1:4" ht="15.75" customHeight="1" x14ac:dyDescent="0.25">
      <c r="A541" s="14">
        <v>201347</v>
      </c>
      <c r="B541" s="14" t="s">
        <v>2095</v>
      </c>
      <c r="D541" s="14" t="s">
        <v>301</v>
      </c>
    </row>
    <row r="542" spans="1:4" ht="15.75" customHeight="1" x14ac:dyDescent="0.25">
      <c r="A542" s="14">
        <v>200476</v>
      </c>
      <c r="B542" s="14" t="s">
        <v>2096</v>
      </c>
      <c r="D542" s="14" t="s">
        <v>301</v>
      </c>
    </row>
    <row r="543" spans="1:4" ht="15.75" customHeight="1" x14ac:dyDescent="0.25">
      <c r="A543" s="14">
        <v>30034266</v>
      </c>
      <c r="B543" s="14" t="s">
        <v>2097</v>
      </c>
      <c r="D543" s="14" t="s">
        <v>301</v>
      </c>
    </row>
    <row r="544" spans="1:4" ht="15.75" customHeight="1" x14ac:dyDescent="0.25">
      <c r="A544" s="14">
        <v>22062251</v>
      </c>
      <c r="B544" s="14" t="s">
        <v>2098</v>
      </c>
      <c r="D544" s="14" t="s">
        <v>301</v>
      </c>
    </row>
    <row r="545" spans="1:4" ht="15.75" customHeight="1" x14ac:dyDescent="0.25">
      <c r="A545" s="14">
        <v>254355</v>
      </c>
      <c r="B545" s="14" t="s">
        <v>2099</v>
      </c>
      <c r="D545" s="14" t="s">
        <v>301</v>
      </c>
    </row>
    <row r="546" spans="1:4" ht="15.75" customHeight="1" x14ac:dyDescent="0.25">
      <c r="A546" s="14">
        <v>30034007</v>
      </c>
      <c r="B546" s="14" t="s">
        <v>2100</v>
      </c>
      <c r="D546" s="14" t="s">
        <v>301</v>
      </c>
    </row>
    <row r="547" spans="1:4" ht="15.75" customHeight="1" x14ac:dyDescent="0.25">
      <c r="A547" s="14">
        <v>254014</v>
      </c>
      <c r="B547" s="14" t="s">
        <v>2100</v>
      </c>
      <c r="D547" s="14" t="s">
        <v>301</v>
      </c>
    </row>
    <row r="548" spans="1:4" ht="15.75" customHeight="1" x14ac:dyDescent="0.25">
      <c r="A548" s="14">
        <v>254609</v>
      </c>
      <c r="B548" s="14" t="s">
        <v>2101</v>
      </c>
      <c r="D548" s="14" t="s">
        <v>301</v>
      </c>
    </row>
    <row r="549" spans="1:4" ht="15.75" customHeight="1" x14ac:dyDescent="0.25">
      <c r="A549" s="14">
        <v>1006869</v>
      </c>
      <c r="B549" s="14" t="s">
        <v>2102</v>
      </c>
      <c r="D549" s="14" t="s">
        <v>301</v>
      </c>
    </row>
    <row r="550" spans="1:4" ht="15.75" customHeight="1" x14ac:dyDescent="0.25">
      <c r="A550" s="14">
        <v>1001223</v>
      </c>
      <c r="B550" s="14" t="s">
        <v>2103</v>
      </c>
      <c r="D550" s="14" t="s">
        <v>301</v>
      </c>
    </row>
    <row r="551" spans="1:4" ht="15.75" customHeight="1" x14ac:dyDescent="0.25">
      <c r="A551" s="14">
        <v>252311</v>
      </c>
      <c r="B551" s="14" t="s">
        <v>2104</v>
      </c>
      <c r="D551" s="14" t="s">
        <v>301</v>
      </c>
    </row>
    <row r="552" spans="1:4" ht="15.75" customHeight="1" x14ac:dyDescent="0.25">
      <c r="A552" s="14">
        <v>1002163</v>
      </c>
      <c r="B552" s="14" t="s">
        <v>2105</v>
      </c>
      <c r="D552" s="14" t="s">
        <v>301</v>
      </c>
    </row>
    <row r="553" spans="1:4" ht="15.75" customHeight="1" x14ac:dyDescent="0.25">
      <c r="A553" s="14">
        <v>1006918</v>
      </c>
      <c r="B553" s="14" t="s">
        <v>2106</v>
      </c>
      <c r="D553" s="14" t="s">
        <v>301</v>
      </c>
    </row>
    <row r="554" spans="1:4" ht="15.75" customHeight="1" x14ac:dyDescent="0.25">
      <c r="A554" s="14">
        <v>252732</v>
      </c>
      <c r="B554" s="14" t="s">
        <v>2107</v>
      </c>
      <c r="D554" s="14" t="s">
        <v>301</v>
      </c>
    </row>
    <row r="555" spans="1:4" ht="15.75" customHeight="1" x14ac:dyDescent="0.25">
      <c r="A555" s="14">
        <v>30035002</v>
      </c>
      <c r="B555" s="14" t="s">
        <v>2108</v>
      </c>
      <c r="D555" s="14" t="s">
        <v>301</v>
      </c>
    </row>
    <row r="556" spans="1:4" ht="15.75" customHeight="1" x14ac:dyDescent="0.25">
      <c r="A556" s="14">
        <v>252731</v>
      </c>
      <c r="B556" s="14" t="s">
        <v>2109</v>
      </c>
      <c r="D556" s="14" t="s">
        <v>301</v>
      </c>
    </row>
    <row r="557" spans="1:4" ht="15.75" customHeight="1" x14ac:dyDescent="0.25">
      <c r="A557" s="14">
        <v>30035100</v>
      </c>
      <c r="B557" s="14" t="s">
        <v>2110</v>
      </c>
      <c r="D557" s="14" t="s">
        <v>301</v>
      </c>
    </row>
    <row r="558" spans="1:4" ht="15.75" customHeight="1" x14ac:dyDescent="0.25">
      <c r="A558" s="14">
        <v>252745</v>
      </c>
      <c r="B558" s="14" t="s">
        <v>2111</v>
      </c>
      <c r="D558" s="14" t="s">
        <v>301</v>
      </c>
    </row>
    <row r="559" spans="1:4" ht="15.75" customHeight="1" x14ac:dyDescent="0.25">
      <c r="A559" s="14">
        <v>30035024</v>
      </c>
      <c r="B559" s="14" t="s">
        <v>2112</v>
      </c>
      <c r="D559" s="14" t="s">
        <v>301</v>
      </c>
    </row>
    <row r="560" spans="1:4" ht="15.75" customHeight="1" x14ac:dyDescent="0.25">
      <c r="A560" s="14">
        <v>30035023</v>
      </c>
      <c r="B560" s="14" t="s">
        <v>2113</v>
      </c>
      <c r="D560" s="14" t="s">
        <v>301</v>
      </c>
    </row>
    <row r="561" spans="1:4" ht="15.75" customHeight="1" x14ac:dyDescent="0.25">
      <c r="A561" s="14">
        <v>252733</v>
      </c>
      <c r="B561" s="14" t="s">
        <v>2114</v>
      </c>
      <c r="D561" s="14" t="s">
        <v>301</v>
      </c>
    </row>
    <row r="562" spans="1:4" ht="15.75" customHeight="1" x14ac:dyDescent="0.25">
      <c r="A562" s="14">
        <v>30034476</v>
      </c>
      <c r="B562" s="14" t="s">
        <v>2115</v>
      </c>
      <c r="D562" s="14" t="s">
        <v>301</v>
      </c>
    </row>
    <row r="563" spans="1:4" ht="15.75" customHeight="1" x14ac:dyDescent="0.25">
      <c r="A563" s="14">
        <v>30035000</v>
      </c>
      <c r="B563" s="14" t="s">
        <v>2116</v>
      </c>
      <c r="D563" s="14" t="s">
        <v>301</v>
      </c>
    </row>
    <row r="564" spans="1:4" ht="15.75" customHeight="1" x14ac:dyDescent="0.25">
      <c r="A564" s="14" t="s">
        <v>2117</v>
      </c>
      <c r="B564" s="14" t="s">
        <v>2118</v>
      </c>
      <c r="D564" s="14" t="s">
        <v>301</v>
      </c>
    </row>
    <row r="565" spans="1:4" ht="15.75" customHeight="1" x14ac:dyDescent="0.25">
      <c r="A565" s="14" t="s">
        <v>752</v>
      </c>
      <c r="B565" s="14" t="s">
        <v>753</v>
      </c>
      <c r="D565" s="14" t="s">
        <v>301</v>
      </c>
    </row>
    <row r="566" spans="1:4" ht="15.75" customHeight="1" x14ac:dyDescent="0.25">
      <c r="A566" s="14" t="s">
        <v>2119</v>
      </c>
      <c r="B566" s="14" t="s">
        <v>2120</v>
      </c>
      <c r="D566" s="14" t="s">
        <v>301</v>
      </c>
    </row>
    <row r="567" spans="1:4" ht="15.75" customHeight="1" x14ac:dyDescent="0.25">
      <c r="A567" s="14" t="s">
        <v>756</v>
      </c>
      <c r="B567" s="14" t="s">
        <v>757</v>
      </c>
      <c r="D567" s="14" t="s">
        <v>301</v>
      </c>
    </row>
    <row r="568" spans="1:4" ht="15.75" customHeight="1" x14ac:dyDescent="0.25">
      <c r="A568" s="14" t="s">
        <v>2121</v>
      </c>
      <c r="B568" s="14" t="s">
        <v>2122</v>
      </c>
      <c r="D568" s="14" t="s">
        <v>301</v>
      </c>
    </row>
    <row r="569" spans="1:4" ht="15.75" customHeight="1" x14ac:dyDescent="0.25">
      <c r="A569" s="14">
        <v>254019</v>
      </c>
      <c r="B569" s="14" t="s">
        <v>2123</v>
      </c>
      <c r="D569" s="14" t="s">
        <v>301</v>
      </c>
    </row>
    <row r="570" spans="1:4" ht="15.75" customHeight="1" x14ac:dyDescent="0.25">
      <c r="A570" s="14">
        <v>30033997</v>
      </c>
      <c r="B570" s="14" t="s">
        <v>2124</v>
      </c>
      <c r="D570" s="14" t="s">
        <v>301</v>
      </c>
    </row>
    <row r="571" spans="1:4" ht="15.75" customHeight="1" x14ac:dyDescent="0.25">
      <c r="A571" s="14">
        <v>30034265</v>
      </c>
      <c r="B571" s="14" t="s">
        <v>2125</v>
      </c>
      <c r="D571" s="14" t="s">
        <v>301</v>
      </c>
    </row>
    <row r="572" spans="1:4" ht="15.75" customHeight="1" x14ac:dyDescent="0.25">
      <c r="A572" s="14">
        <v>252278</v>
      </c>
      <c r="B572" s="14" t="s">
        <v>2125</v>
      </c>
      <c r="D572" s="14" t="s">
        <v>301</v>
      </c>
    </row>
    <row r="573" spans="1:4" ht="15.75" customHeight="1" x14ac:dyDescent="0.25">
      <c r="A573" s="14">
        <v>30034262</v>
      </c>
      <c r="B573" s="14" t="s">
        <v>2126</v>
      </c>
      <c r="D573" s="14" t="s">
        <v>301</v>
      </c>
    </row>
    <row r="574" spans="1:4" ht="15.75" customHeight="1" x14ac:dyDescent="0.25">
      <c r="A574" s="14">
        <v>252275</v>
      </c>
      <c r="B574" s="14" t="s">
        <v>2127</v>
      </c>
      <c r="D574" s="14" t="s">
        <v>301</v>
      </c>
    </row>
    <row r="575" spans="1:4" ht="15.75" customHeight="1" x14ac:dyDescent="0.25">
      <c r="A575" s="14">
        <v>1000658</v>
      </c>
      <c r="B575" s="14" t="s">
        <v>443</v>
      </c>
      <c r="D575" s="14" t="s">
        <v>301</v>
      </c>
    </row>
    <row r="576" spans="1:4" ht="15.75" customHeight="1" x14ac:dyDescent="0.25">
      <c r="A576" s="14">
        <v>1001034</v>
      </c>
      <c r="B576" s="14" t="s">
        <v>2128</v>
      </c>
      <c r="D576" s="14" t="s">
        <v>301</v>
      </c>
    </row>
    <row r="577" spans="1:4" ht="15.75" customHeight="1" x14ac:dyDescent="0.25">
      <c r="A577" s="14">
        <v>1001048</v>
      </c>
      <c r="B577" s="14" t="s">
        <v>2129</v>
      </c>
      <c r="D577" s="14" t="s">
        <v>301</v>
      </c>
    </row>
    <row r="578" spans="1:4" ht="15.75" customHeight="1" x14ac:dyDescent="0.25">
      <c r="A578" s="14">
        <v>1006821</v>
      </c>
      <c r="B578" s="14" t="s">
        <v>2130</v>
      </c>
      <c r="D578" s="14" t="s">
        <v>301</v>
      </c>
    </row>
    <row r="579" spans="1:4" ht="15.75" customHeight="1" x14ac:dyDescent="0.25">
      <c r="A579" s="14" t="s">
        <v>758</v>
      </c>
      <c r="B579" s="14" t="s">
        <v>759</v>
      </c>
      <c r="D579" s="14" t="s">
        <v>301</v>
      </c>
    </row>
    <row r="580" spans="1:4" ht="15.75" customHeight="1" x14ac:dyDescent="0.25">
      <c r="A580" s="14" t="s">
        <v>2131</v>
      </c>
      <c r="B580" s="14" t="s">
        <v>2132</v>
      </c>
      <c r="D580" s="14" t="s">
        <v>301</v>
      </c>
    </row>
    <row r="581" spans="1:4" ht="15.75" customHeight="1" x14ac:dyDescent="0.25">
      <c r="A581" s="14" t="s">
        <v>760</v>
      </c>
      <c r="B581" s="14" t="s">
        <v>761</v>
      </c>
      <c r="D581" s="14" t="s">
        <v>301</v>
      </c>
    </row>
    <row r="582" spans="1:4" ht="15.75" customHeight="1" x14ac:dyDescent="0.25">
      <c r="A582" s="14" t="s">
        <v>762</v>
      </c>
      <c r="B582" s="14" t="s">
        <v>763</v>
      </c>
      <c r="D582" s="14" t="s">
        <v>301</v>
      </c>
    </row>
    <row r="583" spans="1:4" ht="15.75" customHeight="1" x14ac:dyDescent="0.25">
      <c r="A583" s="14" t="s">
        <v>764</v>
      </c>
      <c r="B583" s="14" t="s">
        <v>765</v>
      </c>
      <c r="D583" s="14" t="s">
        <v>301</v>
      </c>
    </row>
    <row r="584" spans="1:4" ht="15.75" customHeight="1" x14ac:dyDescent="0.25">
      <c r="A584" s="14" t="s">
        <v>766</v>
      </c>
      <c r="B584" s="14" t="s">
        <v>767</v>
      </c>
      <c r="D584" s="14" t="s">
        <v>301</v>
      </c>
    </row>
    <row r="585" spans="1:4" ht="15.75" customHeight="1" x14ac:dyDescent="0.25">
      <c r="A585" s="14" t="s">
        <v>768</v>
      </c>
      <c r="B585" s="14" t="s">
        <v>769</v>
      </c>
      <c r="D585" s="14" t="s">
        <v>301</v>
      </c>
    </row>
    <row r="586" spans="1:4" ht="15.75" customHeight="1" x14ac:dyDescent="0.25">
      <c r="A586" s="14" t="s">
        <v>770</v>
      </c>
      <c r="B586" s="14" t="s">
        <v>771</v>
      </c>
      <c r="D586" s="14" t="s">
        <v>301</v>
      </c>
    </row>
    <row r="587" spans="1:4" ht="15.75" customHeight="1" x14ac:dyDescent="0.25">
      <c r="A587" s="14" t="s">
        <v>772</v>
      </c>
      <c r="B587" s="14" t="s">
        <v>773</v>
      </c>
      <c r="D587" s="14" t="s">
        <v>301</v>
      </c>
    </row>
    <row r="588" spans="1:4" ht="15.75" customHeight="1" x14ac:dyDescent="0.25">
      <c r="A588" s="14" t="s">
        <v>774</v>
      </c>
      <c r="B588" s="14" t="s">
        <v>775</v>
      </c>
      <c r="D588" s="14" t="s">
        <v>301</v>
      </c>
    </row>
    <row r="589" spans="1:4" ht="15.75" customHeight="1" x14ac:dyDescent="0.25">
      <c r="A589" s="14" t="s">
        <v>2133</v>
      </c>
      <c r="B589" s="14" t="s">
        <v>2134</v>
      </c>
      <c r="D589" s="14" t="s">
        <v>301</v>
      </c>
    </row>
    <row r="590" spans="1:4" ht="15.75" customHeight="1" x14ac:dyDescent="0.25">
      <c r="A590" s="14" t="s">
        <v>776</v>
      </c>
      <c r="B590" s="14" t="s">
        <v>777</v>
      </c>
      <c r="D590" s="14" t="s">
        <v>301</v>
      </c>
    </row>
    <row r="591" spans="1:4" ht="15.75" customHeight="1" x14ac:dyDescent="0.25">
      <c r="A591" s="14" t="s">
        <v>778</v>
      </c>
      <c r="B591" s="14" t="s">
        <v>779</v>
      </c>
      <c r="D591" s="14" t="s">
        <v>301</v>
      </c>
    </row>
    <row r="592" spans="1:4" ht="15.75" customHeight="1" x14ac:dyDescent="0.25">
      <c r="A592" s="14" t="s">
        <v>2135</v>
      </c>
      <c r="B592" s="14" t="s">
        <v>2136</v>
      </c>
      <c r="D592" s="14" t="s">
        <v>301</v>
      </c>
    </row>
    <row r="593" spans="1:4" ht="15.75" customHeight="1" x14ac:dyDescent="0.25">
      <c r="A593" s="14" t="s">
        <v>2137</v>
      </c>
      <c r="B593" s="14" t="s">
        <v>2138</v>
      </c>
      <c r="D593" s="14" t="s">
        <v>301</v>
      </c>
    </row>
    <row r="594" spans="1:4" ht="15.75" customHeight="1" x14ac:dyDescent="0.25">
      <c r="A594" s="14" t="s">
        <v>2139</v>
      </c>
      <c r="B594" s="14" t="s">
        <v>2140</v>
      </c>
      <c r="D594" s="14" t="s">
        <v>301</v>
      </c>
    </row>
    <row r="595" spans="1:4" ht="15.75" customHeight="1" x14ac:dyDescent="0.25">
      <c r="A595" s="14" t="s">
        <v>2141</v>
      </c>
      <c r="B595" s="14" t="s">
        <v>2142</v>
      </c>
      <c r="D595" s="14" t="s">
        <v>301</v>
      </c>
    </row>
    <row r="596" spans="1:4" ht="15.75" customHeight="1" x14ac:dyDescent="0.25">
      <c r="A596" s="14" t="s">
        <v>2143</v>
      </c>
      <c r="B596" s="14" t="s">
        <v>2144</v>
      </c>
      <c r="D596" s="14" t="s">
        <v>301</v>
      </c>
    </row>
    <row r="597" spans="1:4" ht="15.75" customHeight="1" x14ac:dyDescent="0.25">
      <c r="A597" s="14" t="s">
        <v>2145</v>
      </c>
      <c r="B597" s="14" t="s">
        <v>2146</v>
      </c>
      <c r="D597" s="14" t="s">
        <v>301</v>
      </c>
    </row>
    <row r="598" spans="1:4" ht="15.75" customHeight="1" x14ac:dyDescent="0.25">
      <c r="A598" s="14" t="s">
        <v>780</v>
      </c>
      <c r="B598" s="14" t="s">
        <v>781</v>
      </c>
      <c r="D598" s="14" t="s">
        <v>301</v>
      </c>
    </row>
    <row r="599" spans="1:4" ht="15.75" customHeight="1" x14ac:dyDescent="0.25">
      <c r="A599" s="14" t="s">
        <v>2147</v>
      </c>
      <c r="B599" s="14" t="s">
        <v>2148</v>
      </c>
      <c r="D599" s="14" t="s">
        <v>301</v>
      </c>
    </row>
    <row r="600" spans="1:4" ht="15.75" customHeight="1" x14ac:dyDescent="0.25">
      <c r="A600" s="14" t="s">
        <v>2149</v>
      </c>
      <c r="B600" s="14" t="s">
        <v>2150</v>
      </c>
      <c r="D600" s="14" t="s">
        <v>301</v>
      </c>
    </row>
    <row r="601" spans="1:4" ht="15.75" customHeight="1" x14ac:dyDescent="0.25">
      <c r="A601" s="14" t="s">
        <v>2151</v>
      </c>
      <c r="B601" s="14" t="s">
        <v>2152</v>
      </c>
      <c r="D601" s="14" t="s">
        <v>301</v>
      </c>
    </row>
    <row r="602" spans="1:4" ht="15.75" customHeight="1" x14ac:dyDescent="0.25">
      <c r="A602" s="14" t="s">
        <v>2153</v>
      </c>
      <c r="B602" s="14" t="s">
        <v>2154</v>
      </c>
      <c r="D602" s="14" t="s">
        <v>301</v>
      </c>
    </row>
    <row r="603" spans="1:4" ht="15.75" customHeight="1" x14ac:dyDescent="0.25">
      <c r="A603" s="14" t="s">
        <v>2155</v>
      </c>
      <c r="B603" s="14" t="s">
        <v>2156</v>
      </c>
      <c r="D603" s="14" t="s">
        <v>301</v>
      </c>
    </row>
    <row r="604" spans="1:4" ht="15.75" customHeight="1" x14ac:dyDescent="0.25">
      <c r="A604" s="14" t="s">
        <v>806</v>
      </c>
      <c r="B604" s="14" t="s">
        <v>807</v>
      </c>
      <c r="D604" s="14" t="s">
        <v>301</v>
      </c>
    </row>
    <row r="605" spans="1:4" ht="15.75" customHeight="1" x14ac:dyDescent="0.25">
      <c r="A605" s="14" t="s">
        <v>808</v>
      </c>
      <c r="B605" s="14" t="s">
        <v>809</v>
      </c>
      <c r="D605" s="14" t="s">
        <v>301</v>
      </c>
    </row>
    <row r="606" spans="1:4" ht="15.75" customHeight="1" x14ac:dyDescent="0.25">
      <c r="A606" s="14" t="s">
        <v>810</v>
      </c>
      <c r="B606" s="14" t="s">
        <v>811</v>
      </c>
      <c r="D606" s="14" t="s">
        <v>301</v>
      </c>
    </row>
    <row r="607" spans="1:4" ht="15.75" customHeight="1" x14ac:dyDescent="0.25">
      <c r="A607" s="14" t="s">
        <v>812</v>
      </c>
      <c r="B607" s="14" t="s">
        <v>813</v>
      </c>
      <c r="D607" s="14" t="s">
        <v>301</v>
      </c>
    </row>
    <row r="608" spans="1:4" ht="15.75" customHeight="1" x14ac:dyDescent="0.25">
      <c r="A608" s="14" t="s">
        <v>814</v>
      </c>
      <c r="B608" s="14" t="s">
        <v>815</v>
      </c>
      <c r="D608" s="14" t="s">
        <v>301</v>
      </c>
    </row>
    <row r="609" spans="1:4" ht="15.75" customHeight="1" x14ac:dyDescent="0.25">
      <c r="A609" s="14" t="s">
        <v>816</v>
      </c>
      <c r="B609" s="14" t="s">
        <v>817</v>
      </c>
      <c r="D609" s="14" t="s">
        <v>301</v>
      </c>
    </row>
    <row r="610" spans="1:4" ht="15.75" customHeight="1" x14ac:dyDescent="0.25">
      <c r="A610" s="14" t="s">
        <v>818</v>
      </c>
      <c r="B610" s="14" t="s">
        <v>819</v>
      </c>
      <c r="D610" s="14" t="s">
        <v>301</v>
      </c>
    </row>
    <row r="611" spans="1:4" ht="15.75" customHeight="1" x14ac:dyDescent="0.25">
      <c r="A611" s="14" t="s">
        <v>820</v>
      </c>
      <c r="B611" s="14" t="s">
        <v>821</v>
      </c>
      <c r="D611" s="14" t="s">
        <v>301</v>
      </c>
    </row>
    <row r="612" spans="1:4" ht="15.75" customHeight="1" x14ac:dyDescent="0.25">
      <c r="A612" s="14" t="s">
        <v>822</v>
      </c>
      <c r="B612" s="14" t="s">
        <v>823</v>
      </c>
      <c r="D612" s="14" t="s">
        <v>301</v>
      </c>
    </row>
    <row r="613" spans="1:4" ht="15.75" customHeight="1" x14ac:dyDescent="0.25">
      <c r="A613" s="14" t="s">
        <v>824</v>
      </c>
      <c r="B613" s="14" t="s">
        <v>825</v>
      </c>
      <c r="D613" s="14" t="s">
        <v>301</v>
      </c>
    </row>
    <row r="614" spans="1:4" ht="15.75" customHeight="1" x14ac:dyDescent="0.25">
      <c r="A614" s="14" t="s">
        <v>826</v>
      </c>
      <c r="B614" s="14" t="s">
        <v>827</v>
      </c>
      <c r="D614" s="14" t="s">
        <v>301</v>
      </c>
    </row>
    <row r="615" spans="1:4" ht="15.75" customHeight="1" x14ac:dyDescent="0.25">
      <c r="A615" s="14" t="s">
        <v>828</v>
      </c>
      <c r="B615" s="14" t="s">
        <v>829</v>
      </c>
      <c r="D615" s="14" t="s">
        <v>301</v>
      </c>
    </row>
    <row r="616" spans="1:4" ht="15.75" customHeight="1" x14ac:dyDescent="0.25">
      <c r="A616" s="14" t="s">
        <v>830</v>
      </c>
      <c r="B616" s="14" t="s">
        <v>831</v>
      </c>
      <c r="D616" s="14" t="s">
        <v>301</v>
      </c>
    </row>
    <row r="617" spans="1:4" ht="15.75" customHeight="1" x14ac:dyDescent="0.25">
      <c r="A617" s="14" t="s">
        <v>832</v>
      </c>
      <c r="B617" s="14" t="s">
        <v>833</v>
      </c>
      <c r="D617" s="14" t="s">
        <v>301</v>
      </c>
    </row>
    <row r="618" spans="1:4" ht="15.75" customHeight="1" x14ac:dyDescent="0.25">
      <c r="A618" s="14" t="s">
        <v>2157</v>
      </c>
      <c r="B618" s="14" t="s">
        <v>2158</v>
      </c>
      <c r="D618" s="14" t="s">
        <v>301</v>
      </c>
    </row>
    <row r="619" spans="1:4" ht="15.75" customHeight="1" x14ac:dyDescent="0.25">
      <c r="A619" s="14" t="s">
        <v>2159</v>
      </c>
      <c r="B619" s="14" t="s">
        <v>2160</v>
      </c>
      <c r="D619" s="14" t="s">
        <v>301</v>
      </c>
    </row>
    <row r="620" spans="1:4" ht="15.75" customHeight="1" x14ac:dyDescent="0.25">
      <c r="A620" s="14" t="s">
        <v>2161</v>
      </c>
      <c r="B620" s="14" t="s">
        <v>2162</v>
      </c>
      <c r="D620" s="14" t="s">
        <v>301</v>
      </c>
    </row>
    <row r="621" spans="1:4" ht="15.75" customHeight="1" x14ac:dyDescent="0.25">
      <c r="A621" s="14" t="s">
        <v>2163</v>
      </c>
      <c r="B621" s="14" t="s">
        <v>2164</v>
      </c>
      <c r="D621" s="14" t="s">
        <v>301</v>
      </c>
    </row>
    <row r="622" spans="1:4" ht="15.75" customHeight="1" x14ac:dyDescent="0.25">
      <c r="A622" s="14" t="s">
        <v>2165</v>
      </c>
      <c r="B622" s="14" t="s">
        <v>2166</v>
      </c>
      <c r="D622" s="14" t="s">
        <v>301</v>
      </c>
    </row>
    <row r="623" spans="1:4" ht="15.75" customHeight="1" x14ac:dyDescent="0.25">
      <c r="A623" s="14" t="s">
        <v>2167</v>
      </c>
      <c r="B623" s="14" t="s">
        <v>2168</v>
      </c>
      <c r="D623" s="14" t="s">
        <v>301</v>
      </c>
    </row>
    <row r="624" spans="1:4" ht="15.75" customHeight="1" x14ac:dyDescent="0.25">
      <c r="A624" s="14" t="s">
        <v>2169</v>
      </c>
      <c r="B624" s="14" t="s">
        <v>2170</v>
      </c>
      <c r="D624" s="14" t="s">
        <v>301</v>
      </c>
    </row>
    <row r="625" spans="1:4" ht="15.75" customHeight="1" x14ac:dyDescent="0.25">
      <c r="A625" s="14" t="s">
        <v>2171</v>
      </c>
      <c r="B625" s="14" t="s">
        <v>2172</v>
      </c>
      <c r="D625" s="14" t="s">
        <v>301</v>
      </c>
    </row>
    <row r="626" spans="1:4" ht="15.75" customHeight="1" x14ac:dyDescent="0.25">
      <c r="A626" s="14" t="s">
        <v>2173</v>
      </c>
      <c r="B626" s="14" t="s">
        <v>2174</v>
      </c>
      <c r="D626" s="14" t="s">
        <v>301</v>
      </c>
    </row>
    <row r="627" spans="1:4" ht="15.75" customHeight="1" x14ac:dyDescent="0.25">
      <c r="A627" s="14" t="s">
        <v>2175</v>
      </c>
      <c r="B627" s="14" t="s">
        <v>2176</v>
      </c>
      <c r="D627" s="14" t="s">
        <v>301</v>
      </c>
    </row>
    <row r="628" spans="1:4" ht="15.75" customHeight="1" x14ac:dyDescent="0.25">
      <c r="A628" s="14" t="s">
        <v>2177</v>
      </c>
      <c r="B628" s="14" t="s">
        <v>2178</v>
      </c>
      <c r="D628" s="14" t="s">
        <v>301</v>
      </c>
    </row>
    <row r="629" spans="1:4" ht="15.75" customHeight="1" x14ac:dyDescent="0.25">
      <c r="A629" s="14" t="s">
        <v>2179</v>
      </c>
      <c r="B629" s="14" t="s">
        <v>2180</v>
      </c>
      <c r="D629" s="14" t="s">
        <v>301</v>
      </c>
    </row>
    <row r="630" spans="1:4" ht="15.75" customHeight="1" x14ac:dyDescent="0.25">
      <c r="A630" s="14" t="s">
        <v>2181</v>
      </c>
      <c r="B630" s="14" t="s">
        <v>2182</v>
      </c>
      <c r="D630" s="14" t="s">
        <v>301</v>
      </c>
    </row>
    <row r="631" spans="1:4" ht="15.75" customHeight="1" x14ac:dyDescent="0.25">
      <c r="A631" s="14" t="s">
        <v>2183</v>
      </c>
      <c r="B631" s="14" t="s">
        <v>2184</v>
      </c>
      <c r="D631" s="14" t="s">
        <v>301</v>
      </c>
    </row>
    <row r="632" spans="1:4" ht="15.75" customHeight="1" x14ac:dyDescent="0.25">
      <c r="A632" s="14" t="s">
        <v>2185</v>
      </c>
      <c r="B632" s="14" t="s">
        <v>2186</v>
      </c>
      <c r="D632" s="14" t="s">
        <v>301</v>
      </c>
    </row>
    <row r="633" spans="1:4" ht="15.75" customHeight="1" x14ac:dyDescent="0.25">
      <c r="A633" s="14" t="s">
        <v>2187</v>
      </c>
      <c r="B633" s="14" t="s">
        <v>2188</v>
      </c>
      <c r="D633" s="14" t="s">
        <v>301</v>
      </c>
    </row>
    <row r="634" spans="1:4" ht="15.75" customHeight="1" x14ac:dyDescent="0.25">
      <c r="A634" s="14" t="s">
        <v>2189</v>
      </c>
      <c r="B634" s="14" t="s">
        <v>2190</v>
      </c>
      <c r="D634" s="14" t="s">
        <v>301</v>
      </c>
    </row>
    <row r="635" spans="1:4" ht="15.75" customHeight="1" x14ac:dyDescent="0.25">
      <c r="A635" s="14" t="s">
        <v>2191</v>
      </c>
      <c r="B635" s="14" t="s">
        <v>2192</v>
      </c>
      <c r="D635" s="14" t="s">
        <v>301</v>
      </c>
    </row>
    <row r="636" spans="1:4" ht="15.75" customHeight="1" x14ac:dyDescent="0.25">
      <c r="A636" s="14" t="s">
        <v>2193</v>
      </c>
      <c r="B636" s="14" t="s">
        <v>2194</v>
      </c>
      <c r="D636" s="14" t="s">
        <v>301</v>
      </c>
    </row>
    <row r="637" spans="1:4" ht="15.75" customHeight="1" x14ac:dyDescent="0.25">
      <c r="A637" s="14" t="s">
        <v>2195</v>
      </c>
      <c r="B637" s="14" t="s">
        <v>2196</v>
      </c>
      <c r="D637" s="14" t="s">
        <v>301</v>
      </c>
    </row>
    <row r="638" spans="1:4" ht="15.75" customHeight="1" x14ac:dyDescent="0.25">
      <c r="A638" s="14" t="s">
        <v>2197</v>
      </c>
      <c r="B638" s="14" t="s">
        <v>2198</v>
      </c>
      <c r="D638" s="14" t="s">
        <v>301</v>
      </c>
    </row>
    <row r="639" spans="1:4" ht="15.75" customHeight="1" x14ac:dyDescent="0.25">
      <c r="A639" s="14" t="s">
        <v>2199</v>
      </c>
      <c r="B639" s="14" t="s">
        <v>2200</v>
      </c>
      <c r="D639" s="14" t="s">
        <v>301</v>
      </c>
    </row>
    <row r="640" spans="1:4" ht="15.75" customHeight="1" x14ac:dyDescent="0.25">
      <c r="A640" s="14" t="s">
        <v>856</v>
      </c>
      <c r="B640" s="14" t="s">
        <v>857</v>
      </c>
      <c r="D640" s="14" t="s">
        <v>301</v>
      </c>
    </row>
    <row r="641" spans="1:4" ht="15.75" customHeight="1" x14ac:dyDescent="0.25">
      <c r="A641" s="14" t="s">
        <v>858</v>
      </c>
      <c r="B641" s="14" t="s">
        <v>859</v>
      </c>
      <c r="D641" s="14" t="s">
        <v>301</v>
      </c>
    </row>
    <row r="642" spans="1:4" ht="15.75" customHeight="1" x14ac:dyDescent="0.25">
      <c r="A642" s="14" t="s">
        <v>860</v>
      </c>
      <c r="B642" s="14" t="s">
        <v>861</v>
      </c>
      <c r="D642" s="14" t="s">
        <v>301</v>
      </c>
    </row>
    <row r="643" spans="1:4" ht="15.75" customHeight="1" x14ac:dyDescent="0.25">
      <c r="A643" s="14" t="s">
        <v>862</v>
      </c>
      <c r="B643" s="14" t="s">
        <v>863</v>
      </c>
      <c r="D643" s="14" t="s">
        <v>301</v>
      </c>
    </row>
    <row r="644" spans="1:4" ht="15.75" customHeight="1" x14ac:dyDescent="0.25">
      <c r="A644" s="14" t="s">
        <v>2201</v>
      </c>
      <c r="B644" s="14" t="s">
        <v>2202</v>
      </c>
      <c r="D644" s="14" t="s">
        <v>301</v>
      </c>
    </row>
    <row r="645" spans="1:4" ht="15.75" customHeight="1" x14ac:dyDescent="0.25">
      <c r="A645" s="14" t="s">
        <v>864</v>
      </c>
      <c r="B645" s="14" t="s">
        <v>865</v>
      </c>
      <c r="D645" s="14" t="s">
        <v>301</v>
      </c>
    </row>
    <row r="646" spans="1:4" ht="15.75" customHeight="1" x14ac:dyDescent="0.25">
      <c r="A646" s="14" t="s">
        <v>868</v>
      </c>
      <c r="B646" s="14" t="s">
        <v>869</v>
      </c>
      <c r="D646" s="14" t="s">
        <v>301</v>
      </c>
    </row>
    <row r="647" spans="1:4" ht="15.75" customHeight="1" x14ac:dyDescent="0.25">
      <c r="A647" s="14" t="s">
        <v>870</v>
      </c>
      <c r="B647" s="14" t="s">
        <v>871</v>
      </c>
      <c r="D647" s="14" t="s">
        <v>301</v>
      </c>
    </row>
    <row r="648" spans="1:4" ht="15.75" customHeight="1" x14ac:dyDescent="0.25">
      <c r="A648" s="14" t="s">
        <v>872</v>
      </c>
      <c r="B648" s="14" t="s">
        <v>873</v>
      </c>
      <c r="D648" s="14" t="s">
        <v>301</v>
      </c>
    </row>
    <row r="649" spans="1:4" ht="15.75" customHeight="1" x14ac:dyDescent="0.25">
      <c r="A649" s="14" t="s">
        <v>874</v>
      </c>
      <c r="B649" s="14" t="s">
        <v>875</v>
      </c>
      <c r="D649" s="14" t="s">
        <v>301</v>
      </c>
    </row>
    <row r="650" spans="1:4" ht="15.75" customHeight="1" x14ac:dyDescent="0.25">
      <c r="A650" s="14" t="s">
        <v>876</v>
      </c>
      <c r="B650" s="14" t="s">
        <v>877</v>
      </c>
      <c r="D650" s="14" t="s">
        <v>301</v>
      </c>
    </row>
    <row r="651" spans="1:4" ht="15.75" customHeight="1" x14ac:dyDescent="0.25">
      <c r="A651" s="14" t="s">
        <v>2203</v>
      </c>
      <c r="B651" s="14" t="s">
        <v>2204</v>
      </c>
      <c r="D651" s="14" t="s">
        <v>301</v>
      </c>
    </row>
    <row r="652" spans="1:4" ht="15.75" customHeight="1" x14ac:dyDescent="0.25">
      <c r="A652" s="14" t="s">
        <v>2205</v>
      </c>
      <c r="B652" s="14" t="s">
        <v>2206</v>
      </c>
      <c r="D652" s="14" t="s">
        <v>301</v>
      </c>
    </row>
    <row r="653" spans="1:4" ht="15.75" customHeight="1" x14ac:dyDescent="0.25">
      <c r="A653" s="14" t="s">
        <v>878</v>
      </c>
      <c r="B653" s="14" t="s">
        <v>879</v>
      </c>
      <c r="D653" s="14" t="s">
        <v>301</v>
      </c>
    </row>
    <row r="654" spans="1:4" ht="15.75" customHeight="1" x14ac:dyDescent="0.25">
      <c r="A654" s="14" t="s">
        <v>2207</v>
      </c>
      <c r="B654" s="14" t="s">
        <v>2208</v>
      </c>
      <c r="D654" s="14" t="s">
        <v>301</v>
      </c>
    </row>
    <row r="655" spans="1:4" ht="15.75" customHeight="1" x14ac:dyDescent="0.25">
      <c r="A655" s="14" t="s">
        <v>2209</v>
      </c>
      <c r="B655" s="14" t="s">
        <v>2210</v>
      </c>
      <c r="D655" s="14" t="s">
        <v>301</v>
      </c>
    </row>
    <row r="656" spans="1:4" ht="15.75" customHeight="1" x14ac:dyDescent="0.25">
      <c r="A656" s="14" t="s">
        <v>2211</v>
      </c>
      <c r="B656" s="14" t="s">
        <v>2212</v>
      </c>
      <c r="D656" s="14" t="s">
        <v>301</v>
      </c>
    </row>
    <row r="657" spans="1:4" ht="15.75" customHeight="1" x14ac:dyDescent="0.25">
      <c r="A657" s="14" t="s">
        <v>2213</v>
      </c>
      <c r="B657" s="14" t="s">
        <v>2214</v>
      </c>
      <c r="D657" s="14" t="s">
        <v>301</v>
      </c>
    </row>
    <row r="658" spans="1:4" ht="15.75" customHeight="1" x14ac:dyDescent="0.25">
      <c r="A658" s="14" t="s">
        <v>2215</v>
      </c>
      <c r="B658" s="14" t="s">
        <v>2216</v>
      </c>
      <c r="D658" s="14" t="s">
        <v>301</v>
      </c>
    </row>
    <row r="659" spans="1:4" ht="15.75" customHeight="1" x14ac:dyDescent="0.25">
      <c r="A659" s="14" t="s">
        <v>2217</v>
      </c>
      <c r="B659" s="14" t="s">
        <v>2218</v>
      </c>
      <c r="D659" s="14" t="s">
        <v>301</v>
      </c>
    </row>
    <row r="660" spans="1:4" ht="15.75" customHeight="1" x14ac:dyDescent="0.25">
      <c r="A660" s="14" t="s">
        <v>880</v>
      </c>
      <c r="B660" s="14" t="s">
        <v>881</v>
      </c>
      <c r="D660" s="14" t="s">
        <v>301</v>
      </c>
    </row>
    <row r="661" spans="1:4" ht="15.75" customHeight="1" x14ac:dyDescent="0.25">
      <c r="A661" s="14" t="s">
        <v>886</v>
      </c>
      <c r="B661" s="14" t="s">
        <v>887</v>
      </c>
      <c r="D661" s="14" t="s">
        <v>301</v>
      </c>
    </row>
    <row r="662" spans="1:4" ht="15.75" customHeight="1" x14ac:dyDescent="0.25">
      <c r="A662" s="14" t="s">
        <v>888</v>
      </c>
      <c r="B662" s="14" t="s">
        <v>887</v>
      </c>
      <c r="D662" s="14" t="s">
        <v>301</v>
      </c>
    </row>
    <row r="663" spans="1:4" ht="15.75" customHeight="1" x14ac:dyDescent="0.25">
      <c r="A663" s="14" t="s">
        <v>889</v>
      </c>
      <c r="B663" s="14" t="s">
        <v>890</v>
      </c>
      <c r="D663" s="14" t="s">
        <v>301</v>
      </c>
    </row>
    <row r="664" spans="1:4" ht="15.75" customHeight="1" x14ac:dyDescent="0.25">
      <c r="A664" s="14" t="s">
        <v>891</v>
      </c>
      <c r="B664" s="14" t="s">
        <v>892</v>
      </c>
      <c r="D664" s="14" t="s">
        <v>301</v>
      </c>
    </row>
    <row r="665" spans="1:4" ht="15.75" customHeight="1" x14ac:dyDescent="0.25">
      <c r="A665" s="14" t="s">
        <v>893</v>
      </c>
      <c r="B665" s="14" t="s">
        <v>894</v>
      </c>
      <c r="D665" s="14" t="s">
        <v>301</v>
      </c>
    </row>
    <row r="666" spans="1:4" ht="15.75" customHeight="1" x14ac:dyDescent="0.25">
      <c r="A666" s="14" t="s">
        <v>895</v>
      </c>
      <c r="B666" s="14" t="s">
        <v>896</v>
      </c>
      <c r="D666" s="14" t="s">
        <v>301</v>
      </c>
    </row>
    <row r="667" spans="1:4" ht="15.75" customHeight="1" x14ac:dyDescent="0.25">
      <c r="A667" s="14" t="s">
        <v>897</v>
      </c>
      <c r="B667" s="14" t="s">
        <v>898</v>
      </c>
      <c r="D667" s="14" t="s">
        <v>301</v>
      </c>
    </row>
    <row r="668" spans="1:4" ht="15.75" customHeight="1" x14ac:dyDescent="0.25">
      <c r="A668" s="14" t="s">
        <v>899</v>
      </c>
      <c r="B668" s="14" t="s">
        <v>900</v>
      </c>
      <c r="D668" s="14" t="s">
        <v>301</v>
      </c>
    </row>
    <row r="669" spans="1:4" ht="15.75" customHeight="1" x14ac:dyDescent="0.25">
      <c r="A669" s="14" t="s">
        <v>2219</v>
      </c>
      <c r="B669" s="14" t="s">
        <v>2220</v>
      </c>
      <c r="D669" s="14" t="s">
        <v>301</v>
      </c>
    </row>
    <row r="670" spans="1:4" ht="15.75" customHeight="1" x14ac:dyDescent="0.25">
      <c r="A670" s="14" t="s">
        <v>2221</v>
      </c>
      <c r="B670" s="14" t="s">
        <v>2222</v>
      </c>
      <c r="D670" s="14" t="s">
        <v>301</v>
      </c>
    </row>
    <row r="671" spans="1:4" ht="15.75" customHeight="1" x14ac:dyDescent="0.25">
      <c r="A671" s="14" t="s">
        <v>2223</v>
      </c>
      <c r="B671" s="14" t="s">
        <v>2224</v>
      </c>
      <c r="D671" s="14" t="s">
        <v>301</v>
      </c>
    </row>
    <row r="672" spans="1:4" ht="15.75" customHeight="1" x14ac:dyDescent="0.25">
      <c r="A672" s="14" t="s">
        <v>2225</v>
      </c>
      <c r="B672" s="14" t="s">
        <v>2226</v>
      </c>
      <c r="D672" s="14" t="s">
        <v>301</v>
      </c>
    </row>
    <row r="673" spans="1:4" ht="15.75" customHeight="1" x14ac:dyDescent="0.25">
      <c r="A673" s="14" t="s">
        <v>2227</v>
      </c>
      <c r="B673" s="14" t="s">
        <v>2228</v>
      </c>
      <c r="D673" s="14" t="s">
        <v>301</v>
      </c>
    </row>
    <row r="674" spans="1:4" ht="15.75" customHeight="1" x14ac:dyDescent="0.25">
      <c r="A674" s="14" t="s">
        <v>2229</v>
      </c>
      <c r="B674" s="14" t="s">
        <v>2230</v>
      </c>
      <c r="D674" s="14" t="s">
        <v>301</v>
      </c>
    </row>
    <row r="675" spans="1:4" ht="15.75" customHeight="1" x14ac:dyDescent="0.25">
      <c r="A675" s="14" t="s">
        <v>911</v>
      </c>
      <c r="B675" s="14" t="s">
        <v>912</v>
      </c>
      <c r="D675" s="14" t="s">
        <v>301</v>
      </c>
    </row>
    <row r="676" spans="1:4" ht="15.75" customHeight="1" x14ac:dyDescent="0.25">
      <c r="A676" s="14" t="s">
        <v>913</v>
      </c>
      <c r="B676" s="14" t="s">
        <v>914</v>
      </c>
      <c r="D676" s="14" t="s">
        <v>301</v>
      </c>
    </row>
    <row r="677" spans="1:4" ht="15.75" customHeight="1" x14ac:dyDescent="0.25">
      <c r="A677" s="14" t="s">
        <v>915</v>
      </c>
      <c r="B677" s="14" t="s">
        <v>916</v>
      </c>
      <c r="D677" s="14" t="s">
        <v>301</v>
      </c>
    </row>
    <row r="678" spans="1:4" ht="15.75" customHeight="1" x14ac:dyDescent="0.25">
      <c r="A678" s="14" t="s">
        <v>917</v>
      </c>
      <c r="B678" s="14" t="s">
        <v>918</v>
      </c>
      <c r="D678" s="14" t="s">
        <v>301</v>
      </c>
    </row>
    <row r="679" spans="1:4" ht="15.75" customHeight="1" x14ac:dyDescent="0.25">
      <c r="A679" s="14" t="s">
        <v>2231</v>
      </c>
      <c r="B679" s="14" t="s">
        <v>2232</v>
      </c>
      <c r="D679" s="14" t="s">
        <v>301</v>
      </c>
    </row>
    <row r="680" spans="1:4" ht="15.75" customHeight="1" x14ac:dyDescent="0.25">
      <c r="A680" s="14" t="s">
        <v>2233</v>
      </c>
      <c r="B680" s="14" t="s">
        <v>2234</v>
      </c>
      <c r="D680" s="14" t="s">
        <v>301</v>
      </c>
    </row>
    <row r="681" spans="1:4" ht="15.75" customHeight="1" x14ac:dyDescent="0.25">
      <c r="A681" s="14" t="s">
        <v>919</v>
      </c>
      <c r="B681" s="14" t="s">
        <v>920</v>
      </c>
      <c r="D681" s="14" t="s">
        <v>301</v>
      </c>
    </row>
    <row r="682" spans="1:4" ht="15.75" customHeight="1" x14ac:dyDescent="0.25">
      <c r="A682" s="14" t="s">
        <v>921</v>
      </c>
      <c r="B682" s="14" t="s">
        <v>922</v>
      </c>
      <c r="D682" s="14" t="s">
        <v>301</v>
      </c>
    </row>
    <row r="683" spans="1:4" ht="15.75" customHeight="1" x14ac:dyDescent="0.25">
      <c r="A683" s="14" t="s">
        <v>923</v>
      </c>
      <c r="B683" s="14" t="s">
        <v>924</v>
      </c>
      <c r="D683" s="14" t="s">
        <v>301</v>
      </c>
    </row>
    <row r="684" spans="1:4" ht="15.75" customHeight="1" x14ac:dyDescent="0.25">
      <c r="A684" s="14" t="s">
        <v>925</v>
      </c>
      <c r="B684" s="14" t="s">
        <v>926</v>
      </c>
      <c r="D684" s="14" t="s">
        <v>301</v>
      </c>
    </row>
    <row r="685" spans="1:4" ht="15.75" customHeight="1" x14ac:dyDescent="0.25">
      <c r="A685" s="14" t="s">
        <v>927</v>
      </c>
      <c r="B685" s="14" t="s">
        <v>928</v>
      </c>
      <c r="D685" s="14" t="s">
        <v>301</v>
      </c>
    </row>
    <row r="686" spans="1:4" ht="15.75" customHeight="1" x14ac:dyDescent="0.25">
      <c r="A686" s="14" t="s">
        <v>929</v>
      </c>
      <c r="B686" s="14" t="s">
        <v>930</v>
      </c>
      <c r="D686" s="14" t="s">
        <v>301</v>
      </c>
    </row>
    <row r="687" spans="1:4" ht="15.75" customHeight="1" x14ac:dyDescent="0.25">
      <c r="A687" s="14" t="s">
        <v>2235</v>
      </c>
      <c r="B687" s="14" t="s">
        <v>2236</v>
      </c>
      <c r="D687" s="14" t="s">
        <v>301</v>
      </c>
    </row>
    <row r="688" spans="1:4" ht="15.75" customHeight="1" x14ac:dyDescent="0.25">
      <c r="A688" s="14" t="s">
        <v>2237</v>
      </c>
      <c r="B688" s="14" t="s">
        <v>2238</v>
      </c>
      <c r="D688" s="14" t="s">
        <v>301</v>
      </c>
    </row>
    <row r="689" spans="1:4" ht="15.75" customHeight="1" x14ac:dyDescent="0.25">
      <c r="A689" s="14" t="s">
        <v>2239</v>
      </c>
      <c r="B689" s="14" t="s">
        <v>2240</v>
      </c>
      <c r="D689" s="14" t="s">
        <v>301</v>
      </c>
    </row>
    <row r="690" spans="1:4" ht="15.75" customHeight="1" x14ac:dyDescent="0.25">
      <c r="A690" s="14" t="s">
        <v>2241</v>
      </c>
      <c r="B690" s="14" t="s">
        <v>2242</v>
      </c>
      <c r="D690" s="14" t="s">
        <v>301</v>
      </c>
    </row>
    <row r="691" spans="1:4" ht="15.75" customHeight="1" x14ac:dyDescent="0.25">
      <c r="A691" s="14" t="s">
        <v>2243</v>
      </c>
      <c r="B691" s="14" t="s">
        <v>2244</v>
      </c>
      <c r="D691" s="14" t="s">
        <v>301</v>
      </c>
    </row>
    <row r="692" spans="1:4" ht="15.75" customHeight="1" x14ac:dyDescent="0.25">
      <c r="A692" s="14" t="s">
        <v>2245</v>
      </c>
      <c r="B692" s="14" t="s">
        <v>2246</v>
      </c>
      <c r="D692" s="14" t="s">
        <v>301</v>
      </c>
    </row>
    <row r="693" spans="1:4" ht="15.75" customHeight="1" x14ac:dyDescent="0.25">
      <c r="A693" s="14" t="s">
        <v>2247</v>
      </c>
      <c r="B693" s="14" t="s">
        <v>2248</v>
      </c>
      <c r="D693" s="14" t="s">
        <v>301</v>
      </c>
    </row>
    <row r="694" spans="1:4" ht="15.75" customHeight="1" x14ac:dyDescent="0.25">
      <c r="A694" s="14" t="s">
        <v>2249</v>
      </c>
      <c r="B694" s="14" t="s">
        <v>2250</v>
      </c>
      <c r="D694" s="14" t="s">
        <v>301</v>
      </c>
    </row>
    <row r="695" spans="1:4" ht="15.75" customHeight="1" x14ac:dyDescent="0.25">
      <c r="A695" s="14" t="s">
        <v>2251</v>
      </c>
      <c r="B695" s="14" t="s">
        <v>2252</v>
      </c>
      <c r="D695" s="14" t="s">
        <v>301</v>
      </c>
    </row>
    <row r="696" spans="1:4" ht="15.75" customHeight="1" x14ac:dyDescent="0.25">
      <c r="A696" s="14" t="s">
        <v>2253</v>
      </c>
      <c r="B696" s="14" t="s">
        <v>2254</v>
      </c>
      <c r="D696" s="14" t="s">
        <v>301</v>
      </c>
    </row>
    <row r="697" spans="1:4" ht="15.75" customHeight="1" x14ac:dyDescent="0.25">
      <c r="A697" s="14" t="s">
        <v>941</v>
      </c>
      <c r="B697" s="14" t="s">
        <v>942</v>
      </c>
      <c r="D697" s="14" t="s">
        <v>301</v>
      </c>
    </row>
    <row r="698" spans="1:4" ht="15.75" customHeight="1" x14ac:dyDescent="0.25">
      <c r="A698" s="14" t="s">
        <v>943</v>
      </c>
      <c r="B698" s="14" t="s">
        <v>944</v>
      </c>
      <c r="D698" s="14" t="s">
        <v>301</v>
      </c>
    </row>
    <row r="699" spans="1:4" ht="15.75" customHeight="1" x14ac:dyDescent="0.25">
      <c r="A699" s="14" t="s">
        <v>945</v>
      </c>
      <c r="B699" s="14" t="s">
        <v>946</v>
      </c>
      <c r="D699" s="14" t="s">
        <v>301</v>
      </c>
    </row>
    <row r="700" spans="1:4" ht="15.75" customHeight="1" x14ac:dyDescent="0.25">
      <c r="A700" s="14" t="s">
        <v>947</v>
      </c>
      <c r="B700" s="14" t="s">
        <v>948</v>
      </c>
      <c r="D700" s="14" t="s">
        <v>301</v>
      </c>
    </row>
    <row r="701" spans="1:4" ht="15.75" customHeight="1" x14ac:dyDescent="0.25">
      <c r="A701" s="14" t="s">
        <v>2255</v>
      </c>
      <c r="B701" s="14" t="s">
        <v>2256</v>
      </c>
      <c r="D701" s="14" t="s">
        <v>301</v>
      </c>
    </row>
    <row r="702" spans="1:4" ht="15.75" customHeight="1" x14ac:dyDescent="0.25">
      <c r="A702" s="14" t="s">
        <v>949</v>
      </c>
      <c r="B702" s="14" t="s">
        <v>950</v>
      </c>
      <c r="D702" s="14" t="s">
        <v>301</v>
      </c>
    </row>
    <row r="703" spans="1:4" ht="15.75" customHeight="1" x14ac:dyDescent="0.25">
      <c r="A703" s="14" t="s">
        <v>951</v>
      </c>
      <c r="B703" s="14" t="s">
        <v>952</v>
      </c>
      <c r="D703" s="14" t="s">
        <v>301</v>
      </c>
    </row>
    <row r="704" spans="1:4" ht="15.75" customHeight="1" x14ac:dyDescent="0.25">
      <c r="A704" s="14" t="s">
        <v>953</v>
      </c>
      <c r="B704" s="14" t="s">
        <v>954</v>
      </c>
      <c r="D704" s="14" t="s">
        <v>301</v>
      </c>
    </row>
    <row r="705" spans="1:4" ht="15.75" customHeight="1" x14ac:dyDescent="0.25">
      <c r="A705" s="14" t="s">
        <v>2257</v>
      </c>
      <c r="B705" s="14" t="s">
        <v>2258</v>
      </c>
      <c r="D705" s="14" t="s">
        <v>301</v>
      </c>
    </row>
    <row r="706" spans="1:4" ht="15.75" customHeight="1" x14ac:dyDescent="0.25">
      <c r="A706" s="14" t="s">
        <v>2259</v>
      </c>
      <c r="B706" s="14" t="s">
        <v>2260</v>
      </c>
      <c r="D706" s="14" t="s">
        <v>301</v>
      </c>
    </row>
    <row r="707" spans="1:4" ht="15.75" customHeight="1" x14ac:dyDescent="0.25">
      <c r="A707" s="14" t="s">
        <v>2261</v>
      </c>
      <c r="B707" s="14" t="s">
        <v>2262</v>
      </c>
      <c r="D707" s="14" t="s">
        <v>301</v>
      </c>
    </row>
    <row r="708" spans="1:4" ht="15.75" customHeight="1" x14ac:dyDescent="0.25">
      <c r="A708" s="14" t="s">
        <v>2263</v>
      </c>
      <c r="B708" s="14" t="s">
        <v>2264</v>
      </c>
      <c r="D708" s="14" t="s">
        <v>301</v>
      </c>
    </row>
    <row r="709" spans="1:4" ht="15.75" customHeight="1" x14ac:dyDescent="0.25">
      <c r="A709" s="14" t="s">
        <v>2265</v>
      </c>
      <c r="B709" s="14" t="s">
        <v>2266</v>
      </c>
      <c r="D709" s="14" t="s">
        <v>301</v>
      </c>
    </row>
    <row r="710" spans="1:4" ht="15.75" customHeight="1" x14ac:dyDescent="0.25">
      <c r="A710" s="14" t="s">
        <v>2267</v>
      </c>
      <c r="B710" s="14" t="s">
        <v>2268</v>
      </c>
      <c r="D710" s="14" t="s">
        <v>301</v>
      </c>
    </row>
    <row r="711" spans="1:4" ht="15.75" customHeight="1" x14ac:dyDescent="0.25">
      <c r="A711" s="14" t="s">
        <v>2269</v>
      </c>
      <c r="B711" s="14" t="s">
        <v>2270</v>
      </c>
      <c r="D711" s="14" t="s">
        <v>301</v>
      </c>
    </row>
    <row r="712" spans="1:4" ht="15.75" customHeight="1" x14ac:dyDescent="0.25">
      <c r="A712" s="14" t="s">
        <v>2271</v>
      </c>
      <c r="B712" s="14" t="s">
        <v>2272</v>
      </c>
      <c r="D712" s="14" t="s">
        <v>301</v>
      </c>
    </row>
    <row r="713" spans="1:4" ht="15.75" customHeight="1" x14ac:dyDescent="0.25">
      <c r="A713" s="14" t="s">
        <v>2273</v>
      </c>
      <c r="B713" s="14" t="s">
        <v>2274</v>
      </c>
      <c r="D713" s="14" t="s">
        <v>301</v>
      </c>
    </row>
    <row r="714" spans="1:4" ht="15.75" customHeight="1" x14ac:dyDescent="0.25">
      <c r="A714" s="14" t="s">
        <v>2275</v>
      </c>
      <c r="B714" s="14" t="s">
        <v>2276</v>
      </c>
      <c r="D714" s="14" t="s">
        <v>301</v>
      </c>
    </row>
    <row r="715" spans="1:4" ht="15.75" customHeight="1" x14ac:dyDescent="0.25">
      <c r="A715" s="14" t="s">
        <v>955</v>
      </c>
      <c r="B715" s="14" t="s">
        <v>956</v>
      </c>
      <c r="D715" s="14" t="s">
        <v>301</v>
      </c>
    </row>
    <row r="716" spans="1:4" ht="15.75" customHeight="1" x14ac:dyDescent="0.25">
      <c r="A716" s="14" t="s">
        <v>2277</v>
      </c>
      <c r="B716" s="14" t="s">
        <v>2278</v>
      </c>
      <c r="D716" s="14" t="s">
        <v>301</v>
      </c>
    </row>
    <row r="717" spans="1:4" ht="15.75" customHeight="1" x14ac:dyDescent="0.25">
      <c r="A717" s="14" t="s">
        <v>957</v>
      </c>
      <c r="B717" s="14" t="s">
        <v>958</v>
      </c>
      <c r="D717" s="14" t="s">
        <v>301</v>
      </c>
    </row>
    <row r="718" spans="1:4" ht="15.75" customHeight="1" x14ac:dyDescent="0.25">
      <c r="A718" s="14" t="s">
        <v>2279</v>
      </c>
      <c r="B718" s="14" t="s">
        <v>2280</v>
      </c>
      <c r="D718" s="14" t="s">
        <v>301</v>
      </c>
    </row>
    <row r="719" spans="1:4" ht="15.75" customHeight="1" x14ac:dyDescent="0.25">
      <c r="A719" s="14" t="s">
        <v>2281</v>
      </c>
      <c r="B719" s="14" t="s">
        <v>2282</v>
      </c>
      <c r="D719" s="14" t="s">
        <v>301</v>
      </c>
    </row>
    <row r="720" spans="1:4" ht="15.75" customHeight="1" x14ac:dyDescent="0.25">
      <c r="A720" s="14" t="s">
        <v>2283</v>
      </c>
      <c r="B720" s="14" t="s">
        <v>2284</v>
      </c>
      <c r="D720" s="14" t="s">
        <v>301</v>
      </c>
    </row>
    <row r="721" spans="1:4" ht="15.75" customHeight="1" x14ac:dyDescent="0.25">
      <c r="A721" s="14" t="s">
        <v>2285</v>
      </c>
      <c r="B721" s="14" t="s">
        <v>2286</v>
      </c>
      <c r="D721" s="14" t="s">
        <v>301</v>
      </c>
    </row>
    <row r="722" spans="1:4" ht="15.75" customHeight="1" x14ac:dyDescent="0.25">
      <c r="A722" s="14" t="s">
        <v>961</v>
      </c>
      <c r="B722" s="14" t="s">
        <v>962</v>
      </c>
      <c r="D722" s="14" t="s">
        <v>301</v>
      </c>
    </row>
    <row r="723" spans="1:4" ht="15.75" customHeight="1" x14ac:dyDescent="0.25">
      <c r="A723" s="14" t="s">
        <v>963</v>
      </c>
      <c r="B723" s="14" t="s">
        <v>964</v>
      </c>
      <c r="D723" s="14" t="s">
        <v>301</v>
      </c>
    </row>
    <row r="724" spans="1:4" ht="15.75" customHeight="1" x14ac:dyDescent="0.25">
      <c r="A724" s="14" t="s">
        <v>965</v>
      </c>
      <c r="B724" s="14" t="s">
        <v>966</v>
      </c>
      <c r="D724" s="14" t="s">
        <v>301</v>
      </c>
    </row>
    <row r="725" spans="1:4" ht="15.75" customHeight="1" x14ac:dyDescent="0.25">
      <c r="A725" s="14" t="s">
        <v>967</v>
      </c>
      <c r="B725" s="14" t="s">
        <v>968</v>
      </c>
      <c r="D725" s="14" t="s">
        <v>301</v>
      </c>
    </row>
    <row r="726" spans="1:4" ht="15.75" customHeight="1" x14ac:dyDescent="0.25">
      <c r="A726" s="14" t="s">
        <v>2287</v>
      </c>
      <c r="B726" s="14" t="s">
        <v>2288</v>
      </c>
      <c r="D726" s="14" t="s">
        <v>301</v>
      </c>
    </row>
    <row r="727" spans="1:4" ht="15.75" customHeight="1" x14ac:dyDescent="0.25">
      <c r="A727" s="14" t="s">
        <v>2289</v>
      </c>
      <c r="B727" s="14" t="s">
        <v>2290</v>
      </c>
      <c r="D727" s="14" t="s">
        <v>301</v>
      </c>
    </row>
    <row r="728" spans="1:4" ht="15.75" customHeight="1" x14ac:dyDescent="0.25">
      <c r="A728" s="14" t="s">
        <v>2291</v>
      </c>
      <c r="B728" s="14" t="s">
        <v>2292</v>
      </c>
      <c r="D728" s="14" t="s">
        <v>301</v>
      </c>
    </row>
    <row r="729" spans="1:4" ht="15.75" customHeight="1" x14ac:dyDescent="0.25">
      <c r="A729" s="14" t="s">
        <v>2293</v>
      </c>
      <c r="B729" s="14" t="s">
        <v>2294</v>
      </c>
      <c r="D729" s="14" t="s">
        <v>301</v>
      </c>
    </row>
    <row r="730" spans="1:4" ht="15.75" customHeight="1" x14ac:dyDescent="0.25">
      <c r="A730" s="14" t="s">
        <v>2295</v>
      </c>
      <c r="B730" s="14" t="s">
        <v>2296</v>
      </c>
      <c r="D730" s="14" t="s">
        <v>301</v>
      </c>
    </row>
    <row r="731" spans="1:4" ht="15.75" customHeight="1" x14ac:dyDescent="0.25">
      <c r="A731" s="14" t="s">
        <v>2297</v>
      </c>
      <c r="B731" s="14" t="s">
        <v>2298</v>
      </c>
      <c r="D731" s="14" t="s">
        <v>301</v>
      </c>
    </row>
    <row r="732" spans="1:4" ht="15.75" customHeight="1" x14ac:dyDescent="0.25">
      <c r="A732" s="14" t="s">
        <v>2299</v>
      </c>
      <c r="B732" s="14" t="s">
        <v>2300</v>
      </c>
      <c r="D732" s="14" t="s">
        <v>301</v>
      </c>
    </row>
    <row r="733" spans="1:4" ht="15.75" customHeight="1" x14ac:dyDescent="0.25">
      <c r="A733" s="14" t="s">
        <v>2301</v>
      </c>
      <c r="B733" s="14" t="s">
        <v>2302</v>
      </c>
      <c r="D733" s="14" t="s">
        <v>301</v>
      </c>
    </row>
    <row r="734" spans="1:4" ht="15.75" customHeight="1" x14ac:dyDescent="0.25">
      <c r="A734" s="14" t="s">
        <v>985</v>
      </c>
      <c r="B734" s="14" t="s">
        <v>986</v>
      </c>
      <c r="D734" s="14" t="s">
        <v>301</v>
      </c>
    </row>
    <row r="735" spans="1:4" ht="15.75" customHeight="1" x14ac:dyDescent="0.25">
      <c r="A735" s="14" t="s">
        <v>987</v>
      </c>
      <c r="B735" s="14" t="s">
        <v>988</v>
      </c>
      <c r="D735" s="14" t="s">
        <v>301</v>
      </c>
    </row>
    <row r="736" spans="1:4" ht="15.75" customHeight="1" x14ac:dyDescent="0.25">
      <c r="A736" s="14" t="s">
        <v>993</v>
      </c>
      <c r="B736" s="14" t="s">
        <v>994</v>
      </c>
      <c r="D736" s="14" t="s">
        <v>301</v>
      </c>
    </row>
    <row r="737" spans="1:4" ht="15.75" customHeight="1" x14ac:dyDescent="0.25">
      <c r="A737" s="14" t="s">
        <v>983</v>
      </c>
      <c r="B737" s="14" t="s">
        <v>984</v>
      </c>
      <c r="D737" s="14" t="s">
        <v>301</v>
      </c>
    </row>
    <row r="738" spans="1:4" ht="15.75" customHeight="1" x14ac:dyDescent="0.25">
      <c r="A738" s="14" t="s">
        <v>989</v>
      </c>
      <c r="B738" s="14" t="s">
        <v>990</v>
      </c>
      <c r="D738" s="14" t="s">
        <v>301</v>
      </c>
    </row>
    <row r="739" spans="1:4" ht="15.75" customHeight="1" x14ac:dyDescent="0.25">
      <c r="A739" s="14" t="s">
        <v>991</v>
      </c>
      <c r="B739" s="14" t="s">
        <v>992</v>
      </c>
      <c r="D739" s="14" t="s">
        <v>301</v>
      </c>
    </row>
    <row r="740" spans="1:4" ht="15.75" customHeight="1" x14ac:dyDescent="0.25">
      <c r="A740" s="14" t="s">
        <v>995</v>
      </c>
      <c r="B740" s="14" t="s">
        <v>996</v>
      </c>
      <c r="D740" s="14" t="s">
        <v>301</v>
      </c>
    </row>
    <row r="741" spans="1:4" ht="15.75" customHeight="1" x14ac:dyDescent="0.25">
      <c r="A741" s="14" t="s">
        <v>997</v>
      </c>
      <c r="B741" s="14" t="s">
        <v>998</v>
      </c>
      <c r="D741" s="14" t="s">
        <v>301</v>
      </c>
    </row>
    <row r="742" spans="1:4" ht="15.75" customHeight="1" x14ac:dyDescent="0.25">
      <c r="A742" s="14" t="s">
        <v>2303</v>
      </c>
      <c r="B742" s="14" t="s">
        <v>2304</v>
      </c>
      <c r="D742" s="14" t="s">
        <v>301</v>
      </c>
    </row>
    <row r="743" spans="1:4" ht="15.75" customHeight="1" x14ac:dyDescent="0.25">
      <c r="A743" s="14" t="s">
        <v>999</v>
      </c>
      <c r="B743" s="14" t="s">
        <v>1000</v>
      </c>
      <c r="D743" s="14" t="s">
        <v>301</v>
      </c>
    </row>
    <row r="744" spans="1:4" ht="15.75" customHeight="1" x14ac:dyDescent="0.25">
      <c r="A744" s="14" t="s">
        <v>1001</v>
      </c>
      <c r="B744" s="14" t="s">
        <v>1002</v>
      </c>
      <c r="D744" s="14" t="s">
        <v>301</v>
      </c>
    </row>
    <row r="745" spans="1:4" ht="15.75" customHeight="1" x14ac:dyDescent="0.25">
      <c r="A745" s="14" t="s">
        <v>2305</v>
      </c>
      <c r="B745" s="14" t="s">
        <v>2306</v>
      </c>
      <c r="D745" s="14" t="s">
        <v>301</v>
      </c>
    </row>
    <row r="746" spans="1:4" ht="15.75" customHeight="1" x14ac:dyDescent="0.25">
      <c r="A746" s="14" t="s">
        <v>2307</v>
      </c>
      <c r="B746" s="14" t="s">
        <v>2308</v>
      </c>
      <c r="D746" s="14" t="s">
        <v>301</v>
      </c>
    </row>
    <row r="747" spans="1:4" ht="15.75" customHeight="1" x14ac:dyDescent="0.25">
      <c r="A747" s="14" t="s">
        <v>2309</v>
      </c>
      <c r="B747" s="14" t="s">
        <v>2310</v>
      </c>
      <c r="D747" s="14" t="s">
        <v>301</v>
      </c>
    </row>
    <row r="748" spans="1:4" ht="15.75" customHeight="1" x14ac:dyDescent="0.25">
      <c r="A748" s="14" t="s">
        <v>2311</v>
      </c>
      <c r="B748" s="14" t="s">
        <v>2312</v>
      </c>
      <c r="D748" s="14" t="s">
        <v>301</v>
      </c>
    </row>
    <row r="749" spans="1:4" ht="15.75" customHeight="1" x14ac:dyDescent="0.25">
      <c r="A749" s="14" t="s">
        <v>2313</v>
      </c>
      <c r="B749" s="14" t="s">
        <v>2314</v>
      </c>
      <c r="D749" s="14" t="s">
        <v>301</v>
      </c>
    </row>
    <row r="750" spans="1:4" ht="15.75" customHeight="1" x14ac:dyDescent="0.25">
      <c r="A750" s="14" t="s">
        <v>1007</v>
      </c>
      <c r="B750" s="14" t="s">
        <v>1008</v>
      </c>
      <c r="D750" s="14" t="s">
        <v>301</v>
      </c>
    </row>
    <row r="751" spans="1:4" ht="15.75" customHeight="1" x14ac:dyDescent="0.25">
      <c r="A751" s="14" t="s">
        <v>2315</v>
      </c>
      <c r="B751" s="14" t="s">
        <v>2316</v>
      </c>
      <c r="D751" s="14" t="s">
        <v>301</v>
      </c>
    </row>
    <row r="752" spans="1:4" ht="15.75" customHeight="1" x14ac:dyDescent="0.25">
      <c r="A752" s="14" t="s">
        <v>1019</v>
      </c>
      <c r="B752" s="14" t="s">
        <v>1020</v>
      </c>
      <c r="D752" s="14" t="s">
        <v>301</v>
      </c>
    </row>
    <row r="753" spans="1:4" ht="15.75" customHeight="1" x14ac:dyDescent="0.25">
      <c r="A753" s="14" t="s">
        <v>2317</v>
      </c>
      <c r="B753" s="14" t="s">
        <v>2318</v>
      </c>
      <c r="D753" s="14" t="s">
        <v>301</v>
      </c>
    </row>
    <row r="754" spans="1:4" ht="15.75" customHeight="1" x14ac:dyDescent="0.25">
      <c r="A754" s="14" t="s">
        <v>2319</v>
      </c>
      <c r="B754" s="14" t="s">
        <v>2320</v>
      </c>
      <c r="D754" s="14" t="s">
        <v>301</v>
      </c>
    </row>
    <row r="755" spans="1:4" ht="15.75" customHeight="1" x14ac:dyDescent="0.25">
      <c r="A755" s="14" t="s">
        <v>2321</v>
      </c>
      <c r="B755" s="14" t="s">
        <v>2322</v>
      </c>
      <c r="D755" s="14" t="s">
        <v>301</v>
      </c>
    </row>
    <row r="756" spans="1:4" ht="15.75" customHeight="1" x14ac:dyDescent="0.25">
      <c r="A756" s="14" t="s">
        <v>1023</v>
      </c>
      <c r="B756" s="14" t="s">
        <v>1024</v>
      </c>
      <c r="D756" s="14" t="s">
        <v>301</v>
      </c>
    </row>
    <row r="757" spans="1:4" ht="15.75" customHeight="1" x14ac:dyDescent="0.25">
      <c r="A757" s="14" t="s">
        <v>2323</v>
      </c>
      <c r="B757" s="14" t="s">
        <v>2324</v>
      </c>
      <c r="D757" s="14" t="s">
        <v>301</v>
      </c>
    </row>
    <row r="758" spans="1:4" ht="15.75" customHeight="1" x14ac:dyDescent="0.25">
      <c r="A758" s="14" t="s">
        <v>2325</v>
      </c>
      <c r="B758" s="14" t="s">
        <v>2326</v>
      </c>
      <c r="D758" s="14" t="s">
        <v>301</v>
      </c>
    </row>
    <row r="759" spans="1:4" ht="15.75" customHeight="1" x14ac:dyDescent="0.25">
      <c r="A759" s="14" t="s">
        <v>2327</v>
      </c>
      <c r="B759" s="14" t="s">
        <v>2328</v>
      </c>
      <c r="D759" s="14" t="s">
        <v>301</v>
      </c>
    </row>
    <row r="760" spans="1:4" ht="15.75" customHeight="1" x14ac:dyDescent="0.25">
      <c r="A760" s="14" t="s">
        <v>2329</v>
      </c>
      <c r="B760" s="14" t="s">
        <v>2330</v>
      </c>
      <c r="D760" s="14" t="s">
        <v>301</v>
      </c>
    </row>
    <row r="761" spans="1:4" ht="15.75" customHeight="1" x14ac:dyDescent="0.25">
      <c r="A761" s="14" t="s">
        <v>2331</v>
      </c>
      <c r="B761" s="14" t="s">
        <v>2332</v>
      </c>
      <c r="D761" s="14" t="s">
        <v>301</v>
      </c>
    </row>
    <row r="762" spans="1:4" ht="15.75" customHeight="1" x14ac:dyDescent="0.25">
      <c r="A762" s="14" t="s">
        <v>2333</v>
      </c>
      <c r="B762" s="14" t="s">
        <v>2334</v>
      </c>
      <c r="D762" s="14" t="s">
        <v>301</v>
      </c>
    </row>
    <row r="763" spans="1:4" ht="15.75" customHeight="1" x14ac:dyDescent="0.25">
      <c r="A763" s="14" t="s">
        <v>2335</v>
      </c>
      <c r="B763" s="14" t="s">
        <v>2336</v>
      </c>
      <c r="D763" s="14" t="s">
        <v>301</v>
      </c>
    </row>
    <row r="764" spans="1:4" ht="15.75" customHeight="1" x14ac:dyDescent="0.25">
      <c r="A764" s="14" t="s">
        <v>2337</v>
      </c>
      <c r="B764" s="14" t="s">
        <v>2338</v>
      </c>
      <c r="D764" s="14" t="s">
        <v>301</v>
      </c>
    </row>
    <row r="765" spans="1:4" ht="15.75" customHeight="1" x14ac:dyDescent="0.25">
      <c r="A765" s="14" t="s">
        <v>1039</v>
      </c>
      <c r="B765" s="14" t="s">
        <v>1040</v>
      </c>
      <c r="D765" s="14" t="s">
        <v>301</v>
      </c>
    </row>
    <row r="766" spans="1:4" ht="15.75" customHeight="1" x14ac:dyDescent="0.25">
      <c r="A766" s="14" t="s">
        <v>1041</v>
      </c>
      <c r="B766" s="14" t="s">
        <v>1042</v>
      </c>
      <c r="D766" s="14" t="s">
        <v>301</v>
      </c>
    </row>
    <row r="767" spans="1:4" ht="15.75" customHeight="1" x14ac:dyDescent="0.25">
      <c r="A767" s="14" t="s">
        <v>2339</v>
      </c>
      <c r="B767" s="14" t="s">
        <v>2340</v>
      </c>
      <c r="D767" s="14" t="s">
        <v>301</v>
      </c>
    </row>
    <row r="768" spans="1:4" ht="15.75" customHeight="1" x14ac:dyDescent="0.25">
      <c r="A768" s="14" t="s">
        <v>2341</v>
      </c>
      <c r="B768" s="14" t="s">
        <v>2342</v>
      </c>
      <c r="D768" s="14" t="s">
        <v>301</v>
      </c>
    </row>
    <row r="769" spans="1:4" ht="15.75" customHeight="1" x14ac:dyDescent="0.25">
      <c r="A769" s="14" t="s">
        <v>2343</v>
      </c>
      <c r="B769" s="14" t="s">
        <v>2344</v>
      </c>
      <c r="D769" s="14" t="s">
        <v>301</v>
      </c>
    </row>
    <row r="770" spans="1:4" ht="15.75" customHeight="1" x14ac:dyDescent="0.25">
      <c r="A770" s="14" t="s">
        <v>2345</v>
      </c>
      <c r="B770" s="14" t="s">
        <v>2346</v>
      </c>
      <c r="D770" s="14" t="s">
        <v>301</v>
      </c>
    </row>
    <row r="771" spans="1:4" ht="15.75" customHeight="1" x14ac:dyDescent="0.25">
      <c r="A771" s="14" t="s">
        <v>2347</v>
      </c>
      <c r="B771" s="14" t="s">
        <v>2348</v>
      </c>
      <c r="D771" s="14" t="s">
        <v>301</v>
      </c>
    </row>
    <row r="772" spans="1:4" ht="15.75" customHeight="1" x14ac:dyDescent="0.25">
      <c r="A772" s="14" t="s">
        <v>1049</v>
      </c>
      <c r="B772" s="14" t="s">
        <v>1050</v>
      </c>
      <c r="D772" s="14" t="s">
        <v>301</v>
      </c>
    </row>
    <row r="773" spans="1:4" ht="15.75" customHeight="1" x14ac:dyDescent="0.25">
      <c r="A773" s="14" t="s">
        <v>1051</v>
      </c>
      <c r="B773" s="14" t="s">
        <v>1052</v>
      </c>
      <c r="D773" s="14" t="s">
        <v>301</v>
      </c>
    </row>
    <row r="774" spans="1:4" ht="15.75" customHeight="1" x14ac:dyDescent="0.25">
      <c r="A774" s="14" t="s">
        <v>2349</v>
      </c>
      <c r="B774" s="14" t="s">
        <v>2350</v>
      </c>
      <c r="D774" s="14" t="s">
        <v>301</v>
      </c>
    </row>
    <row r="775" spans="1:4" ht="15.75" customHeight="1" x14ac:dyDescent="0.25">
      <c r="A775" s="14" t="s">
        <v>2351</v>
      </c>
      <c r="B775" s="14" t="s">
        <v>2352</v>
      </c>
      <c r="D775" s="14" t="s">
        <v>301</v>
      </c>
    </row>
    <row r="776" spans="1:4" ht="15.75" customHeight="1" x14ac:dyDescent="0.25">
      <c r="A776" s="14" t="s">
        <v>2353</v>
      </c>
      <c r="B776" s="14" t="s">
        <v>2354</v>
      </c>
      <c r="D776" s="14" t="s">
        <v>301</v>
      </c>
    </row>
    <row r="777" spans="1:4" ht="15.75" customHeight="1" x14ac:dyDescent="0.25">
      <c r="A777" s="14" t="s">
        <v>2355</v>
      </c>
      <c r="B777" s="14" t="s">
        <v>2356</v>
      </c>
      <c r="D777" s="14" t="s">
        <v>301</v>
      </c>
    </row>
    <row r="778" spans="1:4" ht="15.75" customHeight="1" x14ac:dyDescent="0.25">
      <c r="A778" s="14" t="s">
        <v>2357</v>
      </c>
      <c r="B778" s="14" t="s">
        <v>2358</v>
      </c>
      <c r="D778" s="14" t="s">
        <v>301</v>
      </c>
    </row>
    <row r="779" spans="1:4" ht="15.75" customHeight="1" x14ac:dyDescent="0.25">
      <c r="A779" s="14" t="s">
        <v>2359</v>
      </c>
      <c r="B779" s="14" t="s">
        <v>2360</v>
      </c>
      <c r="D779" s="14" t="s">
        <v>301</v>
      </c>
    </row>
    <row r="780" spans="1:4" ht="15.75" customHeight="1" x14ac:dyDescent="0.25">
      <c r="A780" s="14" t="s">
        <v>2361</v>
      </c>
      <c r="B780" s="14" t="s">
        <v>2362</v>
      </c>
      <c r="D780" s="14" t="s">
        <v>301</v>
      </c>
    </row>
    <row r="781" spans="1:4" ht="15.75" customHeight="1" x14ac:dyDescent="0.25">
      <c r="A781" s="14" t="s">
        <v>1057</v>
      </c>
      <c r="B781" s="14" t="s">
        <v>1058</v>
      </c>
      <c r="D781" s="14" t="s">
        <v>301</v>
      </c>
    </row>
    <row r="782" spans="1:4" ht="15.75" customHeight="1" x14ac:dyDescent="0.25">
      <c r="A782" s="14" t="s">
        <v>2363</v>
      </c>
      <c r="B782" s="14" t="s">
        <v>2364</v>
      </c>
      <c r="D782" s="14" t="s">
        <v>301</v>
      </c>
    </row>
    <row r="783" spans="1:4" ht="15.75" customHeight="1" x14ac:dyDescent="0.25">
      <c r="A783" s="14" t="s">
        <v>2365</v>
      </c>
      <c r="B783" s="14" t="s">
        <v>2366</v>
      </c>
      <c r="D783" s="14" t="s">
        <v>301</v>
      </c>
    </row>
    <row r="784" spans="1:4" ht="15.75" customHeight="1" x14ac:dyDescent="0.25">
      <c r="A784" s="14" t="s">
        <v>2367</v>
      </c>
      <c r="B784" s="14" t="s">
        <v>2368</v>
      </c>
      <c r="D784" s="14" t="s">
        <v>301</v>
      </c>
    </row>
    <row r="785" spans="1:4" ht="15.75" customHeight="1" x14ac:dyDescent="0.25">
      <c r="A785" s="14" t="s">
        <v>2369</v>
      </c>
      <c r="B785" s="14" t="s">
        <v>2370</v>
      </c>
      <c r="D785" s="14" t="s">
        <v>301</v>
      </c>
    </row>
    <row r="786" spans="1:4" ht="15.75" customHeight="1" x14ac:dyDescent="0.25">
      <c r="A786" s="14" t="s">
        <v>2371</v>
      </c>
      <c r="B786" s="14" t="s">
        <v>2372</v>
      </c>
      <c r="D786" s="14" t="s">
        <v>301</v>
      </c>
    </row>
    <row r="787" spans="1:4" ht="15.75" customHeight="1" x14ac:dyDescent="0.25">
      <c r="A787" s="14" t="s">
        <v>1061</v>
      </c>
      <c r="B787" s="14" t="s">
        <v>1062</v>
      </c>
      <c r="D787" s="14" t="s">
        <v>301</v>
      </c>
    </row>
    <row r="788" spans="1:4" ht="15.75" customHeight="1" x14ac:dyDescent="0.25">
      <c r="A788" s="14" t="s">
        <v>1063</v>
      </c>
      <c r="B788" s="14" t="s">
        <v>1064</v>
      </c>
      <c r="D788" s="14" t="s">
        <v>301</v>
      </c>
    </row>
    <row r="789" spans="1:4" ht="15.75" customHeight="1" x14ac:dyDescent="0.25">
      <c r="A789" s="14" t="s">
        <v>1065</v>
      </c>
      <c r="B789" s="14" t="s">
        <v>1066</v>
      </c>
      <c r="D789" s="14" t="s">
        <v>301</v>
      </c>
    </row>
    <row r="790" spans="1:4" ht="15.75" customHeight="1" x14ac:dyDescent="0.25">
      <c r="A790" s="14" t="s">
        <v>2373</v>
      </c>
      <c r="B790" s="14" t="s">
        <v>2374</v>
      </c>
      <c r="D790" s="14" t="s">
        <v>301</v>
      </c>
    </row>
    <row r="791" spans="1:4" ht="15.75" customHeight="1" x14ac:dyDescent="0.25">
      <c r="A791" s="14" t="s">
        <v>2375</v>
      </c>
      <c r="B791" s="14" t="s">
        <v>2376</v>
      </c>
      <c r="D791" s="14" t="s">
        <v>301</v>
      </c>
    </row>
    <row r="792" spans="1:4" ht="15.75" customHeight="1" x14ac:dyDescent="0.25">
      <c r="A792" s="14">
        <v>22007771</v>
      </c>
      <c r="B792" s="14" t="s">
        <v>2377</v>
      </c>
      <c r="D792" s="14" t="s">
        <v>301</v>
      </c>
    </row>
    <row r="793" spans="1:4" ht="15.75" customHeight="1" x14ac:dyDescent="0.25">
      <c r="A793" s="14">
        <v>30058598</v>
      </c>
      <c r="B793" s="14" t="s">
        <v>2378</v>
      </c>
      <c r="D793" s="14" t="s">
        <v>301</v>
      </c>
    </row>
    <row r="794" spans="1:4" ht="15.75" customHeight="1" x14ac:dyDescent="0.25">
      <c r="A794" s="14">
        <v>1001161</v>
      </c>
      <c r="B794" s="14" t="s">
        <v>1070</v>
      </c>
      <c r="D794" s="14" t="s">
        <v>301</v>
      </c>
    </row>
    <row r="795" spans="1:4" ht="15.75" customHeight="1" x14ac:dyDescent="0.25">
      <c r="A795" s="14">
        <v>1000235</v>
      </c>
      <c r="B795" s="14" t="s">
        <v>1072</v>
      </c>
      <c r="D795" s="14" t="s">
        <v>301</v>
      </c>
    </row>
    <row r="796" spans="1:4" ht="15.75" customHeight="1" x14ac:dyDescent="0.25">
      <c r="A796" s="14">
        <v>251793</v>
      </c>
      <c r="B796" s="14" t="s">
        <v>2379</v>
      </c>
      <c r="D796" s="14" t="s">
        <v>301</v>
      </c>
    </row>
    <row r="797" spans="1:4" ht="15.75" customHeight="1" x14ac:dyDescent="0.25">
      <c r="A797" s="14">
        <v>252736</v>
      </c>
      <c r="B797" s="14" t="s">
        <v>2380</v>
      </c>
      <c r="D797" s="14" t="s">
        <v>301</v>
      </c>
    </row>
    <row r="798" spans="1:4" ht="15.75" customHeight="1" x14ac:dyDescent="0.25">
      <c r="A798" s="14">
        <v>254272</v>
      </c>
      <c r="B798" s="14" t="s">
        <v>2381</v>
      </c>
      <c r="D798" s="14" t="s">
        <v>301</v>
      </c>
    </row>
    <row r="799" spans="1:4" ht="15.75" customHeight="1" x14ac:dyDescent="0.25">
      <c r="A799" s="14">
        <v>22068117</v>
      </c>
      <c r="B799" s="14" t="s">
        <v>2382</v>
      </c>
      <c r="D799" s="14" t="s">
        <v>301</v>
      </c>
    </row>
    <row r="800" spans="1:4" ht="15.75" customHeight="1" x14ac:dyDescent="0.25">
      <c r="A800" s="14">
        <v>22060790</v>
      </c>
      <c r="B800" s="14" t="s">
        <v>2383</v>
      </c>
      <c r="D800" s="14" t="s">
        <v>301</v>
      </c>
    </row>
    <row r="801" spans="1:4" ht="15.75" customHeight="1" x14ac:dyDescent="0.25">
      <c r="A801" s="14">
        <v>253334</v>
      </c>
      <c r="B801" s="14" t="s">
        <v>2384</v>
      </c>
      <c r="D801" s="14" t="s">
        <v>301</v>
      </c>
    </row>
    <row r="802" spans="1:4" ht="15.75" customHeight="1" x14ac:dyDescent="0.25">
      <c r="A802" s="14">
        <v>22061859</v>
      </c>
      <c r="B802" s="14" t="s">
        <v>2385</v>
      </c>
      <c r="D802" s="14" t="s">
        <v>301</v>
      </c>
    </row>
    <row r="803" spans="1:4" ht="15.75" customHeight="1" x14ac:dyDescent="0.25">
      <c r="A803" s="14">
        <v>30035004</v>
      </c>
      <c r="B803" s="14" t="s">
        <v>2386</v>
      </c>
      <c r="D803" s="14" t="s">
        <v>301</v>
      </c>
    </row>
    <row r="804" spans="1:4" ht="15.75" customHeight="1" x14ac:dyDescent="0.25">
      <c r="A804" s="14">
        <v>30035005</v>
      </c>
      <c r="B804" s="14" t="s">
        <v>2387</v>
      </c>
      <c r="D804" s="14" t="s">
        <v>301</v>
      </c>
    </row>
    <row r="805" spans="1:4" ht="15.75" customHeight="1" x14ac:dyDescent="0.25">
      <c r="A805" s="14">
        <v>30035103</v>
      </c>
      <c r="B805" s="14" t="s">
        <v>2388</v>
      </c>
      <c r="D805" s="14" t="s">
        <v>301</v>
      </c>
    </row>
    <row r="806" spans="1:4" ht="15.75" customHeight="1" x14ac:dyDescent="0.25">
      <c r="A806" s="14">
        <v>252747</v>
      </c>
      <c r="B806" s="14" t="s">
        <v>2389</v>
      </c>
      <c r="D806" s="14" t="s">
        <v>301</v>
      </c>
    </row>
    <row r="807" spans="1:4" ht="15.75" customHeight="1" x14ac:dyDescent="0.25">
      <c r="A807" s="14">
        <v>30035027</v>
      </c>
      <c r="B807" s="14" t="s">
        <v>2389</v>
      </c>
      <c r="D807" s="14" t="s">
        <v>301</v>
      </c>
    </row>
    <row r="808" spans="1:4" ht="15.75" customHeight="1" x14ac:dyDescent="0.25">
      <c r="A808" s="14">
        <v>252746</v>
      </c>
      <c r="B808" s="14" t="s">
        <v>2390</v>
      </c>
      <c r="D808" s="14" t="s">
        <v>301</v>
      </c>
    </row>
    <row r="809" spans="1:4" ht="15.75" customHeight="1" x14ac:dyDescent="0.25">
      <c r="A809" s="14">
        <v>30034478</v>
      </c>
      <c r="B809" s="14" t="s">
        <v>2391</v>
      </c>
      <c r="D809" s="14" t="s">
        <v>301</v>
      </c>
    </row>
    <row r="810" spans="1:4" ht="15.75" customHeight="1" x14ac:dyDescent="0.25">
      <c r="A810" s="14">
        <v>30034689</v>
      </c>
      <c r="B810" s="14" t="s">
        <v>2392</v>
      </c>
      <c r="D810" s="14" t="s">
        <v>301</v>
      </c>
    </row>
    <row r="811" spans="1:4" ht="15.75" customHeight="1" x14ac:dyDescent="0.25">
      <c r="A811" s="14">
        <v>30034505</v>
      </c>
      <c r="B811" s="14" t="s">
        <v>2393</v>
      </c>
      <c r="D811" s="14" t="s">
        <v>301</v>
      </c>
    </row>
    <row r="812" spans="1:4" ht="15.75" customHeight="1" x14ac:dyDescent="0.25">
      <c r="A812" s="14" t="s">
        <v>2394</v>
      </c>
      <c r="B812" s="14" t="s">
        <v>2395</v>
      </c>
      <c r="D812" s="14" t="s">
        <v>301</v>
      </c>
    </row>
    <row r="813" spans="1:4" ht="15.75" customHeight="1" x14ac:dyDescent="0.25">
      <c r="A813" s="14">
        <v>1001546</v>
      </c>
      <c r="B813" s="14" t="s">
        <v>2396</v>
      </c>
      <c r="D813" s="14" t="s">
        <v>301</v>
      </c>
    </row>
    <row r="814" spans="1:4" ht="15.75" customHeight="1" x14ac:dyDescent="0.25">
      <c r="A814" s="14">
        <v>1002025</v>
      </c>
      <c r="B814" s="14" t="s">
        <v>1074</v>
      </c>
      <c r="D814" s="14" t="s">
        <v>301</v>
      </c>
    </row>
    <row r="815" spans="1:4" ht="15.75" customHeight="1" x14ac:dyDescent="0.25">
      <c r="A815" s="14">
        <v>30001278</v>
      </c>
      <c r="B815" s="14" t="s">
        <v>1076</v>
      </c>
      <c r="D815" s="14" t="s">
        <v>301</v>
      </c>
    </row>
    <row r="816" spans="1:4" ht="15.75" customHeight="1" x14ac:dyDescent="0.25">
      <c r="A816" s="14">
        <v>1000237</v>
      </c>
      <c r="B816" s="14" t="s">
        <v>2397</v>
      </c>
      <c r="D816" s="14" t="s">
        <v>301</v>
      </c>
    </row>
    <row r="817" spans="1:4" ht="15.75" customHeight="1" x14ac:dyDescent="0.25">
      <c r="A817" s="14">
        <v>1002162</v>
      </c>
      <c r="B817" s="14" t="s">
        <v>2398</v>
      </c>
      <c r="D817" s="14" t="s">
        <v>301</v>
      </c>
    </row>
    <row r="818" spans="1:4" ht="15.75" customHeight="1" x14ac:dyDescent="0.25">
      <c r="A818" s="14">
        <v>251853</v>
      </c>
      <c r="B818" s="14" t="s">
        <v>2399</v>
      </c>
      <c r="D818" s="14" t="s">
        <v>301</v>
      </c>
    </row>
    <row r="819" spans="1:4" ht="15.75" customHeight="1" x14ac:dyDescent="0.25">
      <c r="A819" s="14">
        <v>254445</v>
      </c>
      <c r="B819" s="14" t="s">
        <v>2400</v>
      </c>
      <c r="D819" s="14" t="s">
        <v>301</v>
      </c>
    </row>
    <row r="820" spans="1:4" ht="15.75" customHeight="1" x14ac:dyDescent="0.25">
      <c r="A820" s="14">
        <v>22025964</v>
      </c>
      <c r="B820" s="14" t="s">
        <v>2401</v>
      </c>
      <c r="D820" s="14" t="s">
        <v>301</v>
      </c>
    </row>
    <row r="821" spans="1:4" ht="15.75" customHeight="1" x14ac:dyDescent="0.25">
      <c r="A821" s="14">
        <v>22025739</v>
      </c>
      <c r="B821" s="14" t="s">
        <v>2402</v>
      </c>
      <c r="D821" s="14" t="s">
        <v>301</v>
      </c>
    </row>
    <row r="822" spans="1:4" ht="15.75" customHeight="1" x14ac:dyDescent="0.25">
      <c r="A822" s="14">
        <v>22025320</v>
      </c>
      <c r="B822" s="14" t="s">
        <v>2403</v>
      </c>
      <c r="D822" s="14" t="s">
        <v>301</v>
      </c>
    </row>
    <row r="823" spans="1:4" ht="15.75" customHeight="1" x14ac:dyDescent="0.25">
      <c r="A823" s="14">
        <v>252283</v>
      </c>
      <c r="B823" s="14" t="s">
        <v>2404</v>
      </c>
      <c r="D823" s="14" t="s">
        <v>301</v>
      </c>
    </row>
    <row r="824" spans="1:4" ht="15.75" customHeight="1" x14ac:dyDescent="0.25">
      <c r="A824" s="14">
        <v>30034306</v>
      </c>
      <c r="B824" s="14" t="s">
        <v>2405</v>
      </c>
      <c r="D824" s="14" t="s">
        <v>301</v>
      </c>
    </row>
    <row r="825" spans="1:4" ht="15.75" customHeight="1" x14ac:dyDescent="0.25">
      <c r="A825" s="14">
        <v>252290</v>
      </c>
      <c r="B825" s="14" t="s">
        <v>2406</v>
      </c>
      <c r="D825" s="14" t="s">
        <v>301</v>
      </c>
    </row>
    <row r="826" spans="1:4" ht="15.75" customHeight="1" x14ac:dyDescent="0.25">
      <c r="A826" s="14">
        <v>90007709</v>
      </c>
      <c r="B826" s="14" t="s">
        <v>2407</v>
      </c>
      <c r="D826" s="14" t="s">
        <v>301</v>
      </c>
    </row>
    <row r="827" spans="1:4" ht="15.75" customHeight="1" x14ac:dyDescent="0.25">
      <c r="A827" s="14">
        <v>100878</v>
      </c>
      <c r="B827" s="14" t="s">
        <v>444</v>
      </c>
      <c r="D827" s="14" t="s">
        <v>301</v>
      </c>
    </row>
    <row r="828" spans="1:4" ht="15.75" customHeight="1" x14ac:dyDescent="0.25">
      <c r="A828" s="14">
        <v>9000046</v>
      </c>
      <c r="B828" s="14" t="s">
        <v>2408</v>
      </c>
      <c r="D828" s="14" t="s">
        <v>301</v>
      </c>
    </row>
    <row r="829" spans="1:4" ht="15.75" customHeight="1" x14ac:dyDescent="0.25">
      <c r="A829" s="14">
        <v>1001447</v>
      </c>
      <c r="B829" s="14" t="s">
        <v>448</v>
      </c>
      <c r="D829" s="14" t="s">
        <v>301</v>
      </c>
    </row>
    <row r="830" spans="1:4" ht="15.75" customHeight="1" x14ac:dyDescent="0.25">
      <c r="A830" s="14">
        <v>1001448</v>
      </c>
      <c r="B830" s="14" t="s">
        <v>2409</v>
      </c>
      <c r="D830" s="14" t="s">
        <v>301</v>
      </c>
    </row>
    <row r="831" spans="1:4" ht="15.75" customHeight="1" x14ac:dyDescent="0.25">
      <c r="A831" s="14">
        <v>30034927</v>
      </c>
      <c r="B831" s="14" t="s">
        <v>2410</v>
      </c>
      <c r="D831" s="14" t="s">
        <v>301</v>
      </c>
    </row>
    <row r="832" spans="1:4" ht="15.75" customHeight="1" x14ac:dyDescent="0.25">
      <c r="A832" s="14">
        <v>30034925</v>
      </c>
      <c r="B832" s="14" t="s">
        <v>2411</v>
      </c>
      <c r="D832" s="14" t="s">
        <v>301</v>
      </c>
    </row>
    <row r="833" spans="1:4" ht="15.75" customHeight="1" x14ac:dyDescent="0.25">
      <c r="A833" s="14">
        <v>30034918</v>
      </c>
      <c r="B833" s="14" t="s">
        <v>2412</v>
      </c>
      <c r="D833" s="14" t="s">
        <v>301</v>
      </c>
    </row>
    <row r="834" spans="1:4" ht="15.75" customHeight="1" x14ac:dyDescent="0.25">
      <c r="A834" s="14">
        <v>30034920</v>
      </c>
      <c r="B834" s="14" t="s">
        <v>2413</v>
      </c>
      <c r="D834" s="14" t="s">
        <v>301</v>
      </c>
    </row>
    <row r="835" spans="1:4" ht="15.75" customHeight="1" x14ac:dyDescent="0.25">
      <c r="A835" s="14">
        <v>30034926</v>
      </c>
      <c r="B835" s="14" t="s">
        <v>2414</v>
      </c>
      <c r="D835" s="14" t="s">
        <v>301</v>
      </c>
    </row>
    <row r="836" spans="1:4" ht="15.75" customHeight="1" x14ac:dyDescent="0.25">
      <c r="A836" s="14">
        <v>30034929</v>
      </c>
      <c r="B836" s="14" t="s">
        <v>2415</v>
      </c>
      <c r="D836" s="14" t="s">
        <v>301</v>
      </c>
    </row>
    <row r="837" spans="1:4" ht="15.75" customHeight="1" x14ac:dyDescent="0.25">
      <c r="A837" s="14">
        <v>30034916</v>
      </c>
      <c r="B837" s="14" t="s">
        <v>2416</v>
      </c>
      <c r="D837" s="14" t="s">
        <v>301</v>
      </c>
    </row>
    <row r="838" spans="1:4" ht="15.75" customHeight="1" x14ac:dyDescent="0.25">
      <c r="A838" s="14">
        <v>30034931</v>
      </c>
      <c r="B838" s="14" t="s">
        <v>2417</v>
      </c>
      <c r="D838" s="14" t="s">
        <v>301</v>
      </c>
    </row>
    <row r="839" spans="1:4" ht="15.75" customHeight="1" x14ac:dyDescent="0.25">
      <c r="A839" s="14">
        <v>1006902</v>
      </c>
      <c r="B839" s="14" t="s">
        <v>1080</v>
      </c>
      <c r="D839" s="14" t="s">
        <v>301</v>
      </c>
    </row>
    <row r="840" spans="1:4" ht="15.75" customHeight="1" x14ac:dyDescent="0.25">
      <c r="A840" s="14">
        <v>1002106</v>
      </c>
      <c r="B840" s="14" t="s">
        <v>450</v>
      </c>
      <c r="D840" s="14" t="s">
        <v>301</v>
      </c>
    </row>
    <row r="841" spans="1:4" ht="15.75" customHeight="1" x14ac:dyDescent="0.25">
      <c r="A841" s="14">
        <v>1001946</v>
      </c>
      <c r="B841" s="14" t="s">
        <v>1084</v>
      </c>
      <c r="D841" s="14" t="s">
        <v>301</v>
      </c>
    </row>
    <row r="842" spans="1:4" ht="15.75" customHeight="1" x14ac:dyDescent="0.25">
      <c r="A842" s="14">
        <v>1000245</v>
      </c>
      <c r="B842" s="14" t="s">
        <v>1086</v>
      </c>
      <c r="D842" s="14" t="s">
        <v>301</v>
      </c>
    </row>
    <row r="843" spans="1:4" ht="15.75" customHeight="1" x14ac:dyDescent="0.25">
      <c r="A843" s="14">
        <v>251848</v>
      </c>
      <c r="B843" s="14" t="s">
        <v>2418</v>
      </c>
      <c r="D843" s="14" t="s">
        <v>301</v>
      </c>
    </row>
    <row r="844" spans="1:4" ht="15.75" customHeight="1" x14ac:dyDescent="0.25">
      <c r="A844" s="14">
        <v>22025695</v>
      </c>
      <c r="B844" s="14" t="s">
        <v>2419</v>
      </c>
      <c r="D844" s="14" t="s">
        <v>301</v>
      </c>
    </row>
    <row r="845" spans="1:4" ht="15.75" customHeight="1" x14ac:dyDescent="0.25">
      <c r="A845" s="14">
        <v>22025698</v>
      </c>
      <c r="B845" s="14" t="s">
        <v>2420</v>
      </c>
      <c r="D845" s="14" t="s">
        <v>301</v>
      </c>
    </row>
    <row r="846" spans="1:4" ht="15.75" customHeight="1" x14ac:dyDescent="0.25">
      <c r="A846" s="14">
        <v>22025697</v>
      </c>
      <c r="B846" s="14" t="s">
        <v>2421</v>
      </c>
      <c r="D846" s="14" t="s">
        <v>301</v>
      </c>
    </row>
    <row r="847" spans="1:4" ht="15.75" customHeight="1" x14ac:dyDescent="0.25">
      <c r="A847" s="14">
        <v>251847</v>
      </c>
      <c r="B847" s="14" t="s">
        <v>2422</v>
      </c>
      <c r="D847" s="14" t="s">
        <v>301</v>
      </c>
    </row>
    <row r="848" spans="1:4" ht="15.75" customHeight="1" x14ac:dyDescent="0.25">
      <c r="A848" s="14">
        <v>1002254</v>
      </c>
      <c r="B848" s="14" t="s">
        <v>451</v>
      </c>
      <c r="D848" s="14" t="s">
        <v>301</v>
      </c>
    </row>
    <row r="849" spans="1:4" ht="15.75" customHeight="1" x14ac:dyDescent="0.25">
      <c r="A849" s="14">
        <v>1000252</v>
      </c>
      <c r="B849" s="14" t="s">
        <v>2423</v>
      </c>
      <c r="D849" s="14" t="s">
        <v>301</v>
      </c>
    </row>
    <row r="850" spans="1:4" ht="15.75" customHeight="1" x14ac:dyDescent="0.25">
      <c r="A850" s="14">
        <v>1001278</v>
      </c>
      <c r="B850" s="14" t="s">
        <v>2424</v>
      </c>
      <c r="D850" s="14" t="s">
        <v>301</v>
      </c>
    </row>
    <row r="851" spans="1:4" ht="15.75" customHeight="1" x14ac:dyDescent="0.25">
      <c r="A851" s="14">
        <v>1002231</v>
      </c>
      <c r="B851" s="14" t="s">
        <v>2425</v>
      </c>
      <c r="D851" s="14" t="s">
        <v>301</v>
      </c>
    </row>
    <row r="852" spans="1:4" ht="15.75" customHeight="1" x14ac:dyDescent="0.25">
      <c r="A852" s="14">
        <v>1008917</v>
      </c>
      <c r="B852" s="14" t="s">
        <v>452</v>
      </c>
      <c r="D852" s="14" t="s">
        <v>301</v>
      </c>
    </row>
    <row r="853" spans="1:4" ht="15.75" customHeight="1" x14ac:dyDescent="0.25">
      <c r="A853" s="14">
        <v>1001295</v>
      </c>
      <c r="B853" s="14" t="s">
        <v>453</v>
      </c>
      <c r="D853" s="14" t="s">
        <v>301</v>
      </c>
    </row>
    <row r="854" spans="1:4" ht="15.75" customHeight="1" x14ac:dyDescent="0.25">
      <c r="A854" s="14">
        <v>1000259</v>
      </c>
      <c r="B854" s="14" t="s">
        <v>2426</v>
      </c>
      <c r="D854" s="14" t="s">
        <v>301</v>
      </c>
    </row>
    <row r="855" spans="1:4" ht="15.75" customHeight="1" x14ac:dyDescent="0.25">
      <c r="A855" s="14">
        <v>22057670</v>
      </c>
      <c r="B855" s="14" t="s">
        <v>2427</v>
      </c>
      <c r="D855" s="14" t="s">
        <v>301</v>
      </c>
    </row>
    <row r="856" spans="1:4" ht="15.75" customHeight="1" x14ac:dyDescent="0.25">
      <c r="A856" s="14">
        <v>22056334</v>
      </c>
      <c r="B856" s="14" t="s">
        <v>2428</v>
      </c>
      <c r="D856" s="14" t="s">
        <v>301</v>
      </c>
    </row>
    <row r="857" spans="1:4" ht="15.75" customHeight="1" x14ac:dyDescent="0.25">
      <c r="A857" s="14">
        <v>22055838</v>
      </c>
      <c r="B857" s="14" t="s">
        <v>2429</v>
      </c>
      <c r="D857" s="14" t="s">
        <v>301</v>
      </c>
    </row>
    <row r="858" spans="1:4" ht="15.75" customHeight="1" x14ac:dyDescent="0.25">
      <c r="A858" s="14">
        <v>252906</v>
      </c>
      <c r="B858" s="14" t="s">
        <v>2430</v>
      </c>
      <c r="D858" s="14" t="s">
        <v>301</v>
      </c>
    </row>
    <row r="859" spans="1:4" ht="15.75" customHeight="1" x14ac:dyDescent="0.25">
      <c r="A859" s="14">
        <v>22056335</v>
      </c>
      <c r="B859" s="14" t="s">
        <v>2431</v>
      </c>
      <c r="D859" s="14" t="s">
        <v>301</v>
      </c>
    </row>
    <row r="860" spans="1:4" ht="15.75" customHeight="1" x14ac:dyDescent="0.25">
      <c r="A860" s="14">
        <v>253020</v>
      </c>
      <c r="B860" s="14" t="s">
        <v>2432</v>
      </c>
      <c r="D860" s="14" t="s">
        <v>301</v>
      </c>
    </row>
    <row r="861" spans="1:4" ht="15.75" customHeight="1" x14ac:dyDescent="0.25">
      <c r="A861" s="14">
        <v>22056412</v>
      </c>
      <c r="B861" s="14" t="s">
        <v>2433</v>
      </c>
      <c r="D861" s="14" t="s">
        <v>301</v>
      </c>
    </row>
    <row r="862" spans="1:4" ht="15.75" customHeight="1" x14ac:dyDescent="0.25">
      <c r="A862" s="14">
        <v>22025932</v>
      </c>
      <c r="B862" s="14" t="s">
        <v>2434</v>
      </c>
      <c r="D862" s="14" t="s">
        <v>301</v>
      </c>
    </row>
    <row r="863" spans="1:4" ht="15.75" customHeight="1" x14ac:dyDescent="0.25">
      <c r="A863" s="14">
        <v>251879</v>
      </c>
      <c r="B863" s="14" t="s">
        <v>2435</v>
      </c>
      <c r="D863" s="14" t="s">
        <v>301</v>
      </c>
    </row>
    <row r="864" spans="1:4" ht="15.75" customHeight="1" x14ac:dyDescent="0.25">
      <c r="A864" s="14">
        <v>253498</v>
      </c>
      <c r="B864" s="14" t="s">
        <v>2436</v>
      </c>
      <c r="D864" s="14" t="s">
        <v>301</v>
      </c>
    </row>
    <row r="865" spans="1:4" ht="15.75" customHeight="1" x14ac:dyDescent="0.25">
      <c r="A865" s="14">
        <v>254013</v>
      </c>
      <c r="B865" s="14" t="s">
        <v>2437</v>
      </c>
      <c r="D865" s="14" t="s">
        <v>301</v>
      </c>
    </row>
    <row r="866" spans="1:4" ht="15.75" customHeight="1" x14ac:dyDescent="0.25">
      <c r="A866" s="14">
        <v>254696</v>
      </c>
      <c r="B866" s="14" t="s">
        <v>2438</v>
      </c>
      <c r="D866" s="14" t="s">
        <v>301</v>
      </c>
    </row>
    <row r="867" spans="1:4" ht="15.75" customHeight="1" x14ac:dyDescent="0.25">
      <c r="A867" s="14">
        <v>22066516</v>
      </c>
      <c r="B867" s="14" t="s">
        <v>2439</v>
      </c>
      <c r="D867" s="14" t="s">
        <v>301</v>
      </c>
    </row>
    <row r="868" spans="1:4" ht="15.75" customHeight="1" x14ac:dyDescent="0.25">
      <c r="A868" s="14">
        <v>22056446</v>
      </c>
      <c r="B868" s="14" t="s">
        <v>2440</v>
      </c>
      <c r="D868" s="14" t="s">
        <v>301</v>
      </c>
    </row>
    <row r="869" spans="1:4" ht="15.75" customHeight="1" x14ac:dyDescent="0.25">
      <c r="A869" s="14">
        <v>22055836</v>
      </c>
      <c r="B869" s="14" t="s">
        <v>2441</v>
      </c>
      <c r="D869" s="14" t="s">
        <v>301</v>
      </c>
    </row>
    <row r="870" spans="1:4" ht="15.75" customHeight="1" x14ac:dyDescent="0.25">
      <c r="A870" s="14">
        <v>253496</v>
      </c>
      <c r="B870" s="14" t="s">
        <v>2442</v>
      </c>
      <c r="D870" s="14" t="s">
        <v>301</v>
      </c>
    </row>
    <row r="871" spans="1:4" ht="15.75" customHeight="1" x14ac:dyDescent="0.25">
      <c r="A871" s="14">
        <v>22055823</v>
      </c>
      <c r="B871" s="14" t="s">
        <v>2443</v>
      </c>
      <c r="D871" s="14" t="s">
        <v>301</v>
      </c>
    </row>
    <row r="872" spans="1:4" ht="15.75" customHeight="1" x14ac:dyDescent="0.25">
      <c r="A872" s="14">
        <v>253145</v>
      </c>
      <c r="B872" s="14" t="s">
        <v>2444</v>
      </c>
      <c r="D872" s="14" t="s">
        <v>301</v>
      </c>
    </row>
    <row r="873" spans="1:4" ht="15.75" customHeight="1" x14ac:dyDescent="0.25">
      <c r="A873" s="14">
        <v>22012288</v>
      </c>
      <c r="B873" s="14" t="s">
        <v>2445</v>
      </c>
      <c r="D873" s="14" t="s">
        <v>301</v>
      </c>
    </row>
    <row r="874" spans="1:4" ht="15.75" customHeight="1" x14ac:dyDescent="0.25">
      <c r="A874" s="14">
        <v>1000274</v>
      </c>
      <c r="B874" s="14" t="s">
        <v>2446</v>
      </c>
      <c r="D874" s="14" t="s">
        <v>301</v>
      </c>
    </row>
    <row r="875" spans="1:4" ht="15.75" customHeight="1" x14ac:dyDescent="0.25">
      <c r="A875" s="14">
        <v>1001440</v>
      </c>
      <c r="B875" s="14" t="s">
        <v>2447</v>
      </c>
      <c r="D875" s="14" t="s">
        <v>301</v>
      </c>
    </row>
    <row r="876" spans="1:4" ht="15.75" customHeight="1" x14ac:dyDescent="0.25">
      <c r="A876" s="14">
        <v>252949</v>
      </c>
      <c r="B876" s="14" t="s">
        <v>2448</v>
      </c>
      <c r="D876" s="14" t="s">
        <v>301</v>
      </c>
    </row>
    <row r="877" spans="1:4" ht="15.75" customHeight="1" x14ac:dyDescent="0.25">
      <c r="A877" s="14">
        <v>22025348</v>
      </c>
      <c r="B877" s="14" t="s">
        <v>2449</v>
      </c>
      <c r="D877" s="14" t="s">
        <v>301</v>
      </c>
    </row>
    <row r="878" spans="1:4" ht="15.75" customHeight="1" x14ac:dyDescent="0.25">
      <c r="A878" s="14">
        <v>30034212</v>
      </c>
      <c r="B878" s="14" t="s">
        <v>2450</v>
      </c>
      <c r="D878" s="14" t="s">
        <v>301</v>
      </c>
    </row>
    <row r="879" spans="1:4" ht="15.75" customHeight="1" x14ac:dyDescent="0.25">
      <c r="A879" s="14">
        <v>1002057</v>
      </c>
      <c r="B879" s="14" t="s">
        <v>1123</v>
      </c>
      <c r="D879" s="14" t="s">
        <v>301</v>
      </c>
    </row>
    <row r="880" spans="1:4" ht="15.75" customHeight="1" x14ac:dyDescent="0.25">
      <c r="A880" s="14">
        <v>9000048</v>
      </c>
      <c r="B880" s="14" t="s">
        <v>1125</v>
      </c>
      <c r="D880" s="14" t="s">
        <v>301</v>
      </c>
    </row>
    <row r="881" spans="1:4" ht="15.75" customHeight="1" x14ac:dyDescent="0.25">
      <c r="A881" s="14">
        <v>1000292</v>
      </c>
      <c r="B881" s="14" t="s">
        <v>457</v>
      </c>
      <c r="D881" s="14" t="s">
        <v>301</v>
      </c>
    </row>
    <row r="882" spans="1:4" ht="15.75" customHeight="1" x14ac:dyDescent="0.25">
      <c r="A882" s="14">
        <v>1000294</v>
      </c>
      <c r="B882" s="14" t="s">
        <v>2451</v>
      </c>
      <c r="D882" s="14" t="s">
        <v>301</v>
      </c>
    </row>
    <row r="883" spans="1:4" ht="15.75" customHeight="1" x14ac:dyDescent="0.25">
      <c r="A883" s="14">
        <v>1001922</v>
      </c>
      <c r="B883" s="14" t="s">
        <v>2452</v>
      </c>
      <c r="D883" s="14" t="s">
        <v>301</v>
      </c>
    </row>
    <row r="884" spans="1:4" ht="15.75" customHeight="1" x14ac:dyDescent="0.25">
      <c r="A884" s="14">
        <v>1000297</v>
      </c>
      <c r="B884" s="14" t="s">
        <v>2453</v>
      </c>
      <c r="D884" s="14" t="s">
        <v>301</v>
      </c>
    </row>
    <row r="885" spans="1:4" ht="15.75" customHeight="1" x14ac:dyDescent="0.25">
      <c r="A885" s="14">
        <v>22025669</v>
      </c>
      <c r="B885" s="14" t="s">
        <v>2454</v>
      </c>
      <c r="D885" s="14" t="s">
        <v>301</v>
      </c>
    </row>
    <row r="886" spans="1:4" ht="15.75" customHeight="1" x14ac:dyDescent="0.25">
      <c r="A886" s="14">
        <v>251836</v>
      </c>
      <c r="B886" s="14" t="s">
        <v>2455</v>
      </c>
      <c r="D886" s="14" t="s">
        <v>301</v>
      </c>
    </row>
    <row r="887" spans="1:4" ht="15.75" customHeight="1" x14ac:dyDescent="0.25">
      <c r="A887" s="14">
        <v>252730</v>
      </c>
      <c r="B887" s="14" t="s">
        <v>2456</v>
      </c>
      <c r="D887" s="14" t="s">
        <v>301</v>
      </c>
    </row>
    <row r="888" spans="1:4" ht="15.75" customHeight="1" x14ac:dyDescent="0.25">
      <c r="A888" s="14">
        <v>1000301</v>
      </c>
      <c r="B888" s="14" t="s">
        <v>2457</v>
      </c>
      <c r="D888" s="14" t="s">
        <v>301</v>
      </c>
    </row>
    <row r="889" spans="1:4" ht="15.75" customHeight="1" x14ac:dyDescent="0.25">
      <c r="A889" s="14">
        <v>22025937</v>
      </c>
      <c r="B889" s="14" t="s">
        <v>2458</v>
      </c>
      <c r="D889" s="14" t="s">
        <v>301</v>
      </c>
    </row>
    <row r="890" spans="1:4" ht="15.75" customHeight="1" x14ac:dyDescent="0.25">
      <c r="A890" s="14">
        <v>251880</v>
      </c>
      <c r="B890" s="14" t="s">
        <v>2459</v>
      </c>
      <c r="D890" s="14" t="s">
        <v>301</v>
      </c>
    </row>
    <row r="891" spans="1:4" ht="15.75" customHeight="1" x14ac:dyDescent="0.25">
      <c r="A891" s="14">
        <v>254680</v>
      </c>
      <c r="B891" s="14" t="s">
        <v>2460</v>
      </c>
      <c r="D891" s="14" t="s">
        <v>301</v>
      </c>
    </row>
    <row r="892" spans="1:4" ht="15.75" customHeight="1" x14ac:dyDescent="0.25">
      <c r="A892" s="14">
        <v>1001735</v>
      </c>
      <c r="B892" s="14" t="s">
        <v>2461</v>
      </c>
      <c r="D892" s="14" t="s">
        <v>301</v>
      </c>
    </row>
    <row r="893" spans="1:4" ht="15.75" customHeight="1" x14ac:dyDescent="0.25">
      <c r="A893" s="14">
        <v>1001888</v>
      </c>
      <c r="B893" s="14" t="s">
        <v>2462</v>
      </c>
      <c r="D893" s="14" t="s">
        <v>301</v>
      </c>
    </row>
    <row r="894" spans="1:4" ht="15.75" customHeight="1" x14ac:dyDescent="0.25">
      <c r="A894" s="14">
        <v>1001889</v>
      </c>
      <c r="B894" s="14" t="s">
        <v>2463</v>
      </c>
      <c r="D894" s="14" t="s">
        <v>301</v>
      </c>
    </row>
    <row r="895" spans="1:4" ht="15.75" customHeight="1" x14ac:dyDescent="0.25">
      <c r="A895" s="14">
        <v>1000821</v>
      </c>
      <c r="B895" s="14" t="s">
        <v>2464</v>
      </c>
      <c r="D895" s="14" t="s">
        <v>301</v>
      </c>
    </row>
    <row r="896" spans="1:4" ht="15.75" customHeight="1" x14ac:dyDescent="0.25">
      <c r="A896" s="14">
        <v>1001706</v>
      </c>
      <c r="B896" s="14" t="s">
        <v>2465</v>
      </c>
      <c r="D896" s="14" t="s">
        <v>301</v>
      </c>
    </row>
    <row r="897" spans="1:4" ht="15.75" customHeight="1" x14ac:dyDescent="0.25">
      <c r="A897" s="14">
        <v>1001948</v>
      </c>
      <c r="B897" s="14" t="s">
        <v>2466</v>
      </c>
      <c r="D897" s="14" t="s">
        <v>301</v>
      </c>
    </row>
    <row r="898" spans="1:4" ht="15.75" customHeight="1" x14ac:dyDescent="0.25">
      <c r="A898" s="14">
        <v>1001645</v>
      </c>
      <c r="B898" s="14" t="s">
        <v>2467</v>
      </c>
      <c r="D898" s="14" t="s">
        <v>301</v>
      </c>
    </row>
    <row r="899" spans="1:4" ht="15.75" customHeight="1" x14ac:dyDescent="0.25">
      <c r="A899" s="14">
        <v>22026257</v>
      </c>
      <c r="B899" s="14" t="s">
        <v>2468</v>
      </c>
      <c r="D899" s="14" t="s">
        <v>301</v>
      </c>
    </row>
    <row r="900" spans="1:4" ht="15.75" customHeight="1" x14ac:dyDescent="0.25">
      <c r="A900" s="14">
        <v>22026258</v>
      </c>
      <c r="B900" s="14" t="s">
        <v>2469</v>
      </c>
      <c r="D900" s="14" t="s">
        <v>301</v>
      </c>
    </row>
    <row r="901" spans="1:4" ht="15.75" customHeight="1" x14ac:dyDescent="0.25">
      <c r="A901" s="14">
        <v>30058617</v>
      </c>
      <c r="B901" s="14" t="s">
        <v>2470</v>
      </c>
      <c r="D901" s="14" t="s">
        <v>301</v>
      </c>
    </row>
    <row r="902" spans="1:4" ht="15.75" customHeight="1" x14ac:dyDescent="0.25">
      <c r="A902" s="14">
        <v>22026259</v>
      </c>
      <c r="B902" s="14" t="s">
        <v>2471</v>
      </c>
      <c r="D902" s="14" t="s">
        <v>301</v>
      </c>
    </row>
    <row r="903" spans="1:4" ht="15.75" customHeight="1" x14ac:dyDescent="0.25">
      <c r="A903" s="14">
        <v>1000308</v>
      </c>
      <c r="B903" s="14" t="s">
        <v>2472</v>
      </c>
      <c r="D903" s="14" t="s">
        <v>301</v>
      </c>
    </row>
    <row r="904" spans="1:4" ht="15.75" customHeight="1" x14ac:dyDescent="0.25">
      <c r="A904" s="14">
        <v>1002116</v>
      </c>
      <c r="B904" s="14" t="s">
        <v>2473</v>
      </c>
      <c r="D904" s="14" t="s">
        <v>301</v>
      </c>
    </row>
    <row r="905" spans="1:4" ht="15.75" customHeight="1" x14ac:dyDescent="0.25">
      <c r="A905" s="14">
        <v>30033470</v>
      </c>
      <c r="B905" s="14" t="s">
        <v>2474</v>
      </c>
      <c r="D905" s="14" t="s">
        <v>301</v>
      </c>
    </row>
    <row r="906" spans="1:4" ht="15.75" customHeight="1" x14ac:dyDescent="0.25">
      <c r="A906" s="14">
        <v>1002359</v>
      </c>
      <c r="B906" s="14" t="s">
        <v>1138</v>
      </c>
      <c r="D906" s="14" t="s">
        <v>301</v>
      </c>
    </row>
    <row r="907" spans="1:4" ht="15.75" customHeight="1" x14ac:dyDescent="0.25">
      <c r="A907" s="14">
        <v>22056447</v>
      </c>
      <c r="B907" s="14" t="s">
        <v>2475</v>
      </c>
      <c r="D907" s="14" t="s">
        <v>301</v>
      </c>
    </row>
    <row r="908" spans="1:4" ht="15.75" customHeight="1" x14ac:dyDescent="0.25">
      <c r="A908" s="14">
        <v>30033798</v>
      </c>
      <c r="B908" s="14" t="s">
        <v>2476</v>
      </c>
      <c r="D908" s="14" t="s">
        <v>301</v>
      </c>
    </row>
    <row r="909" spans="1:4" ht="15.75" customHeight="1" x14ac:dyDescent="0.25">
      <c r="A909" s="14">
        <v>1001565</v>
      </c>
      <c r="B909" s="14" t="s">
        <v>2477</v>
      </c>
      <c r="D909" s="14" t="s">
        <v>301</v>
      </c>
    </row>
    <row r="910" spans="1:4" ht="15.75" customHeight="1" x14ac:dyDescent="0.25">
      <c r="A910" s="14">
        <v>1006919</v>
      </c>
      <c r="B910" s="14" t="s">
        <v>2478</v>
      </c>
      <c r="D910" s="14" t="s">
        <v>301</v>
      </c>
    </row>
    <row r="911" spans="1:4" ht="15.75" customHeight="1" x14ac:dyDescent="0.25">
      <c r="A911" s="14">
        <v>30033451</v>
      </c>
      <c r="B911" s="14" t="s">
        <v>2479</v>
      </c>
      <c r="D911" s="14" t="s">
        <v>301</v>
      </c>
    </row>
    <row r="912" spans="1:4" ht="15.75" customHeight="1" x14ac:dyDescent="0.25">
      <c r="A912" s="14">
        <v>253560</v>
      </c>
      <c r="B912" s="14" t="s">
        <v>2480</v>
      </c>
      <c r="D912" s="14" t="s">
        <v>301</v>
      </c>
    </row>
    <row r="913" spans="1:4" ht="15.75" customHeight="1" x14ac:dyDescent="0.25">
      <c r="A913" s="14">
        <v>22056445</v>
      </c>
      <c r="B913" s="14" t="s">
        <v>2481</v>
      </c>
      <c r="D913" s="14" t="s">
        <v>301</v>
      </c>
    </row>
    <row r="914" spans="1:4" ht="15.75" customHeight="1" x14ac:dyDescent="0.25">
      <c r="A914" s="14">
        <v>1006937</v>
      </c>
      <c r="B914" s="14" t="s">
        <v>2482</v>
      </c>
      <c r="D914" s="14" t="s">
        <v>301</v>
      </c>
    </row>
    <row r="915" spans="1:4" ht="15.75" customHeight="1" x14ac:dyDescent="0.25">
      <c r="A915" s="14">
        <v>252193</v>
      </c>
      <c r="B915" s="14" t="s">
        <v>2483</v>
      </c>
      <c r="D915" s="14" t="s">
        <v>301</v>
      </c>
    </row>
    <row r="916" spans="1:4" ht="15.75" customHeight="1" x14ac:dyDescent="0.25">
      <c r="A916" s="14">
        <v>252277</v>
      </c>
      <c r="B916" s="14" t="s">
        <v>2484</v>
      </c>
      <c r="D916" s="14" t="s">
        <v>301</v>
      </c>
    </row>
    <row r="917" spans="1:4" ht="15.75" customHeight="1" x14ac:dyDescent="0.25">
      <c r="A917" s="14">
        <v>30034264</v>
      </c>
      <c r="B917" s="14" t="s">
        <v>2485</v>
      </c>
      <c r="D917" s="14" t="s">
        <v>301</v>
      </c>
    </row>
    <row r="918" spans="1:4" ht="15.75" customHeight="1" x14ac:dyDescent="0.25">
      <c r="A918" s="14">
        <v>1000318</v>
      </c>
      <c r="B918" s="14" t="s">
        <v>2486</v>
      </c>
      <c r="D918" s="14" t="s">
        <v>301</v>
      </c>
    </row>
    <row r="919" spans="1:4" ht="15.75" customHeight="1" x14ac:dyDescent="0.25">
      <c r="A919" s="14">
        <v>1008924</v>
      </c>
      <c r="B919" s="14" t="s">
        <v>1142</v>
      </c>
      <c r="D919" s="14" t="s">
        <v>301</v>
      </c>
    </row>
    <row r="920" spans="1:4" ht="15.75" customHeight="1" x14ac:dyDescent="0.25">
      <c r="A920" s="14">
        <v>1001659</v>
      </c>
      <c r="B920" s="14" t="s">
        <v>1146</v>
      </c>
      <c r="D920" s="14" t="s">
        <v>301</v>
      </c>
    </row>
    <row r="921" spans="1:4" ht="15.75" customHeight="1" x14ac:dyDescent="0.25">
      <c r="A921" s="14">
        <v>1001984</v>
      </c>
      <c r="B921" s="14" t="s">
        <v>1148</v>
      </c>
      <c r="D921" s="14" t="s">
        <v>301</v>
      </c>
    </row>
    <row r="922" spans="1:4" ht="15.75" customHeight="1" x14ac:dyDescent="0.25">
      <c r="A922" s="14">
        <v>252307</v>
      </c>
      <c r="B922" s="14" t="s">
        <v>2487</v>
      </c>
      <c r="D922" s="14" t="s">
        <v>301</v>
      </c>
    </row>
    <row r="923" spans="1:4" ht="15.75" customHeight="1" x14ac:dyDescent="0.25">
      <c r="A923" s="14">
        <v>30034359</v>
      </c>
      <c r="B923" s="14" t="s">
        <v>2487</v>
      </c>
      <c r="D923" s="14" t="s">
        <v>301</v>
      </c>
    </row>
    <row r="924" spans="1:4" ht="15.75" customHeight="1" x14ac:dyDescent="0.25">
      <c r="A924" s="14">
        <v>30034263</v>
      </c>
      <c r="B924" s="14" t="s">
        <v>2488</v>
      </c>
      <c r="D924" s="14" t="s">
        <v>301</v>
      </c>
    </row>
    <row r="925" spans="1:4" ht="15.75" customHeight="1" x14ac:dyDescent="0.25">
      <c r="A925" s="14">
        <v>252276</v>
      </c>
      <c r="B925" s="14" t="s">
        <v>2489</v>
      </c>
      <c r="D925" s="14" t="s">
        <v>301</v>
      </c>
    </row>
    <row r="926" spans="1:4" ht="15.75" customHeight="1" x14ac:dyDescent="0.25">
      <c r="A926" s="14">
        <v>1002153</v>
      </c>
      <c r="B926" s="14" t="s">
        <v>42</v>
      </c>
      <c r="D926" s="14" t="s">
        <v>301</v>
      </c>
    </row>
    <row r="927" spans="1:4" ht="15.75" customHeight="1" x14ac:dyDescent="0.25">
      <c r="A927" s="14">
        <v>1000322</v>
      </c>
      <c r="B927" s="14" t="s">
        <v>2490</v>
      </c>
      <c r="D927" s="14" t="s">
        <v>301</v>
      </c>
    </row>
    <row r="928" spans="1:4" ht="15.75" customHeight="1" x14ac:dyDescent="0.25">
      <c r="A928" s="14">
        <v>1002344</v>
      </c>
      <c r="B928" s="14" t="s">
        <v>2491</v>
      </c>
      <c r="D928" s="14" t="s">
        <v>301</v>
      </c>
    </row>
    <row r="929" spans="1:4" ht="15.75" customHeight="1" x14ac:dyDescent="0.25">
      <c r="A929" s="14">
        <v>1000324</v>
      </c>
      <c r="B929" s="14" t="s">
        <v>2492</v>
      </c>
      <c r="D929" s="14" t="s">
        <v>301</v>
      </c>
    </row>
    <row r="930" spans="1:4" ht="15.75" customHeight="1" x14ac:dyDescent="0.25">
      <c r="A930" s="14">
        <v>1002164</v>
      </c>
      <c r="B930" s="14" t="s">
        <v>1153</v>
      </c>
      <c r="D930" s="14" t="s">
        <v>301</v>
      </c>
    </row>
    <row r="931" spans="1:4" ht="15.75" customHeight="1" x14ac:dyDescent="0.25">
      <c r="A931" s="14">
        <v>1008914</v>
      </c>
      <c r="B931" s="14" t="s">
        <v>2493</v>
      </c>
      <c r="D931" s="14" t="s">
        <v>301</v>
      </c>
    </row>
    <row r="932" spans="1:4" ht="15.75" customHeight="1" x14ac:dyDescent="0.25">
      <c r="A932" s="14">
        <v>1000326</v>
      </c>
      <c r="B932" s="14" t="s">
        <v>2494</v>
      </c>
      <c r="D932" s="14" t="s">
        <v>301</v>
      </c>
    </row>
    <row r="933" spans="1:4" ht="15.75" customHeight="1" x14ac:dyDescent="0.25">
      <c r="A933" s="14">
        <v>1000330</v>
      </c>
      <c r="B933" s="14" t="s">
        <v>2495</v>
      </c>
      <c r="D933" s="14" t="s">
        <v>301</v>
      </c>
    </row>
    <row r="934" spans="1:4" ht="15.75" customHeight="1" x14ac:dyDescent="0.25">
      <c r="A934" s="14">
        <v>1002150</v>
      </c>
      <c r="B934" s="14" t="s">
        <v>2496</v>
      </c>
      <c r="D934" s="14" t="s">
        <v>301</v>
      </c>
    </row>
    <row r="935" spans="1:4" ht="15.75" customHeight="1" x14ac:dyDescent="0.25">
      <c r="A935" s="14">
        <v>1006880</v>
      </c>
      <c r="B935" s="14" t="s">
        <v>468</v>
      </c>
      <c r="D935" s="14" t="s">
        <v>301</v>
      </c>
    </row>
    <row r="936" spans="1:4" ht="15.75" customHeight="1" x14ac:dyDescent="0.25">
      <c r="A936" s="14">
        <v>1001979</v>
      </c>
      <c r="B936" s="14" t="s">
        <v>2497</v>
      </c>
      <c r="D936" s="14" t="s">
        <v>301</v>
      </c>
    </row>
    <row r="937" spans="1:4" ht="15.75" customHeight="1" x14ac:dyDescent="0.25">
      <c r="A937" s="14">
        <v>9000077</v>
      </c>
      <c r="B937" s="14" t="s">
        <v>2498</v>
      </c>
      <c r="D937" s="14" t="s">
        <v>301</v>
      </c>
    </row>
    <row r="938" spans="1:4" ht="15.75" customHeight="1" x14ac:dyDescent="0.25">
      <c r="A938" s="14">
        <v>1002165</v>
      </c>
      <c r="B938" s="14" t="s">
        <v>2499</v>
      </c>
      <c r="D938" s="14" t="s">
        <v>301</v>
      </c>
    </row>
    <row r="939" spans="1:4" ht="15.75" customHeight="1" x14ac:dyDescent="0.25">
      <c r="A939" s="14">
        <v>1002263</v>
      </c>
      <c r="B939" s="14" t="s">
        <v>2500</v>
      </c>
      <c r="D939" s="14" t="s">
        <v>301</v>
      </c>
    </row>
    <row r="940" spans="1:4" ht="15.75" customHeight="1" x14ac:dyDescent="0.25">
      <c r="A940" s="14">
        <v>254774</v>
      </c>
      <c r="B940" s="14" t="s">
        <v>2501</v>
      </c>
      <c r="D940" s="14" t="s">
        <v>301</v>
      </c>
    </row>
    <row r="941" spans="1:4" ht="15.75" customHeight="1" x14ac:dyDescent="0.25">
      <c r="A941" s="14">
        <v>254542</v>
      </c>
      <c r="B941" s="14" t="s">
        <v>2502</v>
      </c>
      <c r="D941" s="14" t="s">
        <v>301</v>
      </c>
    </row>
    <row r="942" spans="1:4" ht="15.75" customHeight="1" x14ac:dyDescent="0.25">
      <c r="A942" s="14">
        <v>254383</v>
      </c>
      <c r="B942" s="14" t="s">
        <v>2503</v>
      </c>
      <c r="D942" s="14" t="s">
        <v>301</v>
      </c>
    </row>
    <row r="943" spans="1:4" ht="15.75" customHeight="1" x14ac:dyDescent="0.25">
      <c r="A943" s="14">
        <v>254776</v>
      </c>
      <c r="B943" s="14" t="s">
        <v>2504</v>
      </c>
      <c r="D943" s="14" t="s">
        <v>301</v>
      </c>
    </row>
    <row r="944" spans="1:4" ht="15.75" customHeight="1" x14ac:dyDescent="0.25">
      <c r="A944" s="14">
        <v>22068048</v>
      </c>
      <c r="B944" s="14" t="s">
        <v>2505</v>
      </c>
      <c r="D944" s="14" t="s">
        <v>301</v>
      </c>
    </row>
    <row r="945" spans="1:4" ht="15.75" customHeight="1" x14ac:dyDescent="0.25">
      <c r="A945" s="14">
        <v>252207</v>
      </c>
      <c r="B945" s="14" t="s">
        <v>2506</v>
      </c>
      <c r="D945" s="14" t="s">
        <v>301</v>
      </c>
    </row>
    <row r="946" spans="1:4" ht="15.75" customHeight="1" x14ac:dyDescent="0.25">
      <c r="A946" s="14">
        <v>254544</v>
      </c>
      <c r="B946" s="14" t="s">
        <v>2507</v>
      </c>
      <c r="D946" s="14" t="s">
        <v>301</v>
      </c>
    </row>
    <row r="947" spans="1:4" ht="15.75" customHeight="1" x14ac:dyDescent="0.25">
      <c r="A947" s="14">
        <v>254775</v>
      </c>
      <c r="B947" s="14" t="s">
        <v>2508</v>
      </c>
      <c r="D947" s="14" t="s">
        <v>301</v>
      </c>
    </row>
    <row r="948" spans="1:4" ht="15.75" customHeight="1" x14ac:dyDescent="0.25">
      <c r="A948" s="14">
        <v>254543</v>
      </c>
      <c r="B948" s="14" t="s">
        <v>2509</v>
      </c>
      <c r="D948" s="14" t="s">
        <v>301</v>
      </c>
    </row>
    <row r="949" spans="1:4" ht="15.75" customHeight="1" x14ac:dyDescent="0.25">
      <c r="A949" s="14">
        <v>1001118</v>
      </c>
      <c r="B949" s="14" t="s">
        <v>2510</v>
      </c>
      <c r="D949" s="14" t="s">
        <v>301</v>
      </c>
    </row>
    <row r="950" spans="1:4" ht="15.75" customHeight="1" x14ac:dyDescent="0.25">
      <c r="A950" s="14">
        <v>9000050</v>
      </c>
      <c r="B950" s="14" t="s">
        <v>469</v>
      </c>
      <c r="D950" s="14" t="s">
        <v>301</v>
      </c>
    </row>
    <row r="951" spans="1:4" ht="15.75" customHeight="1" x14ac:dyDescent="0.25">
      <c r="A951" s="14">
        <v>9000008</v>
      </c>
      <c r="B951" s="14" t="s">
        <v>2511</v>
      </c>
      <c r="D951" s="14" t="s">
        <v>301</v>
      </c>
    </row>
    <row r="952" spans="1:4" ht="15.75" customHeight="1" x14ac:dyDescent="0.25">
      <c r="A952" s="14">
        <v>9000015</v>
      </c>
      <c r="B952" s="14" t="s">
        <v>1167</v>
      </c>
      <c r="D952" s="14" t="s">
        <v>301</v>
      </c>
    </row>
    <row r="953" spans="1:4" ht="15.75" customHeight="1" x14ac:dyDescent="0.25">
      <c r="A953" s="14">
        <v>9000019</v>
      </c>
      <c r="B953" s="14" t="s">
        <v>2512</v>
      </c>
      <c r="D953" s="14" t="s">
        <v>301</v>
      </c>
    </row>
    <row r="954" spans="1:4" ht="15.75" customHeight="1" x14ac:dyDescent="0.25">
      <c r="A954" s="14">
        <v>30001275</v>
      </c>
      <c r="B954" s="14" t="s">
        <v>1170</v>
      </c>
      <c r="D954" s="14" t="s">
        <v>301</v>
      </c>
    </row>
    <row r="955" spans="1:4" ht="15.75" customHeight="1" x14ac:dyDescent="0.25">
      <c r="A955" s="14">
        <v>1000791</v>
      </c>
      <c r="B955" s="14" t="s">
        <v>1172</v>
      </c>
      <c r="D955" s="14" t="s">
        <v>301</v>
      </c>
    </row>
    <row r="956" spans="1:4" ht="15.75" customHeight="1" x14ac:dyDescent="0.25">
      <c r="A956" s="14">
        <v>9000018</v>
      </c>
      <c r="B956" s="14" t="s">
        <v>1174</v>
      </c>
      <c r="D956" s="14" t="s">
        <v>301</v>
      </c>
    </row>
    <row r="957" spans="1:4" ht="15.75" customHeight="1" x14ac:dyDescent="0.25">
      <c r="A957" s="14">
        <v>1001917</v>
      </c>
      <c r="B957" s="14" t="s">
        <v>2513</v>
      </c>
      <c r="D957" s="14" t="s">
        <v>301</v>
      </c>
    </row>
    <row r="958" spans="1:4" ht="15.75" customHeight="1" x14ac:dyDescent="0.25">
      <c r="A958" s="14">
        <v>22025114</v>
      </c>
      <c r="B958" s="14" t="s">
        <v>2514</v>
      </c>
      <c r="D958" s="14" t="s">
        <v>301</v>
      </c>
    </row>
    <row r="959" spans="1:4" ht="15.75" customHeight="1" x14ac:dyDescent="0.25">
      <c r="A959" s="14">
        <v>1002167</v>
      </c>
      <c r="B959" s="14" t="s">
        <v>2515</v>
      </c>
      <c r="D959" s="14" t="s">
        <v>301</v>
      </c>
    </row>
    <row r="960" spans="1:4" ht="15.75" customHeight="1" x14ac:dyDescent="0.25">
      <c r="A960" s="14">
        <v>1002168</v>
      </c>
      <c r="B960" s="14" t="s">
        <v>2516</v>
      </c>
      <c r="D960" s="14" t="s">
        <v>301</v>
      </c>
    </row>
    <row r="961" spans="1:4" ht="15.75" customHeight="1" x14ac:dyDescent="0.25">
      <c r="A961" s="14">
        <v>1000342</v>
      </c>
      <c r="B961" s="14" t="s">
        <v>2517</v>
      </c>
      <c r="D961" s="14" t="s">
        <v>301</v>
      </c>
    </row>
    <row r="962" spans="1:4" ht="15.75" customHeight="1" x14ac:dyDescent="0.25">
      <c r="A962" s="14">
        <v>1000345</v>
      </c>
      <c r="B962" s="14" t="s">
        <v>2518</v>
      </c>
      <c r="D962" s="14" t="s">
        <v>301</v>
      </c>
    </row>
    <row r="963" spans="1:4" ht="15.75" customHeight="1" x14ac:dyDescent="0.25">
      <c r="A963" s="14">
        <v>1000346</v>
      </c>
      <c r="B963" s="14" t="s">
        <v>470</v>
      </c>
      <c r="D963" s="14" t="s">
        <v>301</v>
      </c>
    </row>
    <row r="964" spans="1:4" ht="15.75" customHeight="1" x14ac:dyDescent="0.25">
      <c r="A964" s="14">
        <v>251850</v>
      </c>
      <c r="B964" s="14" t="s">
        <v>2519</v>
      </c>
      <c r="D964" s="14" t="s">
        <v>301</v>
      </c>
    </row>
    <row r="965" spans="1:4" ht="15.75" customHeight="1" x14ac:dyDescent="0.25">
      <c r="A965" s="14">
        <v>9000082</v>
      </c>
      <c r="B965" s="14" t="s">
        <v>2520</v>
      </c>
      <c r="D965" s="14" t="s">
        <v>301</v>
      </c>
    </row>
    <row r="966" spans="1:4" ht="15.75" customHeight="1" x14ac:dyDescent="0.25">
      <c r="A966" s="14">
        <v>9000044</v>
      </c>
      <c r="B966" s="14" t="s">
        <v>2521</v>
      </c>
      <c r="D966" s="14" t="s">
        <v>301</v>
      </c>
    </row>
    <row r="967" spans="1:4" ht="15.75" customHeight="1" x14ac:dyDescent="0.25">
      <c r="A967" s="14">
        <v>9000086</v>
      </c>
      <c r="B967" s="14" t="s">
        <v>2522</v>
      </c>
      <c r="D967" s="14" t="s">
        <v>301</v>
      </c>
    </row>
    <row r="968" spans="1:4" ht="15.75" customHeight="1" x14ac:dyDescent="0.25">
      <c r="A968" s="14">
        <v>1006121</v>
      </c>
      <c r="B968" s="14" t="s">
        <v>2523</v>
      </c>
      <c r="D968" s="14" t="s">
        <v>301</v>
      </c>
    </row>
    <row r="969" spans="1:4" ht="15.75" customHeight="1" x14ac:dyDescent="0.25">
      <c r="A969" s="14">
        <v>1006123</v>
      </c>
      <c r="B969" s="14" t="s">
        <v>2524</v>
      </c>
      <c r="D969" s="14" t="s">
        <v>301</v>
      </c>
    </row>
    <row r="970" spans="1:4" ht="15.75" customHeight="1" x14ac:dyDescent="0.25">
      <c r="A970" s="14">
        <v>1001614</v>
      </c>
      <c r="B970" s="14" t="s">
        <v>2525</v>
      </c>
      <c r="D970" s="14" t="s">
        <v>301</v>
      </c>
    </row>
    <row r="971" spans="1:4" ht="15.75" customHeight="1" x14ac:dyDescent="0.25">
      <c r="A971" s="14">
        <v>1000365</v>
      </c>
      <c r="B971" s="14" t="s">
        <v>1188</v>
      </c>
      <c r="D971" s="14" t="s">
        <v>301</v>
      </c>
    </row>
    <row r="972" spans="1:4" ht="15.75" customHeight="1" x14ac:dyDescent="0.25">
      <c r="A972" s="14">
        <v>1001057</v>
      </c>
      <c r="B972" s="14" t="s">
        <v>2526</v>
      </c>
      <c r="D972" s="14" t="s">
        <v>301</v>
      </c>
    </row>
    <row r="973" spans="1:4" ht="15.75" customHeight="1" x14ac:dyDescent="0.25">
      <c r="A973" s="14">
        <v>1001119</v>
      </c>
      <c r="B973" s="14" t="s">
        <v>1196</v>
      </c>
      <c r="D973" s="14" t="s">
        <v>301</v>
      </c>
    </row>
    <row r="974" spans="1:4" ht="15.75" customHeight="1" x14ac:dyDescent="0.25">
      <c r="A974" s="14">
        <v>9000038</v>
      </c>
      <c r="B974" s="14" t="s">
        <v>473</v>
      </c>
      <c r="D974" s="14" t="s">
        <v>301</v>
      </c>
    </row>
    <row r="975" spans="1:4" ht="15.75" customHeight="1" x14ac:dyDescent="0.25">
      <c r="A975" s="14">
        <v>1001272</v>
      </c>
      <c r="B975" s="14" t="s">
        <v>1199</v>
      </c>
      <c r="D975" s="14" t="s">
        <v>301</v>
      </c>
    </row>
    <row r="976" spans="1:4" ht="15.75" customHeight="1" x14ac:dyDescent="0.25">
      <c r="A976" s="14">
        <v>1000373</v>
      </c>
      <c r="B976" s="14" t="s">
        <v>2527</v>
      </c>
      <c r="D976" s="14" t="s">
        <v>301</v>
      </c>
    </row>
    <row r="977" spans="1:4" ht="15.75" customHeight="1" x14ac:dyDescent="0.25">
      <c r="A977" s="14">
        <v>900058</v>
      </c>
      <c r="B977" s="14" t="s">
        <v>475</v>
      </c>
      <c r="D977" s="14" t="s">
        <v>301</v>
      </c>
    </row>
    <row r="978" spans="1:4" ht="15.75" customHeight="1" x14ac:dyDescent="0.25">
      <c r="A978" s="14">
        <v>90007710</v>
      </c>
      <c r="B978" s="14" t="s">
        <v>2528</v>
      </c>
      <c r="D978" s="14" t="s">
        <v>301</v>
      </c>
    </row>
    <row r="979" spans="1:4" ht="15.75" customHeight="1" x14ac:dyDescent="0.25">
      <c r="A979" s="14">
        <v>1000910</v>
      </c>
      <c r="B979" s="14" t="s">
        <v>476</v>
      </c>
      <c r="D979" s="14" t="s">
        <v>301</v>
      </c>
    </row>
    <row r="980" spans="1:4" ht="15.75" customHeight="1" x14ac:dyDescent="0.25">
      <c r="A980" s="14">
        <v>1001600</v>
      </c>
      <c r="B980" s="14" t="s">
        <v>2529</v>
      </c>
      <c r="D980" s="14" t="s">
        <v>301</v>
      </c>
    </row>
    <row r="981" spans="1:4" ht="15.75" customHeight="1" x14ac:dyDescent="0.25">
      <c r="A981" s="14">
        <v>252282</v>
      </c>
      <c r="B981" s="14" t="s">
        <v>2530</v>
      </c>
      <c r="D981" s="14" t="s">
        <v>301</v>
      </c>
    </row>
    <row r="982" spans="1:4" ht="15.75" customHeight="1" x14ac:dyDescent="0.25">
      <c r="A982" s="14">
        <v>30034275</v>
      </c>
      <c r="B982" s="14" t="s">
        <v>2531</v>
      </c>
      <c r="D982" s="14" t="s">
        <v>301</v>
      </c>
    </row>
    <row r="983" spans="1:4" ht="15.75" customHeight="1" x14ac:dyDescent="0.25">
      <c r="A983" s="14">
        <v>1006903</v>
      </c>
      <c r="B983" s="14" t="s">
        <v>477</v>
      </c>
      <c r="D983" s="14" t="s">
        <v>301</v>
      </c>
    </row>
    <row r="984" spans="1:4" ht="15.75" customHeight="1" x14ac:dyDescent="0.25">
      <c r="A984" s="14">
        <v>1002265</v>
      </c>
      <c r="B984" s="14" t="s">
        <v>479</v>
      </c>
      <c r="D984" s="14" t="s">
        <v>301</v>
      </c>
    </row>
    <row r="985" spans="1:4" ht="15.75" customHeight="1" x14ac:dyDescent="0.25">
      <c r="A985" s="14">
        <v>1000715</v>
      </c>
      <c r="B985" s="14" t="s">
        <v>2532</v>
      </c>
      <c r="D985" s="14" t="s">
        <v>301</v>
      </c>
    </row>
    <row r="986" spans="1:4" ht="15.75" customHeight="1" x14ac:dyDescent="0.25">
      <c r="A986" s="14">
        <v>1000395</v>
      </c>
      <c r="B986" s="14" t="s">
        <v>2533</v>
      </c>
      <c r="D986" s="14" t="s">
        <v>301</v>
      </c>
    </row>
    <row r="987" spans="1:4" ht="15.75" customHeight="1" x14ac:dyDescent="0.25">
      <c r="A987" s="14">
        <v>22058258</v>
      </c>
      <c r="B987" s="14" t="s">
        <v>2534</v>
      </c>
      <c r="D987" s="14" t="s">
        <v>301</v>
      </c>
    </row>
    <row r="988" spans="1:4" ht="15.75" customHeight="1" x14ac:dyDescent="0.25">
      <c r="A988" s="14">
        <v>22025143</v>
      </c>
      <c r="B988" s="14" t="s">
        <v>2535</v>
      </c>
      <c r="D988" s="14" t="s">
        <v>301</v>
      </c>
    </row>
    <row r="989" spans="1:4" ht="15.75" customHeight="1" x14ac:dyDescent="0.25">
      <c r="A989" s="14">
        <v>1006933</v>
      </c>
      <c r="B989" s="14" t="s">
        <v>2536</v>
      </c>
      <c r="D989" s="14" t="s">
        <v>301</v>
      </c>
    </row>
    <row r="990" spans="1:4" ht="15.75" customHeight="1" x14ac:dyDescent="0.25">
      <c r="A990" s="14">
        <v>251882</v>
      </c>
      <c r="B990" s="14" t="s">
        <v>2537</v>
      </c>
      <c r="D990" s="14" t="s">
        <v>301</v>
      </c>
    </row>
    <row r="991" spans="1:4" ht="15.75" customHeight="1" x14ac:dyDescent="0.25">
      <c r="A991" s="14">
        <v>1002266</v>
      </c>
      <c r="B991" s="14" t="s">
        <v>2538</v>
      </c>
      <c r="D991" s="14" t="s">
        <v>301</v>
      </c>
    </row>
    <row r="992" spans="1:4" ht="15.75" customHeight="1" x14ac:dyDescent="0.25">
      <c r="A992" s="14">
        <v>253067</v>
      </c>
      <c r="B992" s="14" t="s">
        <v>2539</v>
      </c>
      <c r="D992" s="14" t="s">
        <v>301</v>
      </c>
    </row>
    <row r="993" spans="1:4" ht="15.75" customHeight="1" x14ac:dyDescent="0.25">
      <c r="A993" s="14">
        <v>22026037</v>
      </c>
      <c r="B993" s="14" t="s">
        <v>2539</v>
      </c>
      <c r="D993" s="14" t="s">
        <v>301</v>
      </c>
    </row>
    <row r="994" spans="1:4" ht="15.75" customHeight="1" x14ac:dyDescent="0.25">
      <c r="A994" s="14">
        <v>254229</v>
      </c>
      <c r="B994" s="14" t="s">
        <v>2540</v>
      </c>
      <c r="D994" s="14" t="s">
        <v>301</v>
      </c>
    </row>
    <row r="995" spans="1:4" ht="15.75" customHeight="1" x14ac:dyDescent="0.25">
      <c r="A995" s="14">
        <v>254517</v>
      </c>
      <c r="B995" s="14" t="s">
        <v>2540</v>
      </c>
      <c r="D995" s="14" t="s">
        <v>301</v>
      </c>
    </row>
    <row r="996" spans="1:4" ht="15.75" customHeight="1" x14ac:dyDescent="0.25">
      <c r="A996" s="14">
        <v>254880</v>
      </c>
      <c r="B996" s="14" t="s">
        <v>2541</v>
      </c>
      <c r="D996" s="14" t="s">
        <v>301</v>
      </c>
    </row>
    <row r="997" spans="1:4" ht="15.75" customHeight="1" x14ac:dyDescent="0.25">
      <c r="A997" s="14">
        <v>22055817</v>
      </c>
      <c r="B997" s="14" t="s">
        <v>2542</v>
      </c>
      <c r="D997" s="14" t="s">
        <v>301</v>
      </c>
    </row>
    <row r="998" spans="1:4" ht="15.75" customHeight="1" x14ac:dyDescent="0.25">
      <c r="A998" s="14">
        <v>1000411</v>
      </c>
      <c r="B998" s="14" t="s">
        <v>482</v>
      </c>
      <c r="D998" s="14" t="s">
        <v>301</v>
      </c>
    </row>
    <row r="999" spans="1:4" ht="15.75" customHeight="1" x14ac:dyDescent="0.25">
      <c r="A999" s="14">
        <v>1000412</v>
      </c>
      <c r="B999" s="14" t="s">
        <v>1223</v>
      </c>
      <c r="D999" s="14" t="s">
        <v>301</v>
      </c>
    </row>
    <row r="1000" spans="1:4" ht="15.75" customHeight="1" x14ac:dyDescent="0.25">
      <c r="A1000" s="14">
        <v>1001977</v>
      </c>
      <c r="B1000" s="14" t="s">
        <v>1226</v>
      </c>
      <c r="D1000" s="14" t="s">
        <v>301</v>
      </c>
    </row>
    <row r="1001" spans="1:4" ht="15.75" customHeight="1" x14ac:dyDescent="0.25">
      <c r="A1001" s="14">
        <v>9000012</v>
      </c>
      <c r="B1001" s="14" t="s">
        <v>1228</v>
      </c>
      <c r="D1001" s="14" t="s">
        <v>301</v>
      </c>
    </row>
    <row r="1002" spans="1:4" ht="15.75" customHeight="1" x14ac:dyDescent="0.25">
      <c r="A1002" s="14">
        <v>1001791</v>
      </c>
      <c r="B1002" s="14" t="s">
        <v>1230</v>
      </c>
      <c r="D1002" s="14" t="s">
        <v>301</v>
      </c>
    </row>
    <row r="1003" spans="1:4" ht="15.75" customHeight="1" x14ac:dyDescent="0.25">
      <c r="A1003" s="14">
        <v>1000700</v>
      </c>
      <c r="B1003" s="14" t="s">
        <v>1233</v>
      </c>
      <c r="D1003" s="14" t="s">
        <v>301</v>
      </c>
    </row>
    <row r="1004" spans="1:4" ht="15.75" customHeight="1" x14ac:dyDescent="0.25">
      <c r="A1004" s="14">
        <v>1006876</v>
      </c>
      <c r="B1004" s="14" t="s">
        <v>2543</v>
      </c>
      <c r="D1004" s="14" t="s">
        <v>301</v>
      </c>
    </row>
    <row r="1005" spans="1:4" ht="15.75" customHeight="1" x14ac:dyDescent="0.25">
      <c r="A1005" s="14">
        <v>1001782</v>
      </c>
      <c r="B1005" s="14" t="s">
        <v>1237</v>
      </c>
      <c r="D1005" s="14" t="s">
        <v>301</v>
      </c>
    </row>
    <row r="1006" spans="1:4" ht="15.75" customHeight="1" x14ac:dyDescent="0.25">
      <c r="A1006" s="14">
        <v>252281</v>
      </c>
      <c r="B1006" s="14" t="s">
        <v>2544</v>
      </c>
      <c r="D1006" s="14" t="s">
        <v>301</v>
      </c>
    </row>
    <row r="1007" spans="1:4" ht="15.75" customHeight="1" x14ac:dyDescent="0.25">
      <c r="A1007" s="14">
        <v>254022</v>
      </c>
      <c r="B1007" s="14" t="s">
        <v>2545</v>
      </c>
      <c r="D1007" s="14" t="s">
        <v>301</v>
      </c>
    </row>
    <row r="1008" spans="1:4" ht="15.75" customHeight="1" x14ac:dyDescent="0.25">
      <c r="A1008" s="14">
        <v>30034272</v>
      </c>
      <c r="B1008" s="14" t="s">
        <v>2546</v>
      </c>
      <c r="D1008" s="14" t="s">
        <v>301</v>
      </c>
    </row>
    <row r="1009" spans="1:4" ht="15.75" customHeight="1" x14ac:dyDescent="0.25">
      <c r="A1009" s="14">
        <v>30059452</v>
      </c>
      <c r="B1009" s="14" t="s">
        <v>2547</v>
      </c>
      <c r="D1009" s="14" t="s">
        <v>301</v>
      </c>
    </row>
    <row r="1010" spans="1:4" ht="15.75" customHeight="1" x14ac:dyDescent="0.25">
      <c r="A1010" s="14">
        <v>30034310</v>
      </c>
      <c r="B1010" s="14" t="s">
        <v>2548</v>
      </c>
      <c r="D1010" s="14" t="s">
        <v>301</v>
      </c>
    </row>
    <row r="1011" spans="1:4" ht="15.75" customHeight="1" x14ac:dyDescent="0.25">
      <c r="A1011" s="14">
        <v>252291</v>
      </c>
      <c r="B1011" s="14" t="s">
        <v>2549</v>
      </c>
      <c r="D1011" s="14" t="s">
        <v>301</v>
      </c>
    </row>
    <row r="1012" spans="1:4" ht="15.75" customHeight="1" x14ac:dyDescent="0.25">
      <c r="A1012" s="14">
        <v>1000422</v>
      </c>
      <c r="B1012" s="14" t="s">
        <v>2550</v>
      </c>
      <c r="D1012" s="14" t="s">
        <v>301</v>
      </c>
    </row>
    <row r="1013" spans="1:4" ht="15.75" customHeight="1" x14ac:dyDescent="0.25">
      <c r="A1013" s="14">
        <v>22058616</v>
      </c>
      <c r="B1013" s="14" t="s">
        <v>2551</v>
      </c>
      <c r="D1013" s="14" t="s">
        <v>301</v>
      </c>
    </row>
    <row r="1014" spans="1:4" ht="15.75" customHeight="1" x14ac:dyDescent="0.25">
      <c r="A1014" s="14">
        <v>253316</v>
      </c>
      <c r="B1014" s="14" t="s">
        <v>2552</v>
      </c>
      <c r="D1014" s="14" t="s">
        <v>301</v>
      </c>
    </row>
    <row r="1015" spans="1:4" ht="15.75" customHeight="1" x14ac:dyDescent="0.25">
      <c r="A1015" s="14">
        <v>254499</v>
      </c>
      <c r="B1015" s="14" t="s">
        <v>2553</v>
      </c>
      <c r="D1015" s="14" t="s">
        <v>301</v>
      </c>
    </row>
    <row r="1016" spans="1:4" ht="15.75" customHeight="1" x14ac:dyDescent="0.25">
      <c r="A1016" s="14">
        <v>30033493</v>
      </c>
      <c r="B1016" s="14" t="s">
        <v>2554</v>
      </c>
      <c r="D1016" s="14" t="s">
        <v>301</v>
      </c>
    </row>
    <row r="1017" spans="1:4" ht="15.75" customHeight="1" x14ac:dyDescent="0.25">
      <c r="A1017" s="14">
        <v>254033</v>
      </c>
      <c r="B1017" s="14" t="s">
        <v>2555</v>
      </c>
      <c r="D1017" s="14" t="s">
        <v>301</v>
      </c>
    </row>
    <row r="1018" spans="1:4" ht="15.75" customHeight="1" x14ac:dyDescent="0.25">
      <c r="A1018" s="14">
        <v>22062437</v>
      </c>
      <c r="B1018" s="14" t="s">
        <v>2556</v>
      </c>
      <c r="D1018" s="14" t="s">
        <v>301</v>
      </c>
    </row>
    <row r="1019" spans="1:4" ht="15.75" customHeight="1" x14ac:dyDescent="0.25">
      <c r="A1019" s="14">
        <v>22025660</v>
      </c>
      <c r="B1019" s="14" t="s">
        <v>2557</v>
      </c>
      <c r="D1019" s="14" t="s">
        <v>301</v>
      </c>
    </row>
    <row r="1020" spans="1:4" ht="15.75" customHeight="1" x14ac:dyDescent="0.25">
      <c r="A1020" s="14">
        <v>22025647</v>
      </c>
      <c r="B1020" s="14" t="s">
        <v>2558</v>
      </c>
      <c r="D1020" s="14" t="s">
        <v>301</v>
      </c>
    </row>
    <row r="1021" spans="1:4" ht="15.75" customHeight="1" x14ac:dyDescent="0.25">
      <c r="A1021" s="14">
        <v>30033358</v>
      </c>
      <c r="B1021" s="14" t="s">
        <v>2559</v>
      </c>
      <c r="D1021" s="14" t="s">
        <v>301</v>
      </c>
    </row>
    <row r="1022" spans="1:4" ht="15.75" customHeight="1" x14ac:dyDescent="0.25">
      <c r="A1022" s="14">
        <v>1000393</v>
      </c>
      <c r="B1022" s="14" t="s">
        <v>2560</v>
      </c>
      <c r="D1022" s="14" t="s">
        <v>301</v>
      </c>
    </row>
    <row r="1023" spans="1:4" ht="15.75" customHeight="1" x14ac:dyDescent="0.25">
      <c r="A1023" s="14">
        <v>1001275</v>
      </c>
      <c r="B1023" s="14" t="s">
        <v>2561</v>
      </c>
      <c r="D1023" s="14" t="s">
        <v>301</v>
      </c>
    </row>
    <row r="1024" spans="1:4" ht="15.75" customHeight="1" x14ac:dyDescent="0.25">
      <c r="A1024" s="14" t="s">
        <v>2562</v>
      </c>
      <c r="B1024" s="14" t="s">
        <v>2563</v>
      </c>
      <c r="D1024" s="14" t="s">
        <v>301</v>
      </c>
    </row>
    <row r="1025" spans="1:4" ht="15.75" customHeight="1" x14ac:dyDescent="0.25">
      <c r="A1025" s="14" t="s">
        <v>1241</v>
      </c>
      <c r="B1025" s="14" t="s">
        <v>1242</v>
      </c>
      <c r="D1025" s="14" t="s">
        <v>301</v>
      </c>
    </row>
    <row r="1026" spans="1:4" ht="15.75" customHeight="1" x14ac:dyDescent="0.25">
      <c r="A1026" s="14" t="s">
        <v>2564</v>
      </c>
      <c r="B1026" s="14" t="s">
        <v>2565</v>
      </c>
      <c r="D1026" s="14" t="s">
        <v>301</v>
      </c>
    </row>
    <row r="1027" spans="1:4" ht="15.75" customHeight="1" x14ac:dyDescent="0.25">
      <c r="A1027" s="14" t="s">
        <v>2566</v>
      </c>
      <c r="B1027" s="14" t="s">
        <v>2567</v>
      </c>
      <c r="D1027" s="14" t="s">
        <v>301</v>
      </c>
    </row>
    <row r="1028" spans="1:4" ht="15.75" customHeight="1" x14ac:dyDescent="0.25">
      <c r="A1028" s="14" t="s">
        <v>2568</v>
      </c>
      <c r="B1028" s="14" t="s">
        <v>2569</v>
      </c>
      <c r="D1028" s="14" t="s">
        <v>301</v>
      </c>
    </row>
    <row r="1029" spans="1:4" ht="15.75" customHeight="1" x14ac:dyDescent="0.25">
      <c r="A1029" s="14" t="s">
        <v>1243</v>
      </c>
      <c r="B1029" s="14" t="s">
        <v>1244</v>
      </c>
      <c r="D1029" s="14" t="s">
        <v>301</v>
      </c>
    </row>
    <row r="1030" spans="1:4" ht="15.75" customHeight="1" x14ac:dyDescent="0.25">
      <c r="A1030" s="14" t="s">
        <v>1245</v>
      </c>
      <c r="B1030" s="14" t="s">
        <v>1246</v>
      </c>
      <c r="D1030" s="14" t="s">
        <v>301</v>
      </c>
    </row>
    <row r="1031" spans="1:4" ht="15.75" customHeight="1" x14ac:dyDescent="0.25">
      <c r="A1031" s="14" t="s">
        <v>1247</v>
      </c>
      <c r="B1031" s="14" t="s">
        <v>1248</v>
      </c>
      <c r="D1031" s="14" t="s">
        <v>301</v>
      </c>
    </row>
    <row r="1032" spans="1:4" ht="15.75" customHeight="1" x14ac:dyDescent="0.25">
      <c r="A1032" s="14" t="s">
        <v>1251</v>
      </c>
      <c r="B1032" s="14" t="s">
        <v>1252</v>
      </c>
      <c r="D1032" s="14" t="s">
        <v>301</v>
      </c>
    </row>
    <row r="1033" spans="1:4" ht="15.75" customHeight="1" x14ac:dyDescent="0.25">
      <c r="A1033" s="14" t="s">
        <v>1253</v>
      </c>
      <c r="B1033" s="14" t="s">
        <v>1254</v>
      </c>
      <c r="D1033" s="14" t="s">
        <v>301</v>
      </c>
    </row>
    <row r="1034" spans="1:4" ht="15.75" customHeight="1" x14ac:dyDescent="0.25">
      <c r="A1034" s="14" t="s">
        <v>1255</v>
      </c>
      <c r="B1034" s="14" t="s">
        <v>1256</v>
      </c>
      <c r="D1034" s="14" t="s">
        <v>301</v>
      </c>
    </row>
    <row r="1035" spans="1:4" ht="15.75" customHeight="1" x14ac:dyDescent="0.25">
      <c r="A1035" s="14" t="s">
        <v>1259</v>
      </c>
      <c r="B1035" s="14" t="s">
        <v>1260</v>
      </c>
      <c r="D1035" s="14" t="s">
        <v>301</v>
      </c>
    </row>
    <row r="1036" spans="1:4" ht="15.75" customHeight="1" x14ac:dyDescent="0.25">
      <c r="A1036" s="14" t="s">
        <v>2570</v>
      </c>
      <c r="B1036" s="14" t="s">
        <v>2571</v>
      </c>
      <c r="D1036" s="14" t="s">
        <v>301</v>
      </c>
    </row>
    <row r="1037" spans="1:4" ht="15.75" customHeight="1" x14ac:dyDescent="0.25">
      <c r="A1037" s="14" t="s">
        <v>2572</v>
      </c>
      <c r="B1037" s="14" t="s">
        <v>2573</v>
      </c>
      <c r="D1037" s="14" t="s">
        <v>301</v>
      </c>
    </row>
    <row r="1038" spans="1:4" ht="15.75" customHeight="1" x14ac:dyDescent="0.25">
      <c r="A1038" s="14" t="s">
        <v>1261</v>
      </c>
      <c r="B1038" s="14" t="s">
        <v>1262</v>
      </c>
      <c r="D1038" s="14" t="s">
        <v>301</v>
      </c>
    </row>
    <row r="1039" spans="1:4" ht="15.75" customHeight="1" x14ac:dyDescent="0.25">
      <c r="A1039" s="14" t="s">
        <v>1273</v>
      </c>
      <c r="B1039" s="14" t="s">
        <v>1274</v>
      </c>
      <c r="D1039" s="14" t="s">
        <v>301</v>
      </c>
    </row>
    <row r="1040" spans="1:4" ht="15.75" customHeight="1" x14ac:dyDescent="0.25">
      <c r="A1040" s="14" t="s">
        <v>1275</v>
      </c>
      <c r="B1040" s="14" t="s">
        <v>1276</v>
      </c>
      <c r="D1040" s="14" t="s">
        <v>301</v>
      </c>
    </row>
    <row r="1041" spans="1:4" ht="15.75" customHeight="1" x14ac:dyDescent="0.25">
      <c r="A1041" s="14" t="s">
        <v>1277</v>
      </c>
      <c r="B1041" s="14" t="s">
        <v>1278</v>
      </c>
      <c r="D1041" s="14" t="s">
        <v>301</v>
      </c>
    </row>
    <row r="1042" spans="1:4" ht="15.75" customHeight="1" x14ac:dyDescent="0.25">
      <c r="A1042" s="14" t="s">
        <v>1281</v>
      </c>
      <c r="B1042" s="14" t="s">
        <v>1282</v>
      </c>
      <c r="D1042" s="14" t="s">
        <v>301</v>
      </c>
    </row>
    <row r="1043" spans="1:4" ht="15.75" customHeight="1" x14ac:dyDescent="0.25">
      <c r="A1043" s="14" t="s">
        <v>1283</v>
      </c>
      <c r="B1043" s="14" t="s">
        <v>1284</v>
      </c>
      <c r="D1043" s="14" t="s">
        <v>301</v>
      </c>
    </row>
    <row r="1044" spans="1:4" ht="15.75" customHeight="1" x14ac:dyDescent="0.25">
      <c r="A1044" s="14" t="s">
        <v>1285</v>
      </c>
      <c r="B1044" s="14" t="s">
        <v>1286</v>
      </c>
      <c r="D1044" s="14" t="s">
        <v>301</v>
      </c>
    </row>
    <row r="1045" spans="1:4" ht="15.75" customHeight="1" x14ac:dyDescent="0.25">
      <c r="A1045" s="14" t="s">
        <v>1287</v>
      </c>
      <c r="B1045" s="14" t="s">
        <v>1288</v>
      </c>
      <c r="D1045" s="14" t="s">
        <v>301</v>
      </c>
    </row>
    <row r="1046" spans="1:4" ht="15.75" customHeight="1" x14ac:dyDescent="0.25">
      <c r="A1046" s="14" t="s">
        <v>1289</v>
      </c>
      <c r="B1046" s="14" t="s">
        <v>1290</v>
      </c>
      <c r="D1046" s="14" t="s">
        <v>301</v>
      </c>
    </row>
    <row r="1047" spans="1:4" ht="15.75" customHeight="1" x14ac:dyDescent="0.25">
      <c r="A1047" s="14" t="s">
        <v>2574</v>
      </c>
      <c r="B1047" s="14" t="s">
        <v>2575</v>
      </c>
      <c r="D1047" s="14" t="s">
        <v>301</v>
      </c>
    </row>
    <row r="1048" spans="1:4" ht="15.75" customHeight="1" x14ac:dyDescent="0.25">
      <c r="A1048" s="14" t="s">
        <v>2576</v>
      </c>
      <c r="B1048" s="14" t="s">
        <v>2577</v>
      </c>
      <c r="D1048" s="14" t="s">
        <v>301</v>
      </c>
    </row>
    <row r="1049" spans="1:4" ht="15.75" customHeight="1" x14ac:dyDescent="0.25">
      <c r="A1049" s="14" t="s">
        <v>2578</v>
      </c>
      <c r="B1049" s="14" t="s">
        <v>2579</v>
      </c>
      <c r="D1049" s="14" t="s">
        <v>301</v>
      </c>
    </row>
    <row r="1050" spans="1:4" ht="15.75" customHeight="1" x14ac:dyDescent="0.25">
      <c r="A1050" s="14" t="s">
        <v>2580</v>
      </c>
      <c r="B1050" s="14" t="s">
        <v>2581</v>
      </c>
      <c r="D1050" s="14" t="s">
        <v>301</v>
      </c>
    </row>
    <row r="1051" spans="1:4" ht="15.75" customHeight="1" x14ac:dyDescent="0.25">
      <c r="A1051" s="14" t="s">
        <v>2582</v>
      </c>
      <c r="B1051" s="14" t="s">
        <v>2583</v>
      </c>
      <c r="D1051" s="14" t="s">
        <v>301</v>
      </c>
    </row>
    <row r="1052" spans="1:4" ht="15.75" customHeight="1" x14ac:dyDescent="0.25">
      <c r="A1052" s="14" t="s">
        <v>2584</v>
      </c>
      <c r="B1052" s="14" t="s">
        <v>2585</v>
      </c>
      <c r="D1052" s="14" t="s">
        <v>301</v>
      </c>
    </row>
    <row r="1053" spans="1:4" ht="15.75" customHeight="1" x14ac:dyDescent="0.25">
      <c r="A1053" s="14" t="s">
        <v>2586</v>
      </c>
      <c r="B1053" s="14" t="s">
        <v>2587</v>
      </c>
      <c r="D1053" s="14" t="s">
        <v>301</v>
      </c>
    </row>
    <row r="1054" spans="1:4" ht="15.75" customHeight="1" x14ac:dyDescent="0.25">
      <c r="A1054" s="14" t="s">
        <v>1315</v>
      </c>
      <c r="B1054" s="14" t="s">
        <v>1316</v>
      </c>
      <c r="D1054" s="14" t="s">
        <v>301</v>
      </c>
    </row>
    <row r="1055" spans="1:4" ht="15.75" customHeight="1" x14ac:dyDescent="0.25">
      <c r="A1055" s="14" t="s">
        <v>1317</v>
      </c>
      <c r="B1055" s="14" t="s">
        <v>1318</v>
      </c>
      <c r="D1055" s="14" t="s">
        <v>301</v>
      </c>
    </row>
    <row r="1056" spans="1:4" ht="15.75" customHeight="1" x14ac:dyDescent="0.25">
      <c r="A1056" s="14" t="s">
        <v>1319</v>
      </c>
      <c r="B1056" s="14" t="s">
        <v>1320</v>
      </c>
      <c r="D1056" s="14" t="s">
        <v>301</v>
      </c>
    </row>
    <row r="1057" spans="1:4" ht="15.75" customHeight="1" x14ac:dyDescent="0.25">
      <c r="A1057" s="14" t="s">
        <v>1323</v>
      </c>
      <c r="B1057" s="14" t="s">
        <v>1324</v>
      </c>
      <c r="D1057" s="14" t="s">
        <v>301</v>
      </c>
    </row>
    <row r="1058" spans="1:4" ht="15.75" customHeight="1" x14ac:dyDescent="0.25">
      <c r="A1058" s="14" t="s">
        <v>1325</v>
      </c>
      <c r="B1058" s="14" t="s">
        <v>1326</v>
      </c>
      <c r="D1058" s="14" t="s">
        <v>301</v>
      </c>
    </row>
    <row r="1059" spans="1:4" ht="15.75" customHeight="1" x14ac:dyDescent="0.25">
      <c r="A1059" s="14" t="s">
        <v>1327</v>
      </c>
      <c r="B1059" s="14" t="s">
        <v>1328</v>
      </c>
      <c r="D1059" s="14" t="s">
        <v>301</v>
      </c>
    </row>
    <row r="1060" spans="1:4" ht="15.75" customHeight="1" x14ac:dyDescent="0.25">
      <c r="A1060" s="14" t="s">
        <v>1329</v>
      </c>
      <c r="B1060" s="14" t="s">
        <v>1330</v>
      </c>
      <c r="D1060" s="14" t="s">
        <v>301</v>
      </c>
    </row>
    <row r="1061" spans="1:4" ht="15.75" customHeight="1" x14ac:dyDescent="0.25">
      <c r="A1061" s="14" t="s">
        <v>1331</v>
      </c>
      <c r="B1061" s="14" t="s">
        <v>1332</v>
      </c>
      <c r="D1061" s="14" t="s">
        <v>301</v>
      </c>
    </row>
    <row r="1062" spans="1:4" ht="15.75" customHeight="1" x14ac:dyDescent="0.25">
      <c r="A1062" s="14" t="s">
        <v>1333</v>
      </c>
      <c r="B1062" s="14" t="s">
        <v>1334</v>
      </c>
      <c r="D1062" s="14" t="s">
        <v>301</v>
      </c>
    </row>
    <row r="1063" spans="1:4" ht="15.75" customHeight="1" x14ac:dyDescent="0.25">
      <c r="A1063" s="14" t="s">
        <v>1335</v>
      </c>
      <c r="B1063" s="14" t="s">
        <v>1336</v>
      </c>
      <c r="D1063" s="14" t="s">
        <v>301</v>
      </c>
    </row>
    <row r="1064" spans="1:4" ht="15.75" customHeight="1" x14ac:dyDescent="0.25">
      <c r="A1064" s="14" t="s">
        <v>2588</v>
      </c>
      <c r="B1064" s="14" t="s">
        <v>2589</v>
      </c>
      <c r="D1064" s="14" t="s">
        <v>301</v>
      </c>
    </row>
    <row r="1065" spans="1:4" ht="15.75" customHeight="1" x14ac:dyDescent="0.25">
      <c r="A1065" s="14" t="s">
        <v>2590</v>
      </c>
      <c r="B1065" s="14" t="s">
        <v>2591</v>
      </c>
      <c r="D1065" s="14" t="s">
        <v>301</v>
      </c>
    </row>
    <row r="1066" spans="1:4" ht="15.75" customHeight="1" x14ac:dyDescent="0.25">
      <c r="A1066" s="14" t="s">
        <v>2592</v>
      </c>
      <c r="B1066" s="14" t="s">
        <v>2593</v>
      </c>
      <c r="D1066" s="14" t="s">
        <v>301</v>
      </c>
    </row>
    <row r="1067" spans="1:4" ht="15.75" customHeight="1" x14ac:dyDescent="0.25">
      <c r="A1067" s="14" t="s">
        <v>2594</v>
      </c>
      <c r="B1067" s="14" t="s">
        <v>2595</v>
      </c>
      <c r="D1067" s="14" t="s">
        <v>301</v>
      </c>
    </row>
    <row r="1068" spans="1:4" ht="15.75" customHeight="1" x14ac:dyDescent="0.25">
      <c r="A1068" s="14" t="s">
        <v>2596</v>
      </c>
      <c r="B1068" s="14" t="s">
        <v>2597</v>
      </c>
      <c r="D1068" s="14" t="s">
        <v>301</v>
      </c>
    </row>
    <row r="1069" spans="1:4" ht="15.75" customHeight="1" x14ac:dyDescent="0.25">
      <c r="A1069" s="14" t="s">
        <v>2598</v>
      </c>
      <c r="B1069" s="14" t="s">
        <v>2599</v>
      </c>
      <c r="D1069" s="14" t="s">
        <v>301</v>
      </c>
    </row>
    <row r="1070" spans="1:4" ht="15.75" customHeight="1" x14ac:dyDescent="0.25">
      <c r="A1070" s="14" t="s">
        <v>2600</v>
      </c>
      <c r="B1070" s="14" t="s">
        <v>2601</v>
      </c>
      <c r="D1070" s="14" t="s">
        <v>301</v>
      </c>
    </row>
    <row r="1071" spans="1:4" ht="15.75" customHeight="1" x14ac:dyDescent="0.25">
      <c r="A1071" s="14" t="s">
        <v>1339</v>
      </c>
      <c r="B1071" s="14" t="s">
        <v>1340</v>
      </c>
      <c r="D1071" s="14" t="s">
        <v>301</v>
      </c>
    </row>
    <row r="1072" spans="1:4" ht="15.75" customHeight="1" x14ac:dyDescent="0.25">
      <c r="A1072" s="14" t="s">
        <v>2602</v>
      </c>
      <c r="B1072" s="14" t="s">
        <v>1346</v>
      </c>
      <c r="D1072" s="14" t="s">
        <v>301</v>
      </c>
    </row>
    <row r="1073" spans="1:4" ht="15.75" customHeight="1" x14ac:dyDescent="0.25">
      <c r="A1073" s="14" t="s">
        <v>1345</v>
      </c>
      <c r="B1073" s="14" t="s">
        <v>1346</v>
      </c>
      <c r="D1073" s="14" t="s">
        <v>301</v>
      </c>
    </row>
    <row r="1074" spans="1:4" ht="15.75" customHeight="1" x14ac:dyDescent="0.25">
      <c r="A1074" s="14" t="s">
        <v>1347</v>
      </c>
      <c r="B1074" s="14" t="s">
        <v>1348</v>
      </c>
      <c r="D1074" s="14" t="s">
        <v>301</v>
      </c>
    </row>
    <row r="1075" spans="1:4" ht="15.75" customHeight="1" x14ac:dyDescent="0.25">
      <c r="A1075" s="14" t="s">
        <v>2603</v>
      </c>
      <c r="B1075" s="14" t="s">
        <v>2604</v>
      </c>
      <c r="D1075" s="14" t="s">
        <v>301</v>
      </c>
    </row>
    <row r="1076" spans="1:4" ht="15.75" customHeight="1" x14ac:dyDescent="0.25">
      <c r="A1076" s="14" t="s">
        <v>2605</v>
      </c>
      <c r="B1076" s="14" t="s">
        <v>2606</v>
      </c>
      <c r="D1076" s="14" t="s">
        <v>301</v>
      </c>
    </row>
    <row r="1077" spans="1:4" ht="15.75" customHeight="1" x14ac:dyDescent="0.25">
      <c r="A1077" s="14" t="s">
        <v>1359</v>
      </c>
      <c r="B1077" s="14" t="s">
        <v>1360</v>
      </c>
      <c r="D1077" s="14" t="s">
        <v>301</v>
      </c>
    </row>
    <row r="1078" spans="1:4" ht="15.75" customHeight="1" x14ac:dyDescent="0.25">
      <c r="A1078" s="14" t="s">
        <v>2607</v>
      </c>
      <c r="B1078" s="14" t="s">
        <v>2608</v>
      </c>
      <c r="D1078" s="14" t="s">
        <v>301</v>
      </c>
    </row>
    <row r="1079" spans="1:4" ht="15.75" customHeight="1" x14ac:dyDescent="0.25">
      <c r="A1079" s="14" t="s">
        <v>2609</v>
      </c>
      <c r="B1079" s="14" t="s">
        <v>2610</v>
      </c>
      <c r="D1079" s="14" t="s">
        <v>301</v>
      </c>
    </row>
    <row r="1080" spans="1:4" ht="15.75" customHeight="1" x14ac:dyDescent="0.25">
      <c r="A1080" s="14" t="s">
        <v>2611</v>
      </c>
      <c r="B1080" s="14" t="s">
        <v>2612</v>
      </c>
      <c r="D1080" s="14" t="s">
        <v>301</v>
      </c>
    </row>
    <row r="1081" spans="1:4" ht="15.75" customHeight="1" x14ac:dyDescent="0.25">
      <c r="A1081" s="14" t="s">
        <v>1361</v>
      </c>
      <c r="B1081" s="14" t="s">
        <v>1362</v>
      </c>
      <c r="D1081" s="14" t="s">
        <v>301</v>
      </c>
    </row>
    <row r="1082" spans="1:4" ht="15.75" customHeight="1" x14ac:dyDescent="0.25">
      <c r="A1082" s="14" t="s">
        <v>1363</v>
      </c>
      <c r="B1082" s="14" t="s">
        <v>1364</v>
      </c>
      <c r="D1082" s="14" t="s">
        <v>301</v>
      </c>
    </row>
    <row r="1083" spans="1:4" ht="15.75" customHeight="1" x14ac:dyDescent="0.25">
      <c r="A1083" s="14" t="s">
        <v>2613</v>
      </c>
      <c r="B1083" s="14" t="s">
        <v>2614</v>
      </c>
      <c r="D1083" s="14" t="s">
        <v>301</v>
      </c>
    </row>
    <row r="1084" spans="1:4" ht="15.75" customHeight="1" x14ac:dyDescent="0.25">
      <c r="A1084" s="14" t="s">
        <v>2615</v>
      </c>
      <c r="B1084" s="14" t="s">
        <v>2616</v>
      </c>
      <c r="D1084" s="14" t="s">
        <v>301</v>
      </c>
    </row>
    <row r="1085" spans="1:4" ht="15.75" customHeight="1" x14ac:dyDescent="0.25">
      <c r="A1085" s="14" t="s">
        <v>2617</v>
      </c>
      <c r="B1085" s="14" t="s">
        <v>2618</v>
      </c>
      <c r="D1085" s="14" t="s">
        <v>301</v>
      </c>
    </row>
    <row r="1086" spans="1:4" ht="15.75" customHeight="1" x14ac:dyDescent="0.25">
      <c r="A1086" s="14" t="s">
        <v>2619</v>
      </c>
      <c r="B1086" s="14" t="s">
        <v>2620</v>
      </c>
      <c r="D1086" s="14" t="s">
        <v>301</v>
      </c>
    </row>
    <row r="1087" spans="1:4" ht="15.75" customHeight="1" x14ac:dyDescent="0.25">
      <c r="A1087" s="14" t="s">
        <v>2621</v>
      </c>
      <c r="B1087" s="14" t="s">
        <v>2622</v>
      </c>
      <c r="D1087" s="14" t="s">
        <v>301</v>
      </c>
    </row>
    <row r="1088" spans="1:4" ht="15.75" customHeight="1" x14ac:dyDescent="0.25">
      <c r="A1088" s="14" t="s">
        <v>1379</v>
      </c>
      <c r="B1088" s="14" t="s">
        <v>1380</v>
      </c>
      <c r="D1088" s="14" t="s">
        <v>301</v>
      </c>
    </row>
    <row r="1089" spans="1:4" ht="15.75" customHeight="1" x14ac:dyDescent="0.25">
      <c r="A1089" s="14" t="s">
        <v>2623</v>
      </c>
      <c r="B1089" s="14" t="s">
        <v>2624</v>
      </c>
      <c r="D1089" s="14" t="s">
        <v>301</v>
      </c>
    </row>
    <row r="1090" spans="1:4" ht="15.75" customHeight="1" x14ac:dyDescent="0.25">
      <c r="A1090" s="14" t="s">
        <v>2625</v>
      </c>
      <c r="B1090" s="14" t="s">
        <v>2626</v>
      </c>
      <c r="D1090" s="14" t="s">
        <v>301</v>
      </c>
    </row>
    <row r="1091" spans="1:4" ht="15.75" customHeight="1" x14ac:dyDescent="0.25">
      <c r="A1091" s="14" t="s">
        <v>2627</v>
      </c>
      <c r="B1091" s="14" t="s">
        <v>2628</v>
      </c>
      <c r="D1091" s="14" t="s">
        <v>301</v>
      </c>
    </row>
    <row r="1092" spans="1:4" ht="15.75" customHeight="1" x14ac:dyDescent="0.25">
      <c r="A1092" s="14" t="s">
        <v>1383</v>
      </c>
      <c r="B1092" s="14" t="s">
        <v>1384</v>
      </c>
      <c r="D1092" s="14" t="s">
        <v>301</v>
      </c>
    </row>
    <row r="1093" spans="1:4" ht="15.75" customHeight="1" x14ac:dyDescent="0.25">
      <c r="A1093" s="14" t="s">
        <v>1385</v>
      </c>
      <c r="B1093" s="14" t="s">
        <v>1386</v>
      </c>
      <c r="D1093" s="14" t="s">
        <v>301</v>
      </c>
    </row>
    <row r="1094" spans="1:4" ht="15.75" customHeight="1" x14ac:dyDescent="0.25">
      <c r="A1094" s="14" t="s">
        <v>1387</v>
      </c>
      <c r="B1094" s="14" t="s">
        <v>1388</v>
      </c>
      <c r="D1094" s="14" t="s">
        <v>301</v>
      </c>
    </row>
    <row r="1095" spans="1:4" ht="15.75" customHeight="1" x14ac:dyDescent="0.25">
      <c r="A1095" s="14" t="s">
        <v>1389</v>
      </c>
      <c r="B1095" s="14" t="s">
        <v>1390</v>
      </c>
      <c r="D1095" s="14" t="s">
        <v>301</v>
      </c>
    </row>
    <row r="1096" spans="1:4" ht="15.75" customHeight="1" x14ac:dyDescent="0.25">
      <c r="A1096" s="14" t="s">
        <v>1395</v>
      </c>
      <c r="B1096" s="14" t="s">
        <v>1396</v>
      </c>
      <c r="D1096" s="14" t="s">
        <v>301</v>
      </c>
    </row>
    <row r="1097" spans="1:4" ht="15.75" customHeight="1" x14ac:dyDescent="0.25">
      <c r="A1097" s="14" t="s">
        <v>1397</v>
      </c>
      <c r="B1097" s="14" t="s">
        <v>1398</v>
      </c>
      <c r="D1097" s="14" t="s">
        <v>301</v>
      </c>
    </row>
    <row r="1098" spans="1:4" ht="15.75" customHeight="1" x14ac:dyDescent="0.25">
      <c r="A1098" s="14" t="s">
        <v>1409</v>
      </c>
      <c r="B1098" s="14" t="s">
        <v>1410</v>
      </c>
      <c r="D1098" s="14" t="s">
        <v>301</v>
      </c>
    </row>
    <row r="1099" spans="1:4" ht="15.75" customHeight="1" x14ac:dyDescent="0.25">
      <c r="A1099" s="14" t="s">
        <v>1407</v>
      </c>
      <c r="B1099" s="14" t="s">
        <v>1408</v>
      </c>
      <c r="D1099" s="14" t="s">
        <v>301</v>
      </c>
    </row>
    <row r="1100" spans="1:4" ht="15.75" customHeight="1" x14ac:dyDescent="0.25">
      <c r="A1100" s="14" t="s">
        <v>1411</v>
      </c>
      <c r="B1100" s="14" t="s">
        <v>1412</v>
      </c>
      <c r="D1100" s="14" t="s">
        <v>301</v>
      </c>
    </row>
    <row r="1101" spans="1:4" ht="15.75" customHeight="1" x14ac:dyDescent="0.25">
      <c r="A1101" s="14" t="s">
        <v>1415</v>
      </c>
      <c r="B1101" s="14" t="s">
        <v>1416</v>
      </c>
      <c r="D1101" s="14" t="s">
        <v>301</v>
      </c>
    </row>
    <row r="1102" spans="1:4" ht="15.75" customHeight="1" x14ac:dyDescent="0.25">
      <c r="A1102" s="14" t="s">
        <v>2629</v>
      </c>
      <c r="B1102" s="14" t="s">
        <v>2630</v>
      </c>
      <c r="D1102" s="14" t="s">
        <v>301</v>
      </c>
    </row>
    <row r="1103" spans="1:4" ht="15.75" customHeight="1" x14ac:dyDescent="0.25">
      <c r="A1103" s="14" t="s">
        <v>2631</v>
      </c>
      <c r="B1103" s="14" t="s">
        <v>2632</v>
      </c>
      <c r="D1103" s="14" t="s">
        <v>301</v>
      </c>
    </row>
    <row r="1104" spans="1:4" ht="15.75" customHeight="1" x14ac:dyDescent="0.25">
      <c r="A1104" s="14" t="s">
        <v>2633</v>
      </c>
      <c r="B1104" s="14" t="s">
        <v>2634</v>
      </c>
      <c r="D1104" s="14" t="s">
        <v>301</v>
      </c>
    </row>
    <row r="1105" spans="1:4" ht="15.75" customHeight="1" x14ac:dyDescent="0.25">
      <c r="A1105" s="14" t="s">
        <v>2635</v>
      </c>
      <c r="B1105" s="14" t="s">
        <v>2636</v>
      </c>
      <c r="D1105" s="14" t="s">
        <v>301</v>
      </c>
    </row>
    <row r="1106" spans="1:4" ht="15.75" customHeight="1" x14ac:dyDescent="0.25">
      <c r="A1106" s="14" t="s">
        <v>2637</v>
      </c>
      <c r="B1106" s="14" t="s">
        <v>2638</v>
      </c>
      <c r="D1106" s="14" t="s">
        <v>301</v>
      </c>
    </row>
    <row r="1107" spans="1:4" ht="15.75" customHeight="1" x14ac:dyDescent="0.25">
      <c r="A1107" s="14" t="s">
        <v>2639</v>
      </c>
      <c r="B1107" s="14" t="s">
        <v>2640</v>
      </c>
      <c r="D1107" s="14" t="s">
        <v>301</v>
      </c>
    </row>
    <row r="1108" spans="1:4" ht="15.75" customHeight="1" x14ac:dyDescent="0.25">
      <c r="A1108" s="14" t="s">
        <v>1433</v>
      </c>
      <c r="B1108" s="14" t="s">
        <v>1434</v>
      </c>
      <c r="D1108" s="14" t="s">
        <v>301</v>
      </c>
    </row>
    <row r="1109" spans="1:4" ht="15.75" customHeight="1" x14ac:dyDescent="0.25">
      <c r="A1109" s="14" t="s">
        <v>2641</v>
      </c>
      <c r="B1109" s="14" t="s">
        <v>2642</v>
      </c>
      <c r="D1109" s="14" t="s">
        <v>301</v>
      </c>
    </row>
    <row r="1110" spans="1:4" ht="15.75" customHeight="1" x14ac:dyDescent="0.25">
      <c r="A1110" s="14" t="s">
        <v>1443</v>
      </c>
      <c r="B1110" s="14" t="s">
        <v>1444</v>
      </c>
      <c r="D1110" s="14" t="s">
        <v>301</v>
      </c>
    </row>
    <row r="1111" spans="1:4" ht="15.75" customHeight="1" x14ac:dyDescent="0.25">
      <c r="A1111" s="14" t="s">
        <v>1447</v>
      </c>
      <c r="B1111" s="14" t="s">
        <v>1448</v>
      </c>
      <c r="D1111" s="14" t="s">
        <v>301</v>
      </c>
    </row>
    <row r="1112" spans="1:4" ht="15.75" customHeight="1" x14ac:dyDescent="0.25">
      <c r="A1112" s="14" t="s">
        <v>1449</v>
      </c>
      <c r="B1112" s="14" t="s">
        <v>1450</v>
      </c>
      <c r="D1112" s="14" t="s">
        <v>301</v>
      </c>
    </row>
    <row r="1113" spans="1:4" ht="15.75" customHeight="1" x14ac:dyDescent="0.25">
      <c r="A1113" s="14" t="s">
        <v>1451</v>
      </c>
      <c r="B1113" s="14" t="s">
        <v>1452</v>
      </c>
      <c r="D1113" s="14" t="s">
        <v>301</v>
      </c>
    </row>
    <row r="1114" spans="1:4" ht="15.75" customHeight="1" x14ac:dyDescent="0.25">
      <c r="A1114" s="14" t="s">
        <v>2643</v>
      </c>
      <c r="B1114" s="14" t="s">
        <v>2644</v>
      </c>
      <c r="D1114" s="14" t="s">
        <v>301</v>
      </c>
    </row>
    <row r="1115" spans="1:4" ht="15.75" customHeight="1" x14ac:dyDescent="0.25">
      <c r="A1115" s="14">
        <v>1000425</v>
      </c>
      <c r="B1115" s="14" t="s">
        <v>1454</v>
      </c>
      <c r="D1115" s="14" t="s">
        <v>301</v>
      </c>
    </row>
    <row r="1116" spans="1:4" ht="15.75" customHeight="1" x14ac:dyDescent="0.25">
      <c r="A1116" s="14">
        <v>252341</v>
      </c>
      <c r="B1116" s="14" t="s">
        <v>1457</v>
      </c>
      <c r="D1116" s="14" t="s">
        <v>301</v>
      </c>
    </row>
    <row r="1117" spans="1:4" ht="15.75" customHeight="1" x14ac:dyDescent="0.25">
      <c r="A1117" s="14">
        <v>1001186</v>
      </c>
      <c r="B1117" s="14" t="s">
        <v>487</v>
      </c>
      <c r="D1117" s="14" t="s">
        <v>301</v>
      </c>
    </row>
    <row r="1118" spans="1:4" ht="15.75" customHeight="1" x14ac:dyDescent="0.25">
      <c r="A1118" s="14">
        <v>1006841</v>
      </c>
      <c r="B1118" s="14" t="s">
        <v>2645</v>
      </c>
      <c r="D1118" s="14" t="s">
        <v>301</v>
      </c>
    </row>
    <row r="1119" spans="1:4" ht="15.75" customHeight="1" x14ac:dyDescent="0.25">
      <c r="A1119" s="14">
        <v>22061898</v>
      </c>
      <c r="B1119" s="14" t="s">
        <v>2646</v>
      </c>
      <c r="D1119" s="14" t="s">
        <v>301</v>
      </c>
    </row>
    <row r="1120" spans="1:4" ht="15.75" customHeight="1" x14ac:dyDescent="0.25">
      <c r="A1120" s="14">
        <v>254275</v>
      </c>
      <c r="B1120" s="14" t="s">
        <v>2646</v>
      </c>
      <c r="D1120" s="14" t="s">
        <v>301</v>
      </c>
    </row>
    <row r="1121" spans="1:4" ht="15.75" customHeight="1" x14ac:dyDescent="0.25">
      <c r="A1121" s="14" t="s">
        <v>2647</v>
      </c>
      <c r="B1121" s="14" t="s">
        <v>2648</v>
      </c>
      <c r="D1121" s="14" t="s">
        <v>301</v>
      </c>
    </row>
    <row r="1122" spans="1:4" ht="15.75" customHeight="1" x14ac:dyDescent="0.25">
      <c r="A1122" s="14" t="s">
        <v>2649</v>
      </c>
      <c r="B1122" s="14" t="s">
        <v>2650</v>
      </c>
      <c r="D1122" s="14" t="s">
        <v>301</v>
      </c>
    </row>
    <row r="1123" spans="1:4" ht="15.75" customHeight="1" x14ac:dyDescent="0.25">
      <c r="A1123" s="14">
        <v>1000672</v>
      </c>
      <c r="B1123" s="14" t="s">
        <v>2651</v>
      </c>
      <c r="D1123" s="14" t="s">
        <v>301</v>
      </c>
    </row>
    <row r="1124" spans="1:4" ht="15.75" customHeight="1" x14ac:dyDescent="0.25">
      <c r="A1124" s="14">
        <v>1001221</v>
      </c>
      <c r="B1124" s="14" t="s">
        <v>2652</v>
      </c>
      <c r="D1124" s="14" t="s">
        <v>301</v>
      </c>
    </row>
    <row r="1125" spans="1:4" ht="15.75" customHeight="1" x14ac:dyDescent="0.25">
      <c r="A1125" s="14">
        <v>1000666</v>
      </c>
      <c r="B1125" s="14" t="s">
        <v>2653</v>
      </c>
      <c r="D1125" s="14" t="s">
        <v>301</v>
      </c>
    </row>
    <row r="1126" spans="1:4" ht="15.75" customHeight="1" x14ac:dyDescent="0.25">
      <c r="A1126" s="14">
        <v>1001596</v>
      </c>
      <c r="B1126" s="14" t="s">
        <v>2654</v>
      </c>
      <c r="D1126" s="14" t="s">
        <v>301</v>
      </c>
    </row>
    <row r="1127" spans="1:4" ht="15.75" customHeight="1" x14ac:dyDescent="0.25">
      <c r="A1127" s="14">
        <v>1002154</v>
      </c>
      <c r="B1127" s="14" t="s">
        <v>490</v>
      </c>
      <c r="D1127" s="14" t="s">
        <v>301</v>
      </c>
    </row>
    <row r="1128" spans="1:4" ht="15.75" customHeight="1" x14ac:dyDescent="0.25">
      <c r="A1128" s="14">
        <v>1001225</v>
      </c>
      <c r="B1128" s="14" t="s">
        <v>492</v>
      </c>
      <c r="D1128" s="14" t="s">
        <v>301</v>
      </c>
    </row>
    <row r="1129" spans="1:4" ht="15.75" customHeight="1" x14ac:dyDescent="0.25">
      <c r="A1129" s="14">
        <v>1000714</v>
      </c>
      <c r="B1129" s="14" t="s">
        <v>2655</v>
      </c>
      <c r="D1129" s="14" t="s">
        <v>301</v>
      </c>
    </row>
    <row r="1130" spans="1:4" ht="15.75" customHeight="1" x14ac:dyDescent="0.25">
      <c r="A1130" s="14">
        <v>1000433</v>
      </c>
      <c r="B1130" s="14" t="s">
        <v>2656</v>
      </c>
      <c r="D1130" s="14" t="s">
        <v>301</v>
      </c>
    </row>
    <row r="1131" spans="1:4" ht="15.75" customHeight="1" x14ac:dyDescent="0.25">
      <c r="A1131" s="14">
        <v>1001724</v>
      </c>
      <c r="B1131" s="14" t="s">
        <v>2657</v>
      </c>
      <c r="D1131" s="14" t="s">
        <v>301</v>
      </c>
    </row>
    <row r="1132" spans="1:4" ht="15.75" customHeight="1" x14ac:dyDescent="0.25">
      <c r="A1132" s="14">
        <v>1002046</v>
      </c>
      <c r="B1132" s="14" t="s">
        <v>2658</v>
      </c>
      <c r="D1132" s="14" t="s">
        <v>301</v>
      </c>
    </row>
    <row r="1133" spans="1:4" ht="15.75" customHeight="1" x14ac:dyDescent="0.25">
      <c r="A1133" s="14" t="s">
        <v>2659</v>
      </c>
      <c r="B1133" s="14" t="s">
        <v>2660</v>
      </c>
      <c r="D1133" s="14" t="s">
        <v>301</v>
      </c>
    </row>
    <row r="1134" spans="1:4" ht="15.75" customHeight="1" x14ac:dyDescent="0.25">
      <c r="A1134" s="14" t="s">
        <v>1461</v>
      </c>
      <c r="B1134" s="14" t="s">
        <v>1462</v>
      </c>
      <c r="D1134" s="14" t="s">
        <v>301</v>
      </c>
    </row>
    <row r="1135" spans="1:4" ht="15.75" customHeight="1" x14ac:dyDescent="0.25">
      <c r="A1135" s="14" t="s">
        <v>2661</v>
      </c>
      <c r="B1135" s="14" t="s">
        <v>2662</v>
      </c>
      <c r="D1135" s="14" t="s">
        <v>301</v>
      </c>
    </row>
    <row r="1136" spans="1:4" ht="15.75" customHeight="1" x14ac:dyDescent="0.25">
      <c r="A1136" s="14" t="s">
        <v>2663</v>
      </c>
      <c r="B1136" s="14" t="s">
        <v>2664</v>
      </c>
      <c r="D1136" s="14" t="s">
        <v>301</v>
      </c>
    </row>
    <row r="1137" spans="1:4" ht="15.75" customHeight="1" x14ac:dyDescent="0.25">
      <c r="A1137" s="14" t="s">
        <v>2665</v>
      </c>
      <c r="B1137" s="14" t="s">
        <v>2666</v>
      </c>
      <c r="D1137" s="14" t="s">
        <v>301</v>
      </c>
    </row>
    <row r="1138" spans="1:4" ht="15.75" customHeight="1" x14ac:dyDescent="0.25">
      <c r="A1138" s="14" t="s">
        <v>1465</v>
      </c>
      <c r="B1138" s="14" t="s">
        <v>1466</v>
      </c>
      <c r="D1138" s="14" t="s">
        <v>301</v>
      </c>
    </row>
    <row r="1139" spans="1:4" ht="15.75" customHeight="1" x14ac:dyDescent="0.25">
      <c r="A1139" s="14" t="s">
        <v>1467</v>
      </c>
      <c r="B1139" s="14" t="s">
        <v>1468</v>
      </c>
      <c r="D1139" s="14" t="s">
        <v>301</v>
      </c>
    </row>
    <row r="1140" spans="1:4" ht="15.75" customHeight="1" x14ac:dyDescent="0.25">
      <c r="A1140" s="14" t="s">
        <v>1469</v>
      </c>
      <c r="B1140" s="14" t="s">
        <v>1470</v>
      </c>
      <c r="D1140" s="14" t="s">
        <v>301</v>
      </c>
    </row>
    <row r="1141" spans="1:4" ht="15.75" customHeight="1" x14ac:dyDescent="0.25">
      <c r="A1141" s="14" t="s">
        <v>1471</v>
      </c>
      <c r="B1141" s="14" t="s">
        <v>1472</v>
      </c>
      <c r="D1141" s="14" t="s">
        <v>301</v>
      </c>
    </row>
    <row r="1142" spans="1:4" ht="15.75" customHeight="1" x14ac:dyDescent="0.25">
      <c r="A1142" s="14" t="s">
        <v>1473</v>
      </c>
      <c r="B1142" s="14" t="s">
        <v>1474</v>
      </c>
      <c r="D1142" s="14" t="s">
        <v>301</v>
      </c>
    </row>
    <row r="1143" spans="1:4" ht="15.75" customHeight="1" x14ac:dyDescent="0.25">
      <c r="A1143" s="14" t="s">
        <v>1475</v>
      </c>
      <c r="B1143" s="14" t="s">
        <v>1476</v>
      </c>
      <c r="D1143" s="14" t="s">
        <v>301</v>
      </c>
    </row>
    <row r="1144" spans="1:4" ht="15.75" customHeight="1" x14ac:dyDescent="0.25">
      <c r="A1144" s="14" t="s">
        <v>1477</v>
      </c>
      <c r="B1144" s="14" t="s">
        <v>1478</v>
      </c>
      <c r="D1144" s="14" t="s">
        <v>301</v>
      </c>
    </row>
    <row r="1145" spans="1:4" ht="15.75" customHeight="1" x14ac:dyDescent="0.25">
      <c r="A1145" s="14" t="s">
        <v>1479</v>
      </c>
      <c r="B1145" s="14" t="s">
        <v>1480</v>
      </c>
      <c r="D1145" s="14" t="s">
        <v>301</v>
      </c>
    </row>
    <row r="1146" spans="1:4" ht="15.75" customHeight="1" x14ac:dyDescent="0.25">
      <c r="A1146" s="14" t="s">
        <v>1481</v>
      </c>
      <c r="B1146" s="14" t="s">
        <v>1482</v>
      </c>
      <c r="D1146" s="14" t="s">
        <v>301</v>
      </c>
    </row>
    <row r="1147" spans="1:4" ht="15.75" customHeight="1" x14ac:dyDescent="0.25">
      <c r="A1147" s="14" t="s">
        <v>1483</v>
      </c>
      <c r="B1147" s="14" t="s">
        <v>1484</v>
      </c>
      <c r="D1147" s="14" t="s">
        <v>301</v>
      </c>
    </row>
    <row r="1148" spans="1:4" ht="15.75" customHeight="1" x14ac:dyDescent="0.25">
      <c r="A1148" s="14" t="s">
        <v>2667</v>
      </c>
      <c r="B1148" s="14" t="s">
        <v>2668</v>
      </c>
      <c r="D1148" s="14" t="s">
        <v>301</v>
      </c>
    </row>
    <row r="1149" spans="1:4" ht="15.75" customHeight="1" x14ac:dyDescent="0.25">
      <c r="A1149" s="14" t="s">
        <v>2669</v>
      </c>
      <c r="B1149" s="14" t="s">
        <v>2670</v>
      </c>
      <c r="D1149" s="14" t="s">
        <v>301</v>
      </c>
    </row>
    <row r="1150" spans="1:4" ht="15.75" customHeight="1" x14ac:dyDescent="0.25">
      <c r="A1150" s="14" t="s">
        <v>2671</v>
      </c>
      <c r="B1150" s="14" t="s">
        <v>2672</v>
      </c>
      <c r="D1150" s="14" t="s">
        <v>301</v>
      </c>
    </row>
    <row r="1151" spans="1:4" ht="15.75" customHeight="1" x14ac:dyDescent="0.25">
      <c r="A1151" s="14" t="s">
        <v>2673</v>
      </c>
      <c r="B1151" s="14" t="s">
        <v>2674</v>
      </c>
      <c r="D1151" s="14" t="s">
        <v>301</v>
      </c>
    </row>
    <row r="1152" spans="1:4" ht="15.75" customHeight="1" x14ac:dyDescent="0.25">
      <c r="A1152" s="14" t="s">
        <v>2675</v>
      </c>
      <c r="B1152" s="14" t="s">
        <v>2676</v>
      </c>
      <c r="D1152" s="14" t="s">
        <v>301</v>
      </c>
    </row>
    <row r="1153" spans="1:4" ht="15.75" customHeight="1" x14ac:dyDescent="0.25">
      <c r="A1153" s="14" t="s">
        <v>2677</v>
      </c>
      <c r="B1153" s="14" t="s">
        <v>2678</v>
      </c>
      <c r="D1153" s="14" t="s">
        <v>301</v>
      </c>
    </row>
    <row r="1154" spans="1:4" ht="15.75" customHeight="1" x14ac:dyDescent="0.25">
      <c r="A1154" s="14" t="s">
        <v>2679</v>
      </c>
      <c r="B1154" s="14" t="s">
        <v>2680</v>
      </c>
      <c r="D1154" s="14" t="s">
        <v>301</v>
      </c>
    </row>
    <row r="1155" spans="1:4" ht="15.75" customHeight="1" x14ac:dyDescent="0.25">
      <c r="A1155" s="14" t="s">
        <v>1485</v>
      </c>
      <c r="B1155" s="14" t="s">
        <v>1486</v>
      </c>
      <c r="D1155" s="14" t="s">
        <v>301</v>
      </c>
    </row>
    <row r="1156" spans="1:4" ht="15.75" customHeight="1" x14ac:dyDescent="0.25">
      <c r="A1156" s="14" t="s">
        <v>2681</v>
      </c>
      <c r="B1156" s="14" t="s">
        <v>2682</v>
      </c>
      <c r="D1156" s="14" t="s">
        <v>301</v>
      </c>
    </row>
    <row r="1157" spans="1:4" ht="15.75" customHeight="1" x14ac:dyDescent="0.25">
      <c r="A1157" s="14" t="s">
        <v>2683</v>
      </c>
      <c r="B1157" s="14" t="s">
        <v>2684</v>
      </c>
      <c r="D1157" s="14" t="s">
        <v>301</v>
      </c>
    </row>
    <row r="1158" spans="1:4" ht="15.75" customHeight="1" x14ac:dyDescent="0.25">
      <c r="A1158" s="14" t="s">
        <v>1527</v>
      </c>
      <c r="B1158" s="14" t="s">
        <v>1528</v>
      </c>
      <c r="D1158" s="14" t="s">
        <v>301</v>
      </c>
    </row>
    <row r="1159" spans="1:4" ht="15.75" customHeight="1" x14ac:dyDescent="0.25">
      <c r="A1159" s="14" t="s">
        <v>1529</v>
      </c>
      <c r="B1159" s="14" t="s">
        <v>1530</v>
      </c>
      <c r="D1159" s="14" t="s">
        <v>301</v>
      </c>
    </row>
    <row r="1160" spans="1:4" ht="15.75" customHeight="1" x14ac:dyDescent="0.25">
      <c r="A1160" s="14" t="s">
        <v>1531</v>
      </c>
      <c r="B1160" s="14" t="s">
        <v>1532</v>
      </c>
      <c r="D1160" s="14" t="s">
        <v>301</v>
      </c>
    </row>
    <row r="1161" spans="1:4" ht="15.75" customHeight="1" x14ac:dyDescent="0.25">
      <c r="A1161" s="14" t="s">
        <v>1533</v>
      </c>
      <c r="B1161" s="14" t="s">
        <v>1534</v>
      </c>
      <c r="D1161" s="14" t="s">
        <v>301</v>
      </c>
    </row>
    <row r="1162" spans="1:4" ht="15.75" customHeight="1" x14ac:dyDescent="0.25">
      <c r="A1162" s="14" t="s">
        <v>1535</v>
      </c>
      <c r="B1162" s="14" t="s">
        <v>1536</v>
      </c>
      <c r="D1162" s="14" t="s">
        <v>301</v>
      </c>
    </row>
    <row r="1163" spans="1:4" ht="15.75" customHeight="1" x14ac:dyDescent="0.25">
      <c r="A1163" s="14" t="s">
        <v>1537</v>
      </c>
      <c r="B1163" s="14" t="s">
        <v>1538</v>
      </c>
      <c r="D1163" s="14" t="s">
        <v>301</v>
      </c>
    </row>
    <row r="1164" spans="1:4" ht="15.75" customHeight="1" x14ac:dyDescent="0.25">
      <c r="A1164" s="14" t="s">
        <v>1539</v>
      </c>
      <c r="B1164" s="14" t="s">
        <v>1540</v>
      </c>
      <c r="D1164" s="14" t="s">
        <v>301</v>
      </c>
    </row>
    <row r="1165" spans="1:4" ht="15.75" customHeight="1" x14ac:dyDescent="0.25">
      <c r="A1165" s="14" t="s">
        <v>1541</v>
      </c>
      <c r="B1165" s="14" t="s">
        <v>1542</v>
      </c>
      <c r="D1165" s="14" t="s">
        <v>301</v>
      </c>
    </row>
    <row r="1166" spans="1:4" ht="15.75" customHeight="1" x14ac:dyDescent="0.25">
      <c r="A1166" s="14" t="s">
        <v>1543</v>
      </c>
      <c r="B1166" s="14" t="s">
        <v>1544</v>
      </c>
      <c r="D1166" s="14" t="s">
        <v>301</v>
      </c>
    </row>
    <row r="1167" spans="1:4" ht="15.75" customHeight="1" x14ac:dyDescent="0.25">
      <c r="A1167" s="14" t="s">
        <v>1545</v>
      </c>
      <c r="B1167" s="14" t="s">
        <v>1546</v>
      </c>
      <c r="D1167" s="14" t="s">
        <v>301</v>
      </c>
    </row>
    <row r="1168" spans="1:4" ht="15.75" customHeight="1" x14ac:dyDescent="0.25">
      <c r="A1168" s="14" t="s">
        <v>1547</v>
      </c>
      <c r="B1168" s="14" t="s">
        <v>1548</v>
      </c>
      <c r="D1168" s="14" t="s">
        <v>301</v>
      </c>
    </row>
    <row r="1169" spans="1:4" ht="15.75" customHeight="1" x14ac:dyDescent="0.25">
      <c r="A1169" s="14" t="s">
        <v>1549</v>
      </c>
      <c r="B1169" s="14" t="s">
        <v>1550</v>
      </c>
      <c r="D1169" s="14" t="s">
        <v>301</v>
      </c>
    </row>
    <row r="1170" spans="1:4" ht="15.75" customHeight="1" x14ac:dyDescent="0.25">
      <c r="A1170" s="14" t="s">
        <v>2685</v>
      </c>
      <c r="B1170" s="14" t="s">
        <v>2686</v>
      </c>
      <c r="D1170" s="14" t="s">
        <v>301</v>
      </c>
    </row>
    <row r="1171" spans="1:4" ht="15.75" customHeight="1" x14ac:dyDescent="0.25">
      <c r="A1171" s="14" t="s">
        <v>2687</v>
      </c>
      <c r="B1171" s="14" t="s">
        <v>2688</v>
      </c>
      <c r="D1171" s="14" t="s">
        <v>301</v>
      </c>
    </row>
    <row r="1172" spans="1:4" ht="15.75" customHeight="1" x14ac:dyDescent="0.25">
      <c r="A1172" s="14" t="s">
        <v>2689</v>
      </c>
      <c r="B1172" s="14" t="s">
        <v>2690</v>
      </c>
      <c r="D1172" s="14" t="s">
        <v>301</v>
      </c>
    </row>
    <row r="1173" spans="1:4" ht="15.75" customHeight="1" x14ac:dyDescent="0.25">
      <c r="A1173" s="14" t="s">
        <v>2691</v>
      </c>
      <c r="B1173" s="14" t="s">
        <v>2692</v>
      </c>
      <c r="D1173" s="14" t="s">
        <v>301</v>
      </c>
    </row>
    <row r="1174" spans="1:4" ht="15.75" customHeight="1" x14ac:dyDescent="0.25">
      <c r="A1174" s="14" t="s">
        <v>2693</v>
      </c>
      <c r="B1174" s="14" t="s">
        <v>2694</v>
      </c>
      <c r="D1174" s="14" t="s">
        <v>301</v>
      </c>
    </row>
    <row r="1175" spans="1:4" ht="15.75" customHeight="1" x14ac:dyDescent="0.25">
      <c r="A1175" s="14" t="s">
        <v>2695</v>
      </c>
      <c r="B1175" s="14" t="s">
        <v>2696</v>
      </c>
      <c r="D1175" s="14" t="s">
        <v>301</v>
      </c>
    </row>
    <row r="1176" spans="1:4" ht="15.75" customHeight="1" x14ac:dyDescent="0.25">
      <c r="A1176" s="14" t="s">
        <v>2697</v>
      </c>
      <c r="B1176" s="14" t="s">
        <v>2698</v>
      </c>
      <c r="D1176" s="14" t="s">
        <v>301</v>
      </c>
    </row>
    <row r="1177" spans="1:4" ht="15.75" customHeight="1" x14ac:dyDescent="0.25">
      <c r="A1177" s="14" t="s">
        <v>2699</v>
      </c>
      <c r="B1177" s="14" t="s">
        <v>2700</v>
      </c>
      <c r="D1177" s="14" t="s">
        <v>301</v>
      </c>
    </row>
    <row r="1178" spans="1:4" ht="15.75" customHeight="1" x14ac:dyDescent="0.25">
      <c r="A1178" s="14" t="s">
        <v>2701</v>
      </c>
      <c r="B1178" s="14" t="s">
        <v>2702</v>
      </c>
      <c r="D1178" s="14" t="s">
        <v>301</v>
      </c>
    </row>
    <row r="1179" spans="1:4" ht="15.75" customHeight="1" x14ac:dyDescent="0.25">
      <c r="A1179" s="14" t="s">
        <v>2703</v>
      </c>
      <c r="B1179" s="14" t="s">
        <v>2704</v>
      </c>
      <c r="D1179" s="14" t="s">
        <v>301</v>
      </c>
    </row>
    <row r="1180" spans="1:4" ht="15.75" customHeight="1" x14ac:dyDescent="0.25">
      <c r="A1180" s="14" t="s">
        <v>2705</v>
      </c>
      <c r="B1180" s="14" t="s">
        <v>2706</v>
      </c>
      <c r="D1180" s="14" t="s">
        <v>301</v>
      </c>
    </row>
    <row r="1181" spans="1:4" ht="15.75" customHeight="1" x14ac:dyDescent="0.25">
      <c r="A1181" s="14" t="s">
        <v>2707</v>
      </c>
      <c r="B1181" s="14" t="s">
        <v>2708</v>
      </c>
      <c r="D1181" s="14" t="s">
        <v>301</v>
      </c>
    </row>
    <row r="1182" spans="1:4" ht="15.75" customHeight="1" x14ac:dyDescent="0.25">
      <c r="A1182" s="14" t="s">
        <v>2709</v>
      </c>
      <c r="B1182" s="14" t="s">
        <v>2710</v>
      </c>
      <c r="D1182" s="14" t="s">
        <v>301</v>
      </c>
    </row>
    <row r="1183" spans="1:4" ht="15.75" customHeight="1" x14ac:dyDescent="0.25">
      <c r="A1183" s="14" t="s">
        <v>2711</v>
      </c>
      <c r="B1183" s="14" t="s">
        <v>2712</v>
      </c>
      <c r="D1183" s="14" t="s">
        <v>301</v>
      </c>
    </row>
    <row r="1184" spans="1:4" ht="15.75" customHeight="1" x14ac:dyDescent="0.25">
      <c r="A1184" s="14" t="s">
        <v>2713</v>
      </c>
      <c r="B1184" s="14" t="s">
        <v>2714</v>
      </c>
      <c r="D1184" s="14" t="s">
        <v>301</v>
      </c>
    </row>
    <row r="1185" spans="1:4" ht="15.75" customHeight="1" x14ac:dyDescent="0.25">
      <c r="A1185" s="14" t="s">
        <v>2715</v>
      </c>
      <c r="B1185" s="14" t="s">
        <v>2716</v>
      </c>
      <c r="D1185" s="14" t="s">
        <v>301</v>
      </c>
    </row>
    <row r="1186" spans="1:4" ht="15.75" customHeight="1" x14ac:dyDescent="0.25">
      <c r="A1186" s="14" t="s">
        <v>2717</v>
      </c>
      <c r="B1186" s="14" t="s">
        <v>2718</v>
      </c>
      <c r="D1186" s="14" t="s">
        <v>301</v>
      </c>
    </row>
    <row r="1187" spans="1:4" ht="15.75" customHeight="1" x14ac:dyDescent="0.25">
      <c r="A1187" s="14" t="s">
        <v>2719</v>
      </c>
      <c r="B1187" s="14" t="s">
        <v>2720</v>
      </c>
      <c r="D1187" s="14" t="s">
        <v>301</v>
      </c>
    </row>
    <row r="1188" spans="1:4" ht="15.75" customHeight="1" x14ac:dyDescent="0.25">
      <c r="A1188" s="14" t="s">
        <v>2721</v>
      </c>
      <c r="B1188" s="14" t="s">
        <v>2722</v>
      </c>
      <c r="D1188" s="14" t="s">
        <v>301</v>
      </c>
    </row>
    <row r="1189" spans="1:4" ht="15.75" customHeight="1" x14ac:dyDescent="0.25">
      <c r="A1189" s="14" t="s">
        <v>2723</v>
      </c>
      <c r="B1189" s="14" t="s">
        <v>2724</v>
      </c>
      <c r="D1189" s="14" t="s">
        <v>301</v>
      </c>
    </row>
    <row r="1190" spans="1:4" ht="15.75" customHeight="1" x14ac:dyDescent="0.25">
      <c r="A1190" s="14" t="s">
        <v>2725</v>
      </c>
      <c r="B1190" s="14" t="s">
        <v>2726</v>
      </c>
      <c r="D1190" s="14" t="s">
        <v>301</v>
      </c>
    </row>
    <row r="1191" spans="1:4" ht="15.75" customHeight="1" x14ac:dyDescent="0.25">
      <c r="A1191" s="14" t="s">
        <v>2727</v>
      </c>
      <c r="B1191" s="14" t="s">
        <v>2728</v>
      </c>
      <c r="D1191" s="14" t="s">
        <v>301</v>
      </c>
    </row>
    <row r="1192" spans="1:4" ht="15.75" customHeight="1" x14ac:dyDescent="0.25">
      <c r="A1192" s="14" t="s">
        <v>2729</v>
      </c>
      <c r="B1192" s="14" t="s">
        <v>2730</v>
      </c>
      <c r="D1192" s="14" t="s">
        <v>301</v>
      </c>
    </row>
    <row r="1193" spans="1:4" ht="15.75" customHeight="1" x14ac:dyDescent="0.25">
      <c r="A1193" s="14" t="s">
        <v>2731</v>
      </c>
      <c r="B1193" s="14" t="s">
        <v>2732</v>
      </c>
      <c r="D1193" s="14" t="s">
        <v>301</v>
      </c>
    </row>
    <row r="1194" spans="1:4" ht="15.75" customHeight="1" x14ac:dyDescent="0.25">
      <c r="A1194" s="14" t="s">
        <v>1589</v>
      </c>
      <c r="B1194" s="14" t="s">
        <v>1590</v>
      </c>
      <c r="D1194" s="14" t="s">
        <v>301</v>
      </c>
    </row>
    <row r="1195" spans="1:4" ht="15.75" customHeight="1" x14ac:dyDescent="0.25">
      <c r="A1195" s="14" t="s">
        <v>1591</v>
      </c>
      <c r="B1195" s="14" t="s">
        <v>1592</v>
      </c>
      <c r="D1195" s="14" t="s">
        <v>301</v>
      </c>
    </row>
    <row r="1196" spans="1:4" ht="15.75" customHeight="1" x14ac:dyDescent="0.25">
      <c r="A1196" s="14" t="s">
        <v>1593</v>
      </c>
      <c r="B1196" s="14" t="s">
        <v>1594</v>
      </c>
      <c r="D1196" s="14" t="s">
        <v>301</v>
      </c>
    </row>
    <row r="1197" spans="1:4" ht="15.75" customHeight="1" x14ac:dyDescent="0.25">
      <c r="A1197" s="14" t="s">
        <v>1595</v>
      </c>
      <c r="B1197" s="14" t="s">
        <v>1596</v>
      </c>
      <c r="D1197" s="14" t="s">
        <v>301</v>
      </c>
    </row>
    <row r="1198" spans="1:4" ht="15.75" customHeight="1" x14ac:dyDescent="0.25">
      <c r="A1198" s="14" t="s">
        <v>1597</v>
      </c>
      <c r="B1198" s="14" t="s">
        <v>1598</v>
      </c>
      <c r="D1198" s="14" t="s">
        <v>301</v>
      </c>
    </row>
    <row r="1199" spans="1:4" ht="15.75" customHeight="1" x14ac:dyDescent="0.25">
      <c r="A1199" s="14" t="s">
        <v>1599</v>
      </c>
      <c r="B1199" s="14" t="s">
        <v>1600</v>
      </c>
      <c r="D1199" s="14" t="s">
        <v>301</v>
      </c>
    </row>
    <row r="1200" spans="1:4" ht="15.75" customHeight="1" x14ac:dyDescent="0.25">
      <c r="A1200" s="14" t="s">
        <v>1601</v>
      </c>
      <c r="B1200" s="14" t="s">
        <v>1602</v>
      </c>
      <c r="D1200" s="14" t="s">
        <v>301</v>
      </c>
    </row>
    <row r="1201" spans="1:4" ht="15.75" customHeight="1" x14ac:dyDescent="0.25">
      <c r="A1201" s="14" t="s">
        <v>1603</v>
      </c>
      <c r="B1201" s="14" t="s">
        <v>1604</v>
      </c>
      <c r="D1201" s="14" t="s">
        <v>301</v>
      </c>
    </row>
    <row r="1202" spans="1:4" ht="15.75" customHeight="1" x14ac:dyDescent="0.25">
      <c r="A1202" s="14" t="s">
        <v>1605</v>
      </c>
      <c r="B1202" s="14" t="s">
        <v>1606</v>
      </c>
      <c r="D1202" s="14" t="s">
        <v>301</v>
      </c>
    </row>
    <row r="1203" spans="1:4" ht="15.75" customHeight="1" x14ac:dyDescent="0.25">
      <c r="A1203" s="14" t="s">
        <v>1607</v>
      </c>
      <c r="B1203" s="14" t="s">
        <v>1608</v>
      </c>
      <c r="D1203" s="14" t="s">
        <v>301</v>
      </c>
    </row>
    <row r="1204" spans="1:4" ht="15.75" customHeight="1" x14ac:dyDescent="0.25">
      <c r="A1204" s="14" t="s">
        <v>2733</v>
      </c>
      <c r="B1204" s="14" t="s">
        <v>2734</v>
      </c>
      <c r="D1204" s="14" t="s">
        <v>301</v>
      </c>
    </row>
    <row r="1205" spans="1:4" ht="15.75" customHeight="1" x14ac:dyDescent="0.25">
      <c r="A1205" s="14" t="s">
        <v>2735</v>
      </c>
      <c r="B1205" s="14" t="s">
        <v>2736</v>
      </c>
      <c r="D1205" s="14" t="s">
        <v>301</v>
      </c>
    </row>
    <row r="1206" spans="1:4" ht="15.75" customHeight="1" x14ac:dyDescent="0.25">
      <c r="A1206" s="14" t="s">
        <v>2737</v>
      </c>
      <c r="B1206" s="14" t="s">
        <v>2738</v>
      </c>
      <c r="D1206" s="14" t="s">
        <v>301</v>
      </c>
    </row>
    <row r="1207" spans="1:4" ht="15.75" customHeight="1" x14ac:dyDescent="0.25">
      <c r="A1207" s="14" t="s">
        <v>2739</v>
      </c>
      <c r="B1207" s="14" t="s">
        <v>2740</v>
      </c>
      <c r="D1207" s="14" t="s">
        <v>301</v>
      </c>
    </row>
    <row r="1208" spans="1:4" ht="15.75" customHeight="1" x14ac:dyDescent="0.25">
      <c r="A1208" s="14" t="s">
        <v>2741</v>
      </c>
      <c r="B1208" s="14" t="s">
        <v>2742</v>
      </c>
      <c r="D1208" s="14" t="s">
        <v>301</v>
      </c>
    </row>
    <row r="1209" spans="1:4" ht="15.75" customHeight="1" x14ac:dyDescent="0.25">
      <c r="A1209" s="14" t="s">
        <v>2743</v>
      </c>
      <c r="B1209" s="14" t="s">
        <v>2744</v>
      </c>
      <c r="D1209" s="14" t="s">
        <v>301</v>
      </c>
    </row>
    <row r="1210" spans="1:4" ht="15.75" customHeight="1" x14ac:dyDescent="0.25">
      <c r="A1210" s="14" t="s">
        <v>2745</v>
      </c>
      <c r="B1210" s="14" t="s">
        <v>2746</v>
      </c>
      <c r="D1210" s="14" t="s">
        <v>301</v>
      </c>
    </row>
    <row r="1211" spans="1:4" ht="15.75" customHeight="1" x14ac:dyDescent="0.25">
      <c r="A1211" s="14" t="s">
        <v>2747</v>
      </c>
      <c r="B1211" s="14" t="s">
        <v>2748</v>
      </c>
      <c r="D1211" s="14" t="s">
        <v>301</v>
      </c>
    </row>
    <row r="1212" spans="1:4" ht="15.75" customHeight="1" x14ac:dyDescent="0.25">
      <c r="A1212" s="14" t="s">
        <v>2749</v>
      </c>
      <c r="B1212" s="14" t="s">
        <v>2750</v>
      </c>
      <c r="D1212" s="14" t="s">
        <v>301</v>
      </c>
    </row>
    <row r="1213" spans="1:4" ht="15.75" customHeight="1" x14ac:dyDescent="0.25">
      <c r="A1213" s="14" t="s">
        <v>2751</v>
      </c>
      <c r="B1213" s="14" t="s">
        <v>2752</v>
      </c>
      <c r="D1213" s="14" t="s">
        <v>301</v>
      </c>
    </row>
    <row r="1214" spans="1:4" ht="15.75" customHeight="1" x14ac:dyDescent="0.25">
      <c r="A1214" s="14" t="s">
        <v>1609</v>
      </c>
      <c r="B1214" s="14" t="s">
        <v>1610</v>
      </c>
      <c r="D1214" s="14" t="s">
        <v>301</v>
      </c>
    </row>
    <row r="1215" spans="1:4" ht="15.75" customHeight="1" x14ac:dyDescent="0.25">
      <c r="A1215" s="14" t="s">
        <v>1613</v>
      </c>
      <c r="B1215" s="14" t="s">
        <v>1614</v>
      </c>
      <c r="D1215" s="14" t="s">
        <v>301</v>
      </c>
    </row>
    <row r="1216" spans="1:4" ht="15.75" customHeight="1" x14ac:dyDescent="0.25">
      <c r="A1216" s="14" t="s">
        <v>1615</v>
      </c>
      <c r="B1216" s="14" t="s">
        <v>1616</v>
      </c>
      <c r="D1216" s="14" t="s">
        <v>301</v>
      </c>
    </row>
    <row r="1217" spans="1:4" ht="15.75" customHeight="1" x14ac:dyDescent="0.25">
      <c r="A1217" s="14" t="s">
        <v>1617</v>
      </c>
      <c r="B1217" s="14" t="s">
        <v>1618</v>
      </c>
      <c r="D1217" s="14" t="s">
        <v>301</v>
      </c>
    </row>
    <row r="1218" spans="1:4" ht="15.75" customHeight="1" x14ac:dyDescent="0.25">
      <c r="A1218" s="14" t="s">
        <v>1619</v>
      </c>
      <c r="B1218" s="14" t="s">
        <v>1620</v>
      </c>
      <c r="D1218" s="14" t="s">
        <v>301</v>
      </c>
    </row>
    <row r="1219" spans="1:4" ht="15.75" customHeight="1" x14ac:dyDescent="0.25">
      <c r="A1219" s="14" t="s">
        <v>1621</v>
      </c>
      <c r="B1219" s="14" t="s">
        <v>1622</v>
      </c>
      <c r="D1219" s="14" t="s">
        <v>301</v>
      </c>
    </row>
    <row r="1220" spans="1:4" ht="15.75" customHeight="1" x14ac:dyDescent="0.25">
      <c r="A1220" s="14" t="s">
        <v>2753</v>
      </c>
      <c r="B1220" s="14" t="s">
        <v>2754</v>
      </c>
      <c r="D1220" s="14" t="s">
        <v>301</v>
      </c>
    </row>
    <row r="1221" spans="1:4" ht="15.75" customHeight="1" x14ac:dyDescent="0.25">
      <c r="A1221" s="14" t="s">
        <v>2755</v>
      </c>
      <c r="B1221" s="14" t="s">
        <v>2756</v>
      </c>
      <c r="D1221" s="14" t="s">
        <v>301</v>
      </c>
    </row>
    <row r="1222" spans="1:4" ht="15.75" customHeight="1" x14ac:dyDescent="0.25">
      <c r="A1222" s="14" t="s">
        <v>2757</v>
      </c>
      <c r="B1222" s="14" t="s">
        <v>2758</v>
      </c>
      <c r="D1222" s="14" t="s">
        <v>301</v>
      </c>
    </row>
    <row r="1223" spans="1:4" ht="15.75" customHeight="1" x14ac:dyDescent="0.25">
      <c r="A1223" s="14" t="s">
        <v>2759</v>
      </c>
      <c r="B1223" s="14" t="s">
        <v>2760</v>
      </c>
      <c r="D1223" s="14" t="s">
        <v>301</v>
      </c>
    </row>
    <row r="1224" spans="1:4" ht="15.75" customHeight="1" x14ac:dyDescent="0.25">
      <c r="A1224" s="14" t="s">
        <v>2761</v>
      </c>
      <c r="B1224" s="14" t="s">
        <v>2762</v>
      </c>
      <c r="D1224" s="14" t="s">
        <v>301</v>
      </c>
    </row>
    <row r="1225" spans="1:4" ht="15.75" customHeight="1" x14ac:dyDescent="0.25">
      <c r="A1225" s="14" t="s">
        <v>1631</v>
      </c>
      <c r="B1225" s="14" t="s">
        <v>1632</v>
      </c>
      <c r="D1225" s="14" t="s">
        <v>301</v>
      </c>
    </row>
    <row r="1226" spans="1:4" ht="15.75" customHeight="1" x14ac:dyDescent="0.25">
      <c r="A1226" s="14" t="s">
        <v>1633</v>
      </c>
      <c r="B1226" s="14" t="s">
        <v>1634</v>
      </c>
      <c r="D1226" s="14" t="s">
        <v>301</v>
      </c>
    </row>
    <row r="1227" spans="1:4" ht="15.75" customHeight="1" x14ac:dyDescent="0.25">
      <c r="A1227" s="14" t="s">
        <v>1635</v>
      </c>
      <c r="B1227" s="14" t="s">
        <v>1636</v>
      </c>
      <c r="D1227" s="14" t="s">
        <v>301</v>
      </c>
    </row>
    <row r="1228" spans="1:4" ht="15.75" customHeight="1" x14ac:dyDescent="0.25">
      <c r="A1228" s="14" t="s">
        <v>2763</v>
      </c>
      <c r="B1228" s="14" t="s">
        <v>2764</v>
      </c>
      <c r="D1228" s="14" t="s">
        <v>301</v>
      </c>
    </row>
    <row r="1229" spans="1:4" ht="15.75" customHeight="1" x14ac:dyDescent="0.25">
      <c r="A1229" s="14" t="s">
        <v>2765</v>
      </c>
      <c r="B1229" s="14" t="s">
        <v>2766</v>
      </c>
      <c r="D1229" s="14" t="s">
        <v>301</v>
      </c>
    </row>
    <row r="1230" spans="1:4" ht="15.75" customHeight="1" x14ac:dyDescent="0.25">
      <c r="A1230" s="14" t="s">
        <v>1637</v>
      </c>
      <c r="B1230" s="14" t="s">
        <v>1638</v>
      </c>
      <c r="D1230" s="14" t="s">
        <v>301</v>
      </c>
    </row>
    <row r="1231" spans="1:4" ht="15.75" customHeight="1" x14ac:dyDescent="0.25">
      <c r="A1231" s="14" t="s">
        <v>1639</v>
      </c>
      <c r="B1231" s="14" t="s">
        <v>1640</v>
      </c>
      <c r="D1231" s="14" t="s">
        <v>301</v>
      </c>
    </row>
    <row r="1232" spans="1:4" ht="15.75" customHeight="1" x14ac:dyDescent="0.25">
      <c r="A1232" s="14" t="s">
        <v>1641</v>
      </c>
      <c r="B1232" s="14" t="s">
        <v>1642</v>
      </c>
      <c r="D1232" s="14" t="s">
        <v>301</v>
      </c>
    </row>
    <row r="1233" spans="1:4" ht="15.75" customHeight="1" x14ac:dyDescent="0.25">
      <c r="A1233" s="14" t="s">
        <v>2767</v>
      </c>
      <c r="B1233" s="14" t="s">
        <v>2768</v>
      </c>
      <c r="D1233" s="14" t="s">
        <v>301</v>
      </c>
    </row>
    <row r="1234" spans="1:4" ht="15.75" customHeight="1" x14ac:dyDescent="0.25">
      <c r="A1234" s="14" t="s">
        <v>2769</v>
      </c>
      <c r="B1234" s="14" t="s">
        <v>2770</v>
      </c>
      <c r="D1234" s="14" t="s">
        <v>301</v>
      </c>
    </row>
    <row r="1235" spans="1:4" ht="15.75" customHeight="1" x14ac:dyDescent="0.25">
      <c r="A1235" s="14" t="s">
        <v>2771</v>
      </c>
      <c r="B1235" s="14" t="s">
        <v>2772</v>
      </c>
      <c r="D1235" s="14" t="s">
        <v>301</v>
      </c>
    </row>
    <row r="1236" spans="1:4" ht="15.75" customHeight="1" x14ac:dyDescent="0.25">
      <c r="A1236" s="14" t="s">
        <v>2773</v>
      </c>
      <c r="B1236" s="14" t="s">
        <v>2774</v>
      </c>
      <c r="D1236" s="14" t="s">
        <v>301</v>
      </c>
    </row>
    <row r="1237" spans="1:4" ht="15.75" customHeight="1" x14ac:dyDescent="0.25">
      <c r="A1237" s="14" t="s">
        <v>2775</v>
      </c>
      <c r="B1237" s="14" t="s">
        <v>2776</v>
      </c>
      <c r="D1237" s="14" t="s">
        <v>301</v>
      </c>
    </row>
    <row r="1238" spans="1:4" ht="15.75" customHeight="1" x14ac:dyDescent="0.25">
      <c r="A1238" s="14" t="s">
        <v>2777</v>
      </c>
      <c r="B1238" s="14" t="s">
        <v>2778</v>
      </c>
      <c r="D1238" s="14" t="s">
        <v>301</v>
      </c>
    </row>
    <row r="1239" spans="1:4" ht="15.75" customHeight="1" x14ac:dyDescent="0.25">
      <c r="A1239" s="14" t="s">
        <v>2779</v>
      </c>
      <c r="B1239" s="14" t="s">
        <v>2780</v>
      </c>
      <c r="D1239" s="14" t="s">
        <v>301</v>
      </c>
    </row>
    <row r="1240" spans="1:4" ht="15.75" customHeight="1" x14ac:dyDescent="0.25">
      <c r="A1240" s="14" t="s">
        <v>1655</v>
      </c>
      <c r="B1240" s="14" t="s">
        <v>1656</v>
      </c>
      <c r="D1240" s="14" t="s">
        <v>301</v>
      </c>
    </row>
    <row r="1241" spans="1:4" ht="15.75" customHeight="1" x14ac:dyDescent="0.25">
      <c r="A1241" s="14" t="s">
        <v>1657</v>
      </c>
      <c r="B1241" s="14" t="s">
        <v>1658</v>
      </c>
      <c r="D1241" s="14" t="s">
        <v>301</v>
      </c>
    </row>
    <row r="1242" spans="1:4" ht="15.75" customHeight="1" x14ac:dyDescent="0.25">
      <c r="A1242" s="14" t="s">
        <v>1659</v>
      </c>
      <c r="B1242" s="14" t="s">
        <v>1660</v>
      </c>
      <c r="D1242" s="14" t="s">
        <v>301</v>
      </c>
    </row>
    <row r="1243" spans="1:4" ht="15.75" customHeight="1" x14ac:dyDescent="0.25">
      <c r="A1243" s="14" t="s">
        <v>2781</v>
      </c>
      <c r="B1243" s="14" t="s">
        <v>2782</v>
      </c>
      <c r="D1243" s="14" t="s">
        <v>301</v>
      </c>
    </row>
    <row r="1244" spans="1:4" ht="15.75" customHeight="1" x14ac:dyDescent="0.25">
      <c r="A1244" s="14" t="s">
        <v>1661</v>
      </c>
      <c r="B1244" s="14" t="s">
        <v>1662</v>
      </c>
      <c r="D1244" s="14" t="s">
        <v>301</v>
      </c>
    </row>
    <row r="1245" spans="1:4" ht="15.75" customHeight="1" x14ac:dyDescent="0.25">
      <c r="A1245" s="14" t="s">
        <v>2783</v>
      </c>
      <c r="B1245" s="14" t="s">
        <v>2784</v>
      </c>
      <c r="D1245" s="14" t="s">
        <v>301</v>
      </c>
    </row>
    <row r="1246" spans="1:4" ht="15.75" customHeight="1" x14ac:dyDescent="0.25">
      <c r="A1246" s="14" t="s">
        <v>2785</v>
      </c>
      <c r="B1246" s="14" t="s">
        <v>2786</v>
      </c>
      <c r="D1246" s="14" t="s">
        <v>301</v>
      </c>
    </row>
    <row r="1247" spans="1:4" ht="15.75" customHeight="1" x14ac:dyDescent="0.25">
      <c r="A1247" s="14" t="s">
        <v>1663</v>
      </c>
      <c r="B1247" s="14" t="s">
        <v>1664</v>
      </c>
      <c r="D1247" s="14" t="s">
        <v>301</v>
      </c>
    </row>
    <row r="1248" spans="1:4" ht="15.75" customHeight="1" x14ac:dyDescent="0.25">
      <c r="A1248" s="14" t="s">
        <v>2787</v>
      </c>
      <c r="B1248" s="14" t="s">
        <v>2788</v>
      </c>
      <c r="D1248" s="14" t="s">
        <v>301</v>
      </c>
    </row>
    <row r="1249" spans="1:4" ht="15.75" customHeight="1" x14ac:dyDescent="0.25">
      <c r="A1249" s="14" t="s">
        <v>2789</v>
      </c>
      <c r="B1249" s="14" t="s">
        <v>2790</v>
      </c>
      <c r="D1249" s="14" t="s">
        <v>301</v>
      </c>
    </row>
    <row r="1250" spans="1:4" ht="15.75" customHeight="1" x14ac:dyDescent="0.25">
      <c r="A1250" s="14" t="s">
        <v>1667</v>
      </c>
      <c r="B1250" s="14" t="s">
        <v>1668</v>
      </c>
      <c r="D1250" s="14" t="s">
        <v>301</v>
      </c>
    </row>
    <row r="1251" spans="1:4" ht="15.75" customHeight="1" x14ac:dyDescent="0.25">
      <c r="A1251" s="14" t="s">
        <v>1669</v>
      </c>
      <c r="B1251" s="14" t="s">
        <v>1670</v>
      </c>
      <c r="D1251" s="14" t="s">
        <v>301</v>
      </c>
    </row>
    <row r="1252" spans="1:4" ht="15.75" customHeight="1" x14ac:dyDescent="0.25">
      <c r="A1252" s="14" t="s">
        <v>1671</v>
      </c>
      <c r="B1252" s="14" t="s">
        <v>1672</v>
      </c>
      <c r="D1252" s="14" t="s">
        <v>301</v>
      </c>
    </row>
    <row r="1253" spans="1:4" ht="15.75" customHeight="1" x14ac:dyDescent="0.25">
      <c r="A1253" s="14" t="s">
        <v>1673</v>
      </c>
      <c r="B1253" s="14" t="s">
        <v>1674</v>
      </c>
      <c r="D1253" s="14" t="s">
        <v>301</v>
      </c>
    </row>
    <row r="1254" spans="1:4" ht="15.75" customHeight="1" x14ac:dyDescent="0.25">
      <c r="A1254" s="14" t="s">
        <v>2791</v>
      </c>
      <c r="B1254" s="14" t="s">
        <v>2792</v>
      </c>
      <c r="D1254" s="14" t="s">
        <v>301</v>
      </c>
    </row>
    <row r="1255" spans="1:4" ht="15.75" customHeight="1" x14ac:dyDescent="0.25">
      <c r="A1255" s="14" t="s">
        <v>2793</v>
      </c>
      <c r="B1255" s="14" t="s">
        <v>2794</v>
      </c>
      <c r="D1255" s="14" t="s">
        <v>301</v>
      </c>
    </row>
    <row r="1256" spans="1:4" ht="15.75" customHeight="1" x14ac:dyDescent="0.25">
      <c r="A1256" s="14" t="s">
        <v>1687</v>
      </c>
      <c r="B1256" s="14" t="s">
        <v>1688</v>
      </c>
      <c r="D1256" s="14" t="s">
        <v>301</v>
      </c>
    </row>
    <row r="1257" spans="1:4" ht="15.75" customHeight="1" x14ac:dyDescent="0.25">
      <c r="A1257" s="14" t="s">
        <v>1689</v>
      </c>
      <c r="B1257" s="14" t="s">
        <v>1690</v>
      </c>
      <c r="D1257" s="14" t="s">
        <v>301</v>
      </c>
    </row>
    <row r="1258" spans="1:4" ht="15.75" customHeight="1" x14ac:dyDescent="0.25">
      <c r="A1258" s="14" t="s">
        <v>1691</v>
      </c>
      <c r="B1258" s="14" t="s">
        <v>1692</v>
      </c>
      <c r="D1258" s="14" t="s">
        <v>301</v>
      </c>
    </row>
    <row r="1259" spans="1:4" ht="15.75" customHeight="1" x14ac:dyDescent="0.25">
      <c r="A1259" s="14" t="s">
        <v>1685</v>
      </c>
      <c r="B1259" s="14" t="s">
        <v>1686</v>
      </c>
      <c r="D1259" s="14" t="s">
        <v>301</v>
      </c>
    </row>
    <row r="1260" spans="1:4" ht="15.75" customHeight="1" x14ac:dyDescent="0.25">
      <c r="A1260" s="14" t="s">
        <v>2795</v>
      </c>
      <c r="B1260" s="14" t="s">
        <v>2796</v>
      </c>
      <c r="D1260" s="14" t="s">
        <v>301</v>
      </c>
    </row>
    <row r="1261" spans="1:4" ht="15.75" customHeight="1" x14ac:dyDescent="0.25">
      <c r="A1261" s="14" t="s">
        <v>1697</v>
      </c>
      <c r="B1261" s="14" t="s">
        <v>1698</v>
      </c>
      <c r="D1261" s="14" t="s">
        <v>301</v>
      </c>
    </row>
    <row r="1262" spans="1:4" ht="15.75" customHeight="1" x14ac:dyDescent="0.25">
      <c r="A1262" s="14" t="s">
        <v>1709</v>
      </c>
      <c r="B1262" s="14" t="s">
        <v>1710</v>
      </c>
      <c r="D1262" s="14" t="s">
        <v>301</v>
      </c>
    </row>
    <row r="1263" spans="1:4" ht="15.75" customHeight="1" x14ac:dyDescent="0.25">
      <c r="A1263" s="14" t="s">
        <v>2797</v>
      </c>
      <c r="B1263" s="14" t="s">
        <v>2798</v>
      </c>
      <c r="D1263" s="14" t="s">
        <v>301</v>
      </c>
    </row>
    <row r="1264" spans="1:4" ht="15.75" customHeight="1" x14ac:dyDescent="0.25">
      <c r="A1264" s="14" t="s">
        <v>2799</v>
      </c>
      <c r="B1264" s="14" t="s">
        <v>2800</v>
      </c>
      <c r="D1264" s="14" t="s">
        <v>301</v>
      </c>
    </row>
    <row r="1265" spans="1:4" ht="15.75" customHeight="1" x14ac:dyDescent="0.25">
      <c r="A1265" s="14" t="s">
        <v>2801</v>
      </c>
      <c r="B1265" s="14" t="s">
        <v>2802</v>
      </c>
      <c r="D1265" s="14" t="s">
        <v>301</v>
      </c>
    </row>
    <row r="1266" spans="1:4" ht="15.75" customHeight="1" x14ac:dyDescent="0.25">
      <c r="A1266" s="14" t="s">
        <v>2803</v>
      </c>
      <c r="B1266" s="14" t="s">
        <v>2804</v>
      </c>
      <c r="D1266" s="14" t="s">
        <v>301</v>
      </c>
    </row>
    <row r="1267" spans="1:4" ht="15.75" customHeight="1" x14ac:dyDescent="0.25">
      <c r="A1267" s="14" t="s">
        <v>2805</v>
      </c>
      <c r="B1267" s="14" t="s">
        <v>2806</v>
      </c>
      <c r="D1267" s="14" t="s">
        <v>301</v>
      </c>
    </row>
    <row r="1268" spans="1:4" ht="15.75" customHeight="1" x14ac:dyDescent="0.25">
      <c r="A1268" s="14" t="s">
        <v>2807</v>
      </c>
      <c r="B1268" s="14" t="s">
        <v>2808</v>
      </c>
      <c r="D1268" s="14" t="s">
        <v>301</v>
      </c>
    </row>
    <row r="1269" spans="1:4" ht="15.75" customHeight="1" x14ac:dyDescent="0.25">
      <c r="A1269" s="14" t="s">
        <v>2809</v>
      </c>
      <c r="B1269" s="14" t="s">
        <v>2810</v>
      </c>
      <c r="D1269" s="14" t="s">
        <v>301</v>
      </c>
    </row>
    <row r="1270" spans="1:4" ht="15.75" customHeight="1" x14ac:dyDescent="0.25">
      <c r="A1270" s="14" t="s">
        <v>1729</v>
      </c>
      <c r="B1270" s="14" t="s">
        <v>1730</v>
      </c>
      <c r="D1270" s="14" t="s">
        <v>301</v>
      </c>
    </row>
    <row r="1271" spans="1:4" ht="15.75" customHeight="1" x14ac:dyDescent="0.25">
      <c r="A1271" s="14" t="s">
        <v>1731</v>
      </c>
      <c r="B1271" s="14" t="s">
        <v>1732</v>
      </c>
      <c r="D1271" s="14" t="s">
        <v>301</v>
      </c>
    </row>
    <row r="1272" spans="1:4" ht="15.75" customHeight="1" x14ac:dyDescent="0.25">
      <c r="A1272" s="14" t="s">
        <v>2811</v>
      </c>
      <c r="B1272" s="14" t="s">
        <v>2812</v>
      </c>
      <c r="D1272" s="14" t="s">
        <v>301</v>
      </c>
    </row>
    <row r="1273" spans="1:4" ht="15.75" customHeight="1" x14ac:dyDescent="0.25">
      <c r="A1273" s="14" t="s">
        <v>2813</v>
      </c>
      <c r="B1273" s="14" t="s">
        <v>2814</v>
      </c>
      <c r="D1273" s="14" t="s">
        <v>301</v>
      </c>
    </row>
    <row r="1274" spans="1:4" ht="15.75" customHeight="1" x14ac:dyDescent="0.25">
      <c r="A1274" s="14" t="s">
        <v>2815</v>
      </c>
      <c r="B1274" s="14" t="s">
        <v>2816</v>
      </c>
      <c r="D1274" s="14" t="s">
        <v>301</v>
      </c>
    </row>
    <row r="1275" spans="1:4" ht="15.75" customHeight="1" x14ac:dyDescent="0.25">
      <c r="A1275" s="14" t="s">
        <v>1739</v>
      </c>
      <c r="B1275" s="14" t="s">
        <v>1740</v>
      </c>
      <c r="D1275" s="14" t="s">
        <v>301</v>
      </c>
    </row>
    <row r="1276" spans="1:4" ht="15.75" customHeight="1" x14ac:dyDescent="0.25">
      <c r="A1276" s="14" t="s">
        <v>1741</v>
      </c>
      <c r="B1276" s="14" t="s">
        <v>1742</v>
      </c>
      <c r="D1276" s="14" t="s">
        <v>301</v>
      </c>
    </row>
    <row r="1277" spans="1:4" ht="15.75" customHeight="1" x14ac:dyDescent="0.25">
      <c r="A1277" s="14" t="s">
        <v>2817</v>
      </c>
      <c r="B1277" s="14" t="s">
        <v>2818</v>
      </c>
      <c r="D1277" s="14" t="s">
        <v>301</v>
      </c>
    </row>
    <row r="1278" spans="1:4" ht="15.75" customHeight="1" x14ac:dyDescent="0.25">
      <c r="A1278" s="14" t="s">
        <v>2819</v>
      </c>
      <c r="B1278" s="14" t="s">
        <v>2820</v>
      </c>
      <c r="D1278" s="14" t="s">
        <v>301</v>
      </c>
    </row>
    <row r="1279" spans="1:4" ht="15.75" customHeight="1" x14ac:dyDescent="0.25">
      <c r="A1279" s="14" t="s">
        <v>1747</v>
      </c>
      <c r="B1279" s="14" t="s">
        <v>1748</v>
      </c>
      <c r="D1279" s="14" t="s">
        <v>301</v>
      </c>
    </row>
    <row r="1280" spans="1:4" ht="15.75" customHeight="1" x14ac:dyDescent="0.25">
      <c r="A1280" s="14" t="s">
        <v>2821</v>
      </c>
      <c r="B1280" s="14" t="s">
        <v>2822</v>
      </c>
      <c r="D1280" s="14" t="s">
        <v>301</v>
      </c>
    </row>
    <row r="1281" spans="1:4" ht="15.75" customHeight="1" x14ac:dyDescent="0.25">
      <c r="A1281" s="14" t="s">
        <v>2823</v>
      </c>
      <c r="B1281" s="14" t="s">
        <v>2824</v>
      </c>
      <c r="D1281" s="14" t="s">
        <v>301</v>
      </c>
    </row>
    <row r="1282" spans="1:4" ht="15.75" customHeight="1" x14ac:dyDescent="0.25">
      <c r="A1282" s="14" t="s">
        <v>1751</v>
      </c>
      <c r="B1282" s="14" t="s">
        <v>1752</v>
      </c>
      <c r="D1282" s="14" t="s">
        <v>301</v>
      </c>
    </row>
    <row r="1283" spans="1:4" ht="15.75" customHeight="1" x14ac:dyDescent="0.25">
      <c r="A1283" s="14" t="s">
        <v>1753</v>
      </c>
      <c r="B1283" s="14" t="s">
        <v>1754</v>
      </c>
      <c r="D1283" s="14" t="s">
        <v>301</v>
      </c>
    </row>
    <row r="1284" spans="1:4" ht="15.75" customHeight="1" x14ac:dyDescent="0.25">
      <c r="A1284" s="14" t="s">
        <v>1755</v>
      </c>
      <c r="B1284" s="14" t="s">
        <v>1756</v>
      </c>
      <c r="D1284" s="14" t="s">
        <v>301</v>
      </c>
    </row>
    <row r="1285" spans="1:4" ht="15.75" customHeight="1" x14ac:dyDescent="0.25">
      <c r="A1285" s="14" t="s">
        <v>2825</v>
      </c>
      <c r="B1285" s="14" t="s">
        <v>2826</v>
      </c>
      <c r="D1285" s="14" t="s">
        <v>301</v>
      </c>
    </row>
    <row r="1286" spans="1:4" ht="15.75" customHeight="1" x14ac:dyDescent="0.25">
      <c r="A1286" s="14">
        <v>30033995</v>
      </c>
      <c r="B1286" s="14" t="s">
        <v>2827</v>
      </c>
      <c r="D1286" s="14" t="s">
        <v>301</v>
      </c>
    </row>
    <row r="1287" spans="1:4" ht="15.75" customHeight="1" x14ac:dyDescent="0.25">
      <c r="A1287" s="14">
        <v>30034009</v>
      </c>
      <c r="B1287" s="14" t="s">
        <v>2828</v>
      </c>
      <c r="D1287" s="14" t="s">
        <v>301</v>
      </c>
    </row>
    <row r="1288" spans="1:4" ht="15.75" customHeight="1" x14ac:dyDescent="0.25">
      <c r="A1288" s="14">
        <v>251840</v>
      </c>
      <c r="B1288" s="14" t="s">
        <v>2829</v>
      </c>
      <c r="D1288" s="14" t="s">
        <v>301</v>
      </c>
    </row>
    <row r="1289" spans="1:4" ht="15.75" customHeight="1" x14ac:dyDescent="0.25">
      <c r="A1289" s="14">
        <v>30033468</v>
      </c>
      <c r="B1289" s="14" t="s">
        <v>2830</v>
      </c>
      <c r="D1289" s="14" t="s">
        <v>301</v>
      </c>
    </row>
    <row r="1290" spans="1:4" ht="15.75" customHeight="1" x14ac:dyDescent="0.25">
      <c r="A1290" s="14">
        <v>252304</v>
      </c>
      <c r="B1290" s="14" t="s">
        <v>2831</v>
      </c>
      <c r="D1290" s="14" t="s">
        <v>301</v>
      </c>
    </row>
    <row r="1291" spans="1:4" ht="15.75" customHeight="1" x14ac:dyDescent="0.25">
      <c r="A1291" s="14">
        <v>30033988</v>
      </c>
      <c r="B1291" s="14" t="s">
        <v>2832</v>
      </c>
      <c r="D1291" s="14" t="s">
        <v>301</v>
      </c>
    </row>
    <row r="1292" spans="1:4" ht="15.75" customHeight="1" x14ac:dyDescent="0.25">
      <c r="A1292" s="14">
        <v>22061897</v>
      </c>
      <c r="B1292" s="14" t="s">
        <v>2833</v>
      </c>
      <c r="D1292" s="14" t="s">
        <v>301</v>
      </c>
    </row>
    <row r="1293" spans="1:4" ht="15.75" customHeight="1" x14ac:dyDescent="0.25">
      <c r="A1293" s="14">
        <v>254271</v>
      </c>
      <c r="B1293" s="14" t="s">
        <v>2834</v>
      </c>
      <c r="D1293" s="14" t="s">
        <v>301</v>
      </c>
    </row>
    <row r="1294" spans="1:4" ht="15.75" customHeight="1" x14ac:dyDescent="0.25">
      <c r="A1294" s="14">
        <v>254490</v>
      </c>
      <c r="B1294" s="14" t="s">
        <v>2835</v>
      </c>
      <c r="D1294" s="14" t="s">
        <v>301</v>
      </c>
    </row>
    <row r="1295" spans="1:4" ht="15.75" customHeight="1" x14ac:dyDescent="0.25">
      <c r="A1295" s="14">
        <v>254489</v>
      </c>
      <c r="B1295" s="14" t="s">
        <v>2836</v>
      </c>
      <c r="D1295" s="14" t="s">
        <v>301</v>
      </c>
    </row>
    <row r="1296" spans="1:4" ht="15.75" customHeight="1" x14ac:dyDescent="0.25">
      <c r="A1296" s="14">
        <v>254384</v>
      </c>
      <c r="B1296" s="14" t="s">
        <v>2837</v>
      </c>
      <c r="D1296" s="14" t="s">
        <v>301</v>
      </c>
    </row>
    <row r="1297" spans="1:4" ht="15.75" customHeight="1" x14ac:dyDescent="0.25">
      <c r="A1297" s="14">
        <v>253993</v>
      </c>
      <c r="B1297" s="14" t="s">
        <v>2838</v>
      </c>
      <c r="D1297" s="14" t="s">
        <v>301</v>
      </c>
    </row>
    <row r="1298" spans="1:4" ht="15.75" customHeight="1" x14ac:dyDescent="0.25">
      <c r="A1298" s="14">
        <v>254030</v>
      </c>
      <c r="B1298" s="14" t="s">
        <v>2839</v>
      </c>
      <c r="D1298" s="14" t="s">
        <v>301</v>
      </c>
    </row>
    <row r="1299" spans="1:4" ht="15.75" customHeight="1" x14ac:dyDescent="0.25">
      <c r="A1299" s="14">
        <v>254031</v>
      </c>
      <c r="B1299" s="14" t="s">
        <v>2840</v>
      </c>
      <c r="D1299" s="14" t="s">
        <v>301</v>
      </c>
    </row>
    <row r="1300" spans="1:4" ht="15.75" customHeight="1" x14ac:dyDescent="0.25">
      <c r="A1300" s="14">
        <v>252189</v>
      </c>
      <c r="B1300" s="14" t="s">
        <v>2841</v>
      </c>
      <c r="D1300" s="14" t="s">
        <v>301</v>
      </c>
    </row>
    <row r="1301" spans="1:4" ht="15.75" customHeight="1" x14ac:dyDescent="0.25">
      <c r="A1301" s="14">
        <v>252197</v>
      </c>
      <c r="B1301" s="14" t="s">
        <v>2842</v>
      </c>
      <c r="D1301" s="14" t="s">
        <v>301</v>
      </c>
    </row>
    <row r="1302" spans="1:4" ht="15.75" customHeight="1" x14ac:dyDescent="0.25">
      <c r="A1302" s="14">
        <v>251820</v>
      </c>
      <c r="B1302" s="14" t="s">
        <v>2843</v>
      </c>
      <c r="D1302" s="14" t="s">
        <v>301</v>
      </c>
    </row>
    <row r="1303" spans="1:4" ht="15.75" customHeight="1" x14ac:dyDescent="0.25">
      <c r="A1303" s="14">
        <v>1001944</v>
      </c>
      <c r="B1303" s="14" t="s">
        <v>2844</v>
      </c>
      <c r="D1303" s="14" t="s">
        <v>301</v>
      </c>
    </row>
    <row r="1304" spans="1:4" ht="15.75" customHeight="1" x14ac:dyDescent="0.25">
      <c r="A1304" s="14">
        <v>1006920</v>
      </c>
      <c r="B1304" s="14" t="s">
        <v>2845</v>
      </c>
      <c r="D1304" s="14" t="s">
        <v>301</v>
      </c>
    </row>
    <row r="1305" spans="1:4" ht="15.75" customHeight="1" x14ac:dyDescent="0.25">
      <c r="A1305" s="14">
        <v>253543</v>
      </c>
      <c r="B1305" s="14" t="s">
        <v>2846</v>
      </c>
      <c r="D1305" s="14" t="s">
        <v>301</v>
      </c>
    </row>
    <row r="1306" spans="1:4" ht="15.75" customHeight="1" x14ac:dyDescent="0.25">
      <c r="A1306" s="14">
        <v>30033998</v>
      </c>
      <c r="B1306" s="14" t="s">
        <v>2846</v>
      </c>
      <c r="D1306" s="14" t="s">
        <v>301</v>
      </c>
    </row>
    <row r="1307" spans="1:4" ht="15.75" customHeight="1" x14ac:dyDescent="0.25">
      <c r="A1307" s="14">
        <v>30033467</v>
      </c>
      <c r="B1307" s="14" t="s">
        <v>2847</v>
      </c>
      <c r="D1307" s="14" t="s">
        <v>301</v>
      </c>
    </row>
    <row r="1308" spans="1:4" ht="15.75" customHeight="1" x14ac:dyDescent="0.25">
      <c r="A1308" s="14">
        <v>1001844</v>
      </c>
      <c r="B1308" s="14" t="s">
        <v>2848</v>
      </c>
      <c r="D1308" s="14" t="s">
        <v>301</v>
      </c>
    </row>
    <row r="1309" spans="1:4" ht="15.75" customHeight="1" x14ac:dyDescent="0.25">
      <c r="A1309" s="14">
        <v>22025675</v>
      </c>
      <c r="B1309" s="14" t="s">
        <v>2849</v>
      </c>
      <c r="D1309" s="14" t="s">
        <v>301</v>
      </c>
    </row>
    <row r="1310" spans="1:4" ht="15.75" customHeight="1" x14ac:dyDescent="0.25">
      <c r="A1310" s="14">
        <v>1000447</v>
      </c>
      <c r="B1310" s="14" t="s">
        <v>1764</v>
      </c>
      <c r="D1310" s="14" t="s">
        <v>301</v>
      </c>
    </row>
    <row r="1311" spans="1:4" ht="15.75" customHeight="1" x14ac:dyDescent="0.25">
      <c r="A1311" s="14">
        <v>1001978</v>
      </c>
      <c r="B1311" s="14" t="s">
        <v>1766</v>
      </c>
      <c r="D1311" s="14" t="s">
        <v>301</v>
      </c>
    </row>
    <row r="1312" spans="1:4" ht="15.75" customHeight="1" x14ac:dyDescent="0.25">
      <c r="A1312" s="14">
        <v>22025976</v>
      </c>
      <c r="B1312" s="14" t="s">
        <v>2850</v>
      </c>
      <c r="D1312" s="14" t="s">
        <v>301</v>
      </c>
    </row>
    <row r="1313" spans="1:4" ht="15.75" customHeight="1" x14ac:dyDescent="0.25">
      <c r="A1313" s="14">
        <v>251860</v>
      </c>
      <c r="B1313" s="14" t="s">
        <v>2851</v>
      </c>
      <c r="D1313" s="14" t="s">
        <v>301</v>
      </c>
    </row>
    <row r="1314" spans="1:4" ht="15.75" customHeight="1" x14ac:dyDescent="0.25">
      <c r="A1314" s="14">
        <v>1002166</v>
      </c>
      <c r="B1314" s="14" t="s">
        <v>2852</v>
      </c>
      <c r="D1314" s="14" t="s">
        <v>301</v>
      </c>
    </row>
    <row r="1315" spans="1:4" ht="15.75" customHeight="1" x14ac:dyDescent="0.25">
      <c r="A1315" s="14">
        <v>30035035</v>
      </c>
      <c r="B1315" s="14" t="s">
        <v>2853</v>
      </c>
      <c r="D1315" s="14" t="s">
        <v>301</v>
      </c>
    </row>
    <row r="1316" spans="1:4" ht="15.75" customHeight="1" x14ac:dyDescent="0.25">
      <c r="A1316" s="14">
        <v>252711</v>
      </c>
      <c r="B1316" s="14" t="s">
        <v>2854</v>
      </c>
      <c r="D1316" s="14" t="s">
        <v>301</v>
      </c>
    </row>
    <row r="1317" spans="1:4" ht="15.75" customHeight="1" x14ac:dyDescent="0.25">
      <c r="A1317" s="14">
        <v>30034638</v>
      </c>
      <c r="B1317" s="14" t="s">
        <v>2855</v>
      </c>
      <c r="D1317" s="14" t="s">
        <v>301</v>
      </c>
    </row>
    <row r="1318" spans="1:4" ht="15.75" customHeight="1" x14ac:dyDescent="0.25">
      <c r="A1318" s="14">
        <v>30034977</v>
      </c>
      <c r="B1318" s="14" t="s">
        <v>2856</v>
      </c>
      <c r="D1318" s="14" t="s">
        <v>301</v>
      </c>
    </row>
    <row r="1319" spans="1:4" ht="15.75" customHeight="1" x14ac:dyDescent="0.25">
      <c r="A1319" s="14">
        <v>252712</v>
      </c>
      <c r="B1319" s="14" t="s">
        <v>2856</v>
      </c>
      <c r="D1319" s="14" t="s">
        <v>301</v>
      </c>
    </row>
    <row r="1320" spans="1:4" ht="15.75" customHeight="1" x14ac:dyDescent="0.25">
      <c r="A1320" s="14">
        <v>30034637</v>
      </c>
      <c r="B1320" s="14" t="s">
        <v>2857</v>
      </c>
      <c r="D1320" s="14" t="s">
        <v>301</v>
      </c>
    </row>
    <row r="1321" spans="1:4" ht="15.75" customHeight="1" x14ac:dyDescent="0.25">
      <c r="A1321" s="14">
        <v>30034978</v>
      </c>
      <c r="B1321" s="14" t="s">
        <v>2858</v>
      </c>
      <c r="D1321" s="14" t="s">
        <v>301</v>
      </c>
    </row>
    <row r="1322" spans="1:4" ht="15.75" customHeight="1" x14ac:dyDescent="0.25">
      <c r="A1322" s="14">
        <v>30034636</v>
      </c>
      <c r="B1322" s="14" t="s">
        <v>2859</v>
      </c>
      <c r="D1322" s="14" t="s">
        <v>301</v>
      </c>
    </row>
    <row r="1323" spans="1:4" ht="15.75" customHeight="1" x14ac:dyDescent="0.25">
      <c r="A1323" s="14">
        <v>252594</v>
      </c>
      <c r="B1323" s="14" t="s">
        <v>2860</v>
      </c>
      <c r="D1323" s="14" t="s">
        <v>301</v>
      </c>
    </row>
    <row r="1324" spans="1:4" ht="15.75" customHeight="1" x14ac:dyDescent="0.25">
      <c r="A1324" s="14">
        <v>30034979</v>
      </c>
      <c r="B1324" s="14" t="s">
        <v>2861</v>
      </c>
      <c r="D1324" s="14" t="s">
        <v>301</v>
      </c>
    </row>
    <row r="1325" spans="1:4" ht="15.75" customHeight="1" x14ac:dyDescent="0.25">
      <c r="A1325" s="14">
        <v>252714</v>
      </c>
      <c r="B1325" s="14" t="s">
        <v>2861</v>
      </c>
      <c r="D1325" s="14" t="s">
        <v>301</v>
      </c>
    </row>
    <row r="1326" spans="1:4" ht="15.75" customHeight="1" x14ac:dyDescent="0.25">
      <c r="A1326" s="14">
        <v>30034838</v>
      </c>
      <c r="B1326" s="14" t="s">
        <v>2862</v>
      </c>
      <c r="D1326" s="14" t="s">
        <v>301</v>
      </c>
    </row>
    <row r="1327" spans="1:4" ht="15.75" customHeight="1" x14ac:dyDescent="0.25">
      <c r="A1327" s="14">
        <v>252715</v>
      </c>
      <c r="B1327" s="14" t="s">
        <v>2863</v>
      </c>
      <c r="D1327" s="14" t="s">
        <v>301</v>
      </c>
    </row>
    <row r="1328" spans="1:4" ht="15.75" customHeight="1" x14ac:dyDescent="0.25">
      <c r="A1328" s="14">
        <v>30034558</v>
      </c>
      <c r="B1328" s="14" t="s">
        <v>2864</v>
      </c>
      <c r="D1328" s="14" t="s">
        <v>301</v>
      </c>
    </row>
    <row r="1329" spans="1:4" ht="15.75" customHeight="1" x14ac:dyDescent="0.25">
      <c r="A1329" s="14">
        <v>252713</v>
      </c>
      <c r="B1329" s="14" t="s">
        <v>2865</v>
      </c>
      <c r="D1329" s="14" t="s">
        <v>301</v>
      </c>
    </row>
    <row r="1330" spans="1:4" ht="15.75" customHeight="1" x14ac:dyDescent="0.25">
      <c r="A1330" s="14">
        <v>252716</v>
      </c>
      <c r="B1330" s="14" t="s">
        <v>2866</v>
      </c>
      <c r="D1330" s="14" t="s">
        <v>301</v>
      </c>
    </row>
    <row r="1331" spans="1:4" ht="15.75" customHeight="1" x14ac:dyDescent="0.25">
      <c r="A1331" s="14">
        <v>30034634</v>
      </c>
      <c r="B1331" s="14" t="s">
        <v>2867</v>
      </c>
      <c r="D1331" s="14" t="s">
        <v>301</v>
      </c>
    </row>
    <row r="1332" spans="1:4" ht="15.75" customHeight="1" x14ac:dyDescent="0.25">
      <c r="A1332" s="14">
        <v>252717</v>
      </c>
      <c r="B1332" s="14" t="s">
        <v>2868</v>
      </c>
      <c r="D1332" s="14" t="s">
        <v>301</v>
      </c>
    </row>
    <row r="1333" spans="1:4" ht="15.75" customHeight="1" x14ac:dyDescent="0.25">
      <c r="A1333" s="14">
        <v>30034551</v>
      </c>
      <c r="B1333" s="14" t="s">
        <v>2869</v>
      </c>
      <c r="D1333" s="14" t="s">
        <v>301</v>
      </c>
    </row>
    <row r="1334" spans="1:4" ht="15.75" customHeight="1" x14ac:dyDescent="0.25">
      <c r="A1334" s="14">
        <v>30034632</v>
      </c>
      <c r="B1334" s="14" t="s">
        <v>2870</v>
      </c>
      <c r="D1334" s="14" t="s">
        <v>301</v>
      </c>
    </row>
    <row r="1335" spans="1:4" ht="15.75" customHeight="1" x14ac:dyDescent="0.25">
      <c r="A1335" s="14">
        <v>252575</v>
      </c>
      <c r="B1335" s="14" t="s">
        <v>2871</v>
      </c>
      <c r="D1335" s="14" t="s">
        <v>301</v>
      </c>
    </row>
    <row r="1336" spans="1:4" ht="15.75" customHeight="1" x14ac:dyDescent="0.25">
      <c r="A1336" s="14">
        <v>30034985</v>
      </c>
      <c r="B1336" s="14" t="s">
        <v>2872</v>
      </c>
      <c r="D1336" s="14" t="s">
        <v>301</v>
      </c>
    </row>
    <row r="1337" spans="1:4" ht="15.75" customHeight="1" x14ac:dyDescent="0.25">
      <c r="A1337" s="14">
        <v>30034577</v>
      </c>
      <c r="B1337" s="14" t="s">
        <v>2873</v>
      </c>
      <c r="D1337" s="14" t="s">
        <v>301</v>
      </c>
    </row>
    <row r="1338" spans="1:4" ht="15.75" customHeight="1" x14ac:dyDescent="0.25">
      <c r="A1338" s="14">
        <v>30034875</v>
      </c>
      <c r="B1338" s="14" t="s">
        <v>2874</v>
      </c>
      <c r="D1338" s="14" t="s">
        <v>301</v>
      </c>
    </row>
    <row r="1339" spans="1:4" ht="15.75" customHeight="1" x14ac:dyDescent="0.25">
      <c r="A1339" s="14">
        <v>30034986</v>
      </c>
      <c r="B1339" s="14" t="s">
        <v>2875</v>
      </c>
      <c r="D1339" s="14" t="s">
        <v>301</v>
      </c>
    </row>
    <row r="1340" spans="1:4" ht="15.75" customHeight="1" x14ac:dyDescent="0.25">
      <c r="A1340" s="14">
        <v>252719</v>
      </c>
      <c r="B1340" s="14" t="s">
        <v>2875</v>
      </c>
      <c r="D1340" s="14" t="s">
        <v>301</v>
      </c>
    </row>
    <row r="1341" spans="1:4" ht="15.75" customHeight="1" x14ac:dyDescent="0.25">
      <c r="A1341" s="14">
        <v>30034633</v>
      </c>
      <c r="B1341" s="14" t="s">
        <v>2876</v>
      </c>
      <c r="D1341" s="14" t="s">
        <v>301</v>
      </c>
    </row>
    <row r="1342" spans="1:4" ht="15.75" customHeight="1" x14ac:dyDescent="0.25">
      <c r="A1342" s="14">
        <v>30034562</v>
      </c>
      <c r="B1342" s="14" t="s">
        <v>2877</v>
      </c>
      <c r="D1342" s="14" t="s">
        <v>301</v>
      </c>
    </row>
    <row r="1343" spans="1:4" ht="15.75" customHeight="1" x14ac:dyDescent="0.25">
      <c r="A1343" s="14">
        <v>30034987</v>
      </c>
      <c r="B1343" s="14" t="s">
        <v>2878</v>
      </c>
      <c r="D1343" s="14" t="s">
        <v>301</v>
      </c>
    </row>
    <row r="1344" spans="1:4" ht="15.75" customHeight="1" x14ac:dyDescent="0.25">
      <c r="A1344" s="14">
        <v>252720</v>
      </c>
      <c r="B1344" s="14" t="s">
        <v>2879</v>
      </c>
      <c r="D1344" s="14" t="s">
        <v>301</v>
      </c>
    </row>
    <row r="1345" spans="1:4" ht="15.75" customHeight="1" x14ac:dyDescent="0.25">
      <c r="A1345" s="14">
        <v>30034988</v>
      </c>
      <c r="B1345" s="14" t="s">
        <v>2880</v>
      </c>
      <c r="D1345" s="14" t="s">
        <v>301</v>
      </c>
    </row>
    <row r="1346" spans="1:4" ht="15.75" customHeight="1" x14ac:dyDescent="0.25">
      <c r="A1346" s="14">
        <v>252565</v>
      </c>
      <c r="B1346" s="14" t="s">
        <v>2881</v>
      </c>
      <c r="D1346" s="14" t="s">
        <v>301</v>
      </c>
    </row>
    <row r="1347" spans="1:4" ht="15.75" customHeight="1" x14ac:dyDescent="0.25">
      <c r="A1347" s="14">
        <v>30034553</v>
      </c>
      <c r="B1347" s="14" t="s">
        <v>2882</v>
      </c>
      <c r="D1347" s="14" t="s">
        <v>301</v>
      </c>
    </row>
    <row r="1348" spans="1:4" ht="15.75" customHeight="1" x14ac:dyDescent="0.25">
      <c r="A1348" s="14">
        <v>252723</v>
      </c>
      <c r="B1348" s="14" t="s">
        <v>2883</v>
      </c>
      <c r="D1348" s="14" t="s">
        <v>301</v>
      </c>
    </row>
    <row r="1349" spans="1:4" ht="15.75" customHeight="1" x14ac:dyDescent="0.25">
      <c r="A1349" s="14">
        <v>30034989</v>
      </c>
      <c r="B1349" s="14" t="s">
        <v>2884</v>
      </c>
      <c r="D1349" s="14" t="s">
        <v>301</v>
      </c>
    </row>
    <row r="1350" spans="1:4" ht="15.75" customHeight="1" x14ac:dyDescent="0.25">
      <c r="A1350" s="14">
        <v>30034635</v>
      </c>
      <c r="B1350" s="14" t="s">
        <v>2885</v>
      </c>
      <c r="D1350" s="14" t="s">
        <v>301</v>
      </c>
    </row>
    <row r="1351" spans="1:4" ht="15.75" customHeight="1" x14ac:dyDescent="0.25">
      <c r="A1351" s="14">
        <v>252626</v>
      </c>
      <c r="B1351" s="14" t="s">
        <v>2886</v>
      </c>
      <c r="D1351" s="14" t="s">
        <v>301</v>
      </c>
    </row>
    <row r="1352" spans="1:4" ht="15.75" customHeight="1" x14ac:dyDescent="0.25">
      <c r="A1352" s="14">
        <v>30034814</v>
      </c>
      <c r="B1352" s="14" t="s">
        <v>2886</v>
      </c>
      <c r="D1352" s="14" t="s">
        <v>301</v>
      </c>
    </row>
    <row r="1353" spans="1:4" ht="15.75" customHeight="1" x14ac:dyDescent="0.25">
      <c r="A1353" s="14">
        <v>30034991</v>
      </c>
      <c r="B1353" s="14" t="s">
        <v>2887</v>
      </c>
      <c r="D1353" s="14" t="s">
        <v>301</v>
      </c>
    </row>
    <row r="1354" spans="1:4" ht="15.75" customHeight="1" x14ac:dyDescent="0.25">
      <c r="A1354" s="14">
        <v>30034651</v>
      </c>
      <c r="B1354" s="14" t="s">
        <v>2888</v>
      </c>
      <c r="D1354" s="14" t="s">
        <v>301</v>
      </c>
    </row>
    <row r="1355" spans="1:4" ht="15.75" customHeight="1" x14ac:dyDescent="0.25">
      <c r="A1355" s="14">
        <v>30034990</v>
      </c>
      <c r="B1355" s="14" t="s">
        <v>2889</v>
      </c>
      <c r="D1355" s="14" t="s">
        <v>301</v>
      </c>
    </row>
    <row r="1356" spans="1:4" ht="15.75" customHeight="1" x14ac:dyDescent="0.25">
      <c r="A1356" s="14">
        <v>252725</v>
      </c>
      <c r="B1356" s="14" t="s">
        <v>2890</v>
      </c>
      <c r="D1356" s="14" t="s">
        <v>301</v>
      </c>
    </row>
    <row r="1357" spans="1:4" ht="15.75" customHeight="1" x14ac:dyDescent="0.25">
      <c r="A1357" s="14">
        <v>30034563</v>
      </c>
      <c r="B1357" s="14" t="s">
        <v>2891</v>
      </c>
      <c r="D1357" s="14" t="s">
        <v>301</v>
      </c>
    </row>
    <row r="1358" spans="1:4" ht="15.75" customHeight="1" x14ac:dyDescent="0.25">
      <c r="A1358" s="14">
        <v>30034648</v>
      </c>
      <c r="B1358" s="14" t="s">
        <v>2892</v>
      </c>
      <c r="D1358" s="14" t="s">
        <v>301</v>
      </c>
    </row>
    <row r="1359" spans="1:4" ht="15.75" customHeight="1" x14ac:dyDescent="0.25">
      <c r="A1359" s="14">
        <v>30034584</v>
      </c>
      <c r="B1359" s="14" t="s">
        <v>2893</v>
      </c>
      <c r="D1359" s="14" t="s">
        <v>301</v>
      </c>
    </row>
    <row r="1360" spans="1:4" ht="15.75" customHeight="1" x14ac:dyDescent="0.25">
      <c r="A1360" s="14">
        <v>252726</v>
      </c>
      <c r="B1360" s="14" t="s">
        <v>2894</v>
      </c>
      <c r="D1360" s="14" t="s">
        <v>301</v>
      </c>
    </row>
    <row r="1361" spans="1:4" ht="15.75" customHeight="1" x14ac:dyDescent="0.25">
      <c r="A1361" s="14">
        <v>30034994</v>
      </c>
      <c r="B1361" s="14" t="s">
        <v>2895</v>
      </c>
      <c r="D1361" s="14" t="s">
        <v>301</v>
      </c>
    </row>
    <row r="1362" spans="1:4" ht="15.75" customHeight="1" x14ac:dyDescent="0.25">
      <c r="A1362" s="14">
        <v>30034643</v>
      </c>
      <c r="B1362" s="14" t="s">
        <v>2896</v>
      </c>
      <c r="D1362" s="14" t="s">
        <v>301</v>
      </c>
    </row>
    <row r="1363" spans="1:4" ht="15.75" customHeight="1" x14ac:dyDescent="0.25">
      <c r="A1363" s="14">
        <v>252727</v>
      </c>
      <c r="B1363" s="14" t="s">
        <v>2897</v>
      </c>
      <c r="D1363" s="14" t="s">
        <v>301</v>
      </c>
    </row>
    <row r="1364" spans="1:4" ht="15.75" customHeight="1" x14ac:dyDescent="0.25">
      <c r="A1364" s="14">
        <v>252630</v>
      </c>
      <c r="B1364" s="14" t="s">
        <v>2898</v>
      </c>
      <c r="D1364" s="14" t="s">
        <v>301</v>
      </c>
    </row>
    <row r="1365" spans="1:4" ht="15.75" customHeight="1" x14ac:dyDescent="0.25">
      <c r="A1365" s="14">
        <v>30034843</v>
      </c>
      <c r="B1365" s="14" t="s">
        <v>2898</v>
      </c>
      <c r="D1365" s="14" t="s">
        <v>301</v>
      </c>
    </row>
    <row r="1366" spans="1:4" ht="15.75" customHeight="1" x14ac:dyDescent="0.25">
      <c r="A1366" s="14">
        <v>252728</v>
      </c>
      <c r="B1366" s="14" t="s">
        <v>2899</v>
      </c>
      <c r="D1366" s="14" t="s">
        <v>301</v>
      </c>
    </row>
    <row r="1367" spans="1:4" ht="15.75" customHeight="1" x14ac:dyDescent="0.25">
      <c r="A1367" s="14">
        <v>30034581</v>
      </c>
      <c r="B1367" s="14" t="s">
        <v>2900</v>
      </c>
      <c r="D1367" s="14" t="s">
        <v>301</v>
      </c>
    </row>
    <row r="1368" spans="1:4" ht="15.75" customHeight="1" x14ac:dyDescent="0.25">
      <c r="A1368" s="14">
        <v>252729</v>
      </c>
      <c r="B1368" s="14" t="s">
        <v>2901</v>
      </c>
      <c r="D1368" s="14" t="s">
        <v>301</v>
      </c>
    </row>
    <row r="1369" spans="1:4" ht="15.75" customHeight="1" x14ac:dyDescent="0.25">
      <c r="A1369" s="14">
        <v>30034996</v>
      </c>
      <c r="B1369" s="14" t="s">
        <v>2902</v>
      </c>
      <c r="D1369" s="14" t="s">
        <v>301</v>
      </c>
    </row>
    <row r="1370" spans="1:4" ht="15.75" customHeight="1" x14ac:dyDescent="0.25">
      <c r="A1370" s="14">
        <v>30034997</v>
      </c>
      <c r="B1370" s="14" t="s">
        <v>2903</v>
      </c>
      <c r="D1370" s="14" t="s">
        <v>301</v>
      </c>
    </row>
    <row r="1371" spans="1:4" ht="15.75" customHeight="1" x14ac:dyDescent="0.25">
      <c r="A1371" s="14">
        <v>30034695</v>
      </c>
      <c r="B1371" s="14" t="s">
        <v>2904</v>
      </c>
      <c r="D1371" s="14" t="s">
        <v>301</v>
      </c>
    </row>
    <row r="1372" spans="1:4" ht="15.75" customHeight="1" x14ac:dyDescent="0.25">
      <c r="A1372" s="14">
        <v>30034617</v>
      </c>
      <c r="B1372" s="14" t="s">
        <v>2905</v>
      </c>
      <c r="D1372" s="14" t="s">
        <v>301</v>
      </c>
    </row>
    <row r="1373" spans="1:4" ht="15.75" customHeight="1" x14ac:dyDescent="0.25">
      <c r="A1373" s="14">
        <v>30034688</v>
      </c>
      <c r="B1373" s="14" t="s">
        <v>2906</v>
      </c>
      <c r="D1373" s="14" t="s">
        <v>301</v>
      </c>
    </row>
    <row r="1374" spans="1:4" ht="15.75" customHeight="1" x14ac:dyDescent="0.25">
      <c r="A1374" s="14">
        <v>30035071</v>
      </c>
      <c r="B1374" s="14" t="s">
        <v>2907</v>
      </c>
      <c r="D1374" s="14" t="s">
        <v>301</v>
      </c>
    </row>
    <row r="1375" spans="1:4" ht="15.75" customHeight="1" x14ac:dyDescent="0.25">
      <c r="A1375" s="14">
        <v>30035072</v>
      </c>
      <c r="B1375" s="14" t="s">
        <v>2908</v>
      </c>
      <c r="D1375" s="14" t="s">
        <v>301</v>
      </c>
    </row>
    <row r="1376" spans="1:4" ht="15.75" customHeight="1" x14ac:dyDescent="0.25">
      <c r="A1376" s="14">
        <v>30035075</v>
      </c>
      <c r="B1376" s="14" t="s">
        <v>2909</v>
      </c>
      <c r="D1376" s="14" t="s">
        <v>301</v>
      </c>
    </row>
    <row r="1377" spans="1:4" ht="15.75" customHeight="1" x14ac:dyDescent="0.25">
      <c r="A1377" s="14">
        <v>30035080</v>
      </c>
      <c r="B1377" s="14" t="s">
        <v>2910</v>
      </c>
      <c r="D1377" s="14" t="s">
        <v>301</v>
      </c>
    </row>
    <row r="1378" spans="1:4" ht="15.75" customHeight="1" x14ac:dyDescent="0.25">
      <c r="A1378" s="14">
        <v>30035082</v>
      </c>
      <c r="B1378" s="14" t="s">
        <v>2911</v>
      </c>
      <c r="D1378" s="14" t="s">
        <v>301</v>
      </c>
    </row>
    <row r="1379" spans="1:4" ht="15.75" customHeight="1" x14ac:dyDescent="0.25">
      <c r="A1379" s="14">
        <v>30035083</v>
      </c>
      <c r="B1379" s="14" t="s">
        <v>2912</v>
      </c>
      <c r="D1379" s="14" t="s">
        <v>301</v>
      </c>
    </row>
    <row r="1380" spans="1:4" ht="15.75" customHeight="1" x14ac:dyDescent="0.25">
      <c r="A1380" s="14">
        <v>30035086</v>
      </c>
      <c r="B1380" s="14" t="s">
        <v>2913</v>
      </c>
      <c r="D1380" s="14" t="s">
        <v>301</v>
      </c>
    </row>
    <row r="1381" spans="1:4" ht="15.75" customHeight="1" x14ac:dyDescent="0.25">
      <c r="A1381" s="14">
        <v>30035087</v>
      </c>
      <c r="B1381" s="14" t="s">
        <v>2914</v>
      </c>
      <c r="D1381" s="14" t="s">
        <v>301</v>
      </c>
    </row>
    <row r="1382" spans="1:4" ht="15.75" customHeight="1" x14ac:dyDescent="0.25">
      <c r="A1382" s="14">
        <v>30035089</v>
      </c>
      <c r="B1382" s="14" t="s">
        <v>2915</v>
      </c>
      <c r="D1382" s="14" t="s">
        <v>301</v>
      </c>
    </row>
    <row r="1383" spans="1:4" ht="15.75" customHeight="1" x14ac:dyDescent="0.25">
      <c r="A1383" s="14">
        <v>30035090</v>
      </c>
      <c r="B1383" s="14" t="s">
        <v>2916</v>
      </c>
      <c r="D1383" s="14" t="s">
        <v>301</v>
      </c>
    </row>
    <row r="1384" spans="1:4" ht="15.75" customHeight="1" x14ac:dyDescent="0.25">
      <c r="A1384" s="14">
        <v>30035091</v>
      </c>
      <c r="B1384" s="14" t="s">
        <v>2917</v>
      </c>
      <c r="D1384" s="14" t="s">
        <v>301</v>
      </c>
    </row>
    <row r="1385" spans="1:4" ht="15.75" customHeight="1" x14ac:dyDescent="0.25">
      <c r="A1385" s="14">
        <v>30035092</v>
      </c>
      <c r="B1385" s="14" t="s">
        <v>2918</v>
      </c>
      <c r="D1385" s="14" t="s">
        <v>301</v>
      </c>
    </row>
    <row r="1386" spans="1:4" ht="15.75" customHeight="1" x14ac:dyDescent="0.25">
      <c r="A1386" s="14">
        <v>30035093</v>
      </c>
      <c r="B1386" s="14" t="s">
        <v>2919</v>
      </c>
      <c r="D1386" s="14" t="s">
        <v>301</v>
      </c>
    </row>
    <row r="1387" spans="1:4" ht="15.75" customHeight="1" x14ac:dyDescent="0.25">
      <c r="A1387" s="14">
        <v>30035094</v>
      </c>
      <c r="B1387" s="14" t="s">
        <v>2920</v>
      </c>
      <c r="D1387" s="14" t="s">
        <v>301</v>
      </c>
    </row>
    <row r="1388" spans="1:4" ht="15.75" customHeight="1" x14ac:dyDescent="0.25">
      <c r="A1388" s="14">
        <v>30035108</v>
      </c>
      <c r="B1388" s="14" t="s">
        <v>2921</v>
      </c>
      <c r="D1388" s="14" t="s">
        <v>301</v>
      </c>
    </row>
    <row r="1389" spans="1:4" ht="15.75" customHeight="1" x14ac:dyDescent="0.25">
      <c r="A1389" s="14">
        <v>30035109</v>
      </c>
      <c r="B1389" s="14" t="s">
        <v>2922</v>
      </c>
      <c r="D1389" s="14" t="s">
        <v>301</v>
      </c>
    </row>
    <row r="1390" spans="1:4" ht="15.75" customHeight="1" x14ac:dyDescent="0.25">
      <c r="A1390" s="14">
        <v>30058707</v>
      </c>
      <c r="B1390" s="14" t="s">
        <v>2923</v>
      </c>
      <c r="D1390" s="14" t="s">
        <v>301</v>
      </c>
    </row>
    <row r="1391" spans="1:4" ht="15.75" customHeight="1" x14ac:dyDescent="0.25">
      <c r="A1391" s="14">
        <v>30058708</v>
      </c>
      <c r="B1391" s="14" t="s">
        <v>2924</v>
      </c>
      <c r="D1391" s="14" t="s">
        <v>301</v>
      </c>
    </row>
    <row r="1392" spans="1:4" ht="15.75" customHeight="1" x14ac:dyDescent="0.25">
      <c r="A1392" s="14">
        <v>252748</v>
      </c>
      <c r="B1392" s="14" t="s">
        <v>2925</v>
      </c>
      <c r="D1392" s="14" t="s">
        <v>301</v>
      </c>
    </row>
    <row r="1393" spans="1:4" ht="15.75" customHeight="1" x14ac:dyDescent="0.25">
      <c r="A1393" s="14">
        <v>30035028</v>
      </c>
      <c r="B1393" s="14" t="s">
        <v>2925</v>
      </c>
      <c r="D1393" s="14" t="s">
        <v>301</v>
      </c>
    </row>
    <row r="1394" spans="1:4" ht="15.75" customHeight="1" x14ac:dyDescent="0.25">
      <c r="A1394" s="14">
        <v>30035029</v>
      </c>
      <c r="B1394" s="14" t="s">
        <v>2926</v>
      </c>
      <c r="D1394" s="14" t="s">
        <v>301</v>
      </c>
    </row>
    <row r="1395" spans="1:4" ht="15.75" customHeight="1" x14ac:dyDescent="0.25">
      <c r="A1395" s="14">
        <v>252749</v>
      </c>
      <c r="B1395" s="14" t="s">
        <v>2926</v>
      </c>
      <c r="D1395" s="14" t="s">
        <v>301</v>
      </c>
    </row>
    <row r="1396" spans="1:4" ht="15.75" customHeight="1" x14ac:dyDescent="0.25">
      <c r="A1396" s="14">
        <v>30034890</v>
      </c>
      <c r="B1396" s="14" t="s">
        <v>2927</v>
      </c>
      <c r="D1396" s="14" t="s">
        <v>301</v>
      </c>
    </row>
    <row r="1397" spans="1:4" ht="15.75" customHeight="1" x14ac:dyDescent="0.25">
      <c r="A1397" s="14">
        <v>252751</v>
      </c>
      <c r="B1397" s="14" t="s">
        <v>2928</v>
      </c>
      <c r="D1397" s="14" t="s">
        <v>301</v>
      </c>
    </row>
    <row r="1398" spans="1:4" ht="15.75" customHeight="1" x14ac:dyDescent="0.25">
      <c r="A1398" s="14">
        <v>252752</v>
      </c>
      <c r="B1398" s="14" t="s">
        <v>2929</v>
      </c>
      <c r="D1398" s="14" t="s">
        <v>301</v>
      </c>
    </row>
    <row r="1399" spans="1:4" ht="15.75" customHeight="1" x14ac:dyDescent="0.25">
      <c r="A1399" s="14">
        <v>30035032</v>
      </c>
      <c r="B1399" s="14" t="s">
        <v>2929</v>
      </c>
      <c r="D1399" s="14" t="s">
        <v>301</v>
      </c>
    </row>
    <row r="1400" spans="1:4" ht="15.75" customHeight="1" x14ac:dyDescent="0.25">
      <c r="A1400" s="14">
        <v>30034892</v>
      </c>
      <c r="B1400" s="14" t="s">
        <v>2930</v>
      </c>
      <c r="D1400" s="14" t="s">
        <v>301</v>
      </c>
    </row>
    <row r="1401" spans="1:4" ht="15.75" customHeight="1" x14ac:dyDescent="0.25">
      <c r="A1401" s="14">
        <v>252753</v>
      </c>
      <c r="B1401" s="14" t="s">
        <v>2931</v>
      </c>
      <c r="D1401" s="14" t="s">
        <v>301</v>
      </c>
    </row>
    <row r="1402" spans="1:4" ht="15.75" customHeight="1" x14ac:dyDescent="0.25">
      <c r="A1402" s="14">
        <v>30034893</v>
      </c>
      <c r="B1402" s="14" t="s">
        <v>2932</v>
      </c>
      <c r="D1402" s="14" t="s">
        <v>301</v>
      </c>
    </row>
    <row r="1403" spans="1:4" ht="15.75" customHeight="1" x14ac:dyDescent="0.25">
      <c r="A1403" s="14">
        <v>252754</v>
      </c>
      <c r="B1403" s="14" t="s">
        <v>2933</v>
      </c>
      <c r="D1403" s="14" t="s">
        <v>301</v>
      </c>
    </row>
    <row r="1404" spans="1:4" ht="15.75" customHeight="1" x14ac:dyDescent="0.25">
      <c r="A1404" s="14">
        <v>30035034</v>
      </c>
      <c r="B1404" s="14" t="s">
        <v>2933</v>
      </c>
      <c r="D1404" s="14" t="s">
        <v>301</v>
      </c>
    </row>
    <row r="1405" spans="1:4" ht="15.75" customHeight="1" x14ac:dyDescent="0.25">
      <c r="A1405" s="14">
        <v>252673</v>
      </c>
      <c r="B1405" s="14" t="s">
        <v>2934</v>
      </c>
      <c r="D1405" s="14" t="s">
        <v>301</v>
      </c>
    </row>
    <row r="1406" spans="1:4" ht="15.75" customHeight="1" x14ac:dyDescent="0.25">
      <c r="A1406" s="14">
        <v>30034934</v>
      </c>
      <c r="B1406" s="14" t="s">
        <v>2935</v>
      </c>
      <c r="D1406" s="14" t="s">
        <v>301</v>
      </c>
    </row>
    <row r="1407" spans="1:4" ht="15.75" customHeight="1" x14ac:dyDescent="0.25">
      <c r="A1407" s="14">
        <v>252674</v>
      </c>
      <c r="B1407" s="14" t="s">
        <v>2936</v>
      </c>
      <c r="D1407" s="14" t="s">
        <v>301</v>
      </c>
    </row>
    <row r="1408" spans="1:4" ht="15.75" customHeight="1" x14ac:dyDescent="0.25">
      <c r="A1408" s="14">
        <v>30034935</v>
      </c>
      <c r="B1408" s="14" t="s">
        <v>2936</v>
      </c>
      <c r="D1408" s="14" t="s">
        <v>301</v>
      </c>
    </row>
    <row r="1409" spans="1:4" ht="15.75" customHeight="1" x14ac:dyDescent="0.25">
      <c r="A1409" s="14">
        <v>252755</v>
      </c>
      <c r="B1409" s="14" t="s">
        <v>2937</v>
      </c>
      <c r="D1409" s="14" t="s">
        <v>301</v>
      </c>
    </row>
    <row r="1410" spans="1:4" ht="15.75" customHeight="1" x14ac:dyDescent="0.25">
      <c r="A1410" s="14">
        <v>30034936</v>
      </c>
      <c r="B1410" s="14" t="s">
        <v>2938</v>
      </c>
      <c r="D1410" s="14" t="s">
        <v>301</v>
      </c>
    </row>
    <row r="1411" spans="1:4" ht="15.75" customHeight="1" x14ac:dyDescent="0.25">
      <c r="A1411" s="14">
        <v>252675</v>
      </c>
      <c r="B1411" s="14" t="s">
        <v>2938</v>
      </c>
      <c r="D1411" s="14" t="s">
        <v>301</v>
      </c>
    </row>
    <row r="1412" spans="1:4" ht="15.75" customHeight="1" x14ac:dyDescent="0.25">
      <c r="A1412" s="14">
        <v>252756</v>
      </c>
      <c r="B1412" s="14" t="s">
        <v>2939</v>
      </c>
      <c r="D1412" s="14" t="s">
        <v>301</v>
      </c>
    </row>
    <row r="1413" spans="1:4" ht="15.75" customHeight="1" x14ac:dyDescent="0.25">
      <c r="A1413" s="14">
        <v>30035036</v>
      </c>
      <c r="B1413" s="14" t="s">
        <v>2940</v>
      </c>
      <c r="D1413" s="14" t="s">
        <v>301</v>
      </c>
    </row>
    <row r="1414" spans="1:4" ht="15.75" customHeight="1" x14ac:dyDescent="0.25">
      <c r="A1414" s="14">
        <v>252757</v>
      </c>
      <c r="B1414" s="14" t="s">
        <v>2941</v>
      </c>
      <c r="D1414" s="14" t="s">
        <v>301</v>
      </c>
    </row>
    <row r="1415" spans="1:4" ht="15.75" customHeight="1" x14ac:dyDescent="0.25">
      <c r="A1415" s="14">
        <v>30034899</v>
      </c>
      <c r="B1415" s="14" t="s">
        <v>2942</v>
      </c>
      <c r="D1415" s="14" t="s">
        <v>301</v>
      </c>
    </row>
    <row r="1416" spans="1:4" ht="15.75" customHeight="1" x14ac:dyDescent="0.25">
      <c r="A1416" s="14">
        <v>30034568</v>
      </c>
      <c r="B1416" s="14" t="s">
        <v>2943</v>
      </c>
      <c r="D1416" s="14" t="s">
        <v>301</v>
      </c>
    </row>
    <row r="1417" spans="1:4" ht="15.75" customHeight="1" x14ac:dyDescent="0.25">
      <c r="A1417" s="14">
        <v>30034940</v>
      </c>
      <c r="B1417" s="14" t="s">
        <v>2944</v>
      </c>
      <c r="D1417" s="14" t="s">
        <v>301</v>
      </c>
    </row>
    <row r="1418" spans="1:4" ht="15.75" customHeight="1" x14ac:dyDescent="0.25">
      <c r="A1418" s="14">
        <v>252758</v>
      </c>
      <c r="B1418" s="14" t="s">
        <v>2945</v>
      </c>
      <c r="D1418" s="14" t="s">
        <v>301</v>
      </c>
    </row>
    <row r="1419" spans="1:4" ht="15.75" customHeight="1" x14ac:dyDescent="0.25">
      <c r="A1419" s="14">
        <v>30035038</v>
      </c>
      <c r="B1419" s="14" t="s">
        <v>2946</v>
      </c>
      <c r="D1419" s="14" t="s">
        <v>301</v>
      </c>
    </row>
    <row r="1420" spans="1:4" ht="15.75" customHeight="1" x14ac:dyDescent="0.25">
      <c r="A1420" s="14">
        <v>30034942</v>
      </c>
      <c r="B1420" s="14" t="s">
        <v>2947</v>
      </c>
      <c r="D1420" s="14" t="s">
        <v>301</v>
      </c>
    </row>
    <row r="1421" spans="1:4" ht="15.75" customHeight="1" x14ac:dyDescent="0.25">
      <c r="A1421" s="14">
        <v>30034943</v>
      </c>
      <c r="B1421" s="14" t="s">
        <v>2948</v>
      </c>
      <c r="D1421" s="14" t="s">
        <v>301</v>
      </c>
    </row>
    <row r="1422" spans="1:4" ht="15.75" customHeight="1" x14ac:dyDescent="0.25">
      <c r="A1422" s="14">
        <v>30035039</v>
      </c>
      <c r="B1422" s="14" t="s">
        <v>2949</v>
      </c>
      <c r="D1422" s="14" t="s">
        <v>301</v>
      </c>
    </row>
    <row r="1423" spans="1:4" ht="15.75" customHeight="1" x14ac:dyDescent="0.25">
      <c r="A1423" s="14">
        <v>252759</v>
      </c>
      <c r="B1423" s="14" t="s">
        <v>2950</v>
      </c>
      <c r="D1423" s="14" t="s">
        <v>301</v>
      </c>
    </row>
    <row r="1424" spans="1:4" ht="15.75" customHeight="1" x14ac:dyDescent="0.25">
      <c r="A1424" s="14">
        <v>30034944</v>
      </c>
      <c r="B1424" s="14" t="s">
        <v>2951</v>
      </c>
      <c r="D1424" s="14" t="s">
        <v>301</v>
      </c>
    </row>
    <row r="1425" spans="1:4" ht="15.75" customHeight="1" x14ac:dyDescent="0.25">
      <c r="A1425" s="14">
        <v>252760</v>
      </c>
      <c r="B1425" s="14" t="s">
        <v>2952</v>
      </c>
      <c r="D1425" s="14" t="s">
        <v>301</v>
      </c>
    </row>
    <row r="1426" spans="1:4" ht="15.75" customHeight="1" x14ac:dyDescent="0.25">
      <c r="A1426" s="14">
        <v>30035040</v>
      </c>
      <c r="B1426" s="14" t="s">
        <v>2953</v>
      </c>
      <c r="D1426" s="14" t="s">
        <v>301</v>
      </c>
    </row>
    <row r="1427" spans="1:4" ht="15.75" customHeight="1" x14ac:dyDescent="0.25">
      <c r="A1427" s="14">
        <v>30034945</v>
      </c>
      <c r="B1427" s="14" t="s">
        <v>2954</v>
      </c>
      <c r="D1427" s="14" t="s">
        <v>301</v>
      </c>
    </row>
    <row r="1428" spans="1:4" ht="15.75" customHeight="1" x14ac:dyDescent="0.25">
      <c r="A1428" s="14">
        <v>252684</v>
      </c>
      <c r="B1428" s="14" t="s">
        <v>2955</v>
      </c>
      <c r="D1428" s="14" t="s">
        <v>301</v>
      </c>
    </row>
    <row r="1429" spans="1:4" ht="15.75" customHeight="1" x14ac:dyDescent="0.25">
      <c r="A1429" s="14">
        <v>30034946</v>
      </c>
      <c r="B1429" s="14" t="s">
        <v>2956</v>
      </c>
      <c r="D1429" s="14" t="s">
        <v>301</v>
      </c>
    </row>
    <row r="1430" spans="1:4" ht="15.75" customHeight="1" x14ac:dyDescent="0.25">
      <c r="A1430" s="14">
        <v>252706</v>
      </c>
      <c r="B1430" s="14" t="s">
        <v>2957</v>
      </c>
      <c r="D1430" s="14" t="s">
        <v>301</v>
      </c>
    </row>
    <row r="1431" spans="1:4" ht="15.75" customHeight="1" x14ac:dyDescent="0.25">
      <c r="A1431" s="14">
        <v>22048060</v>
      </c>
      <c r="B1431" s="14" t="s">
        <v>2958</v>
      </c>
      <c r="D1431" s="14" t="s">
        <v>301</v>
      </c>
    </row>
    <row r="1432" spans="1:4" ht="15.75" customHeight="1" x14ac:dyDescent="0.25">
      <c r="A1432" s="14">
        <v>30034948</v>
      </c>
      <c r="B1432" s="14" t="s">
        <v>2959</v>
      </c>
      <c r="D1432" s="14" t="s">
        <v>301</v>
      </c>
    </row>
    <row r="1433" spans="1:4" ht="15.75" customHeight="1" x14ac:dyDescent="0.25">
      <c r="A1433" s="14">
        <v>30035041</v>
      </c>
      <c r="B1433" s="14" t="s">
        <v>2960</v>
      </c>
      <c r="D1433" s="14" t="s">
        <v>301</v>
      </c>
    </row>
    <row r="1434" spans="1:4" ht="15.75" customHeight="1" x14ac:dyDescent="0.25">
      <c r="A1434" s="14">
        <v>252761</v>
      </c>
      <c r="B1434" s="14" t="s">
        <v>2960</v>
      </c>
      <c r="D1434" s="14" t="s">
        <v>301</v>
      </c>
    </row>
    <row r="1435" spans="1:4" ht="15.75" customHeight="1" x14ac:dyDescent="0.25">
      <c r="A1435" s="14">
        <v>30035042</v>
      </c>
      <c r="B1435" s="14" t="s">
        <v>2961</v>
      </c>
      <c r="D1435" s="14" t="s">
        <v>301</v>
      </c>
    </row>
    <row r="1436" spans="1:4" ht="15.75" customHeight="1" x14ac:dyDescent="0.25">
      <c r="A1436" s="14">
        <v>252762</v>
      </c>
      <c r="B1436" s="14" t="s">
        <v>2961</v>
      </c>
      <c r="D1436" s="14" t="s">
        <v>301</v>
      </c>
    </row>
    <row r="1437" spans="1:4" ht="15.75" customHeight="1" x14ac:dyDescent="0.25">
      <c r="A1437" s="14">
        <v>30034949</v>
      </c>
      <c r="B1437" s="14" t="s">
        <v>2962</v>
      </c>
      <c r="D1437" s="14" t="s">
        <v>301</v>
      </c>
    </row>
    <row r="1438" spans="1:4" ht="15.75" customHeight="1" x14ac:dyDescent="0.25">
      <c r="A1438" s="14">
        <v>30034950</v>
      </c>
      <c r="B1438" s="14" t="s">
        <v>2963</v>
      </c>
      <c r="D1438" s="14" t="s">
        <v>301</v>
      </c>
    </row>
    <row r="1439" spans="1:4" ht="15.75" customHeight="1" x14ac:dyDescent="0.25">
      <c r="A1439" s="14">
        <v>252763</v>
      </c>
      <c r="B1439" s="14" t="s">
        <v>2964</v>
      </c>
      <c r="D1439" s="14" t="s">
        <v>301</v>
      </c>
    </row>
    <row r="1440" spans="1:4" ht="15.75" customHeight="1" x14ac:dyDescent="0.25">
      <c r="A1440" s="14">
        <v>30035043</v>
      </c>
      <c r="B1440" s="14" t="s">
        <v>2964</v>
      </c>
      <c r="D1440" s="14" t="s">
        <v>301</v>
      </c>
    </row>
    <row r="1441" spans="1:4" ht="15.75" customHeight="1" x14ac:dyDescent="0.25">
      <c r="A1441" s="14">
        <v>30034951</v>
      </c>
      <c r="B1441" s="14" t="s">
        <v>2965</v>
      </c>
      <c r="D1441" s="14" t="s">
        <v>301</v>
      </c>
    </row>
    <row r="1442" spans="1:4" ht="15.75" customHeight="1" x14ac:dyDescent="0.25">
      <c r="A1442" s="14">
        <v>30035044</v>
      </c>
      <c r="B1442" s="14" t="s">
        <v>2966</v>
      </c>
      <c r="D1442" s="14" t="s">
        <v>301</v>
      </c>
    </row>
    <row r="1443" spans="1:4" ht="15.75" customHeight="1" x14ac:dyDescent="0.25">
      <c r="A1443" s="14">
        <v>252764</v>
      </c>
      <c r="B1443" s="14" t="s">
        <v>2966</v>
      </c>
      <c r="D1443" s="14" t="s">
        <v>301</v>
      </c>
    </row>
    <row r="1444" spans="1:4" ht="15.75" customHeight="1" x14ac:dyDescent="0.25">
      <c r="A1444" s="14">
        <v>30034953</v>
      </c>
      <c r="B1444" s="14" t="s">
        <v>2967</v>
      </c>
      <c r="D1444" s="14" t="s">
        <v>301</v>
      </c>
    </row>
    <row r="1445" spans="1:4" ht="15.75" customHeight="1" x14ac:dyDescent="0.25">
      <c r="A1445" s="14">
        <v>30034954</v>
      </c>
      <c r="B1445" s="14" t="s">
        <v>2968</v>
      </c>
      <c r="D1445" s="14" t="s">
        <v>301</v>
      </c>
    </row>
    <row r="1446" spans="1:4" ht="15.75" customHeight="1" x14ac:dyDescent="0.25">
      <c r="A1446" s="14">
        <v>30034955</v>
      </c>
      <c r="B1446" s="14" t="s">
        <v>2969</v>
      </c>
      <c r="D1446" s="14" t="s">
        <v>301</v>
      </c>
    </row>
    <row r="1447" spans="1:4" ht="15.75" customHeight="1" x14ac:dyDescent="0.25">
      <c r="A1447" s="14">
        <v>22057014</v>
      </c>
      <c r="B1447" s="14" t="s">
        <v>2970</v>
      </c>
      <c r="D1447" s="14" t="s">
        <v>301</v>
      </c>
    </row>
    <row r="1448" spans="1:4" ht="15.75" customHeight="1" x14ac:dyDescent="0.25">
      <c r="A1448" s="14">
        <v>1002045</v>
      </c>
      <c r="B1448" s="14" t="s">
        <v>2971</v>
      </c>
      <c r="D1448" s="14" t="s">
        <v>301</v>
      </c>
    </row>
    <row r="1449" spans="1:4" ht="15.75" customHeight="1" x14ac:dyDescent="0.25">
      <c r="A1449" s="14">
        <v>1001246</v>
      </c>
      <c r="B1449" s="14" t="s">
        <v>494</v>
      </c>
      <c r="D1449" s="14" t="s">
        <v>301</v>
      </c>
    </row>
    <row r="1450" spans="1:4" ht="15.75" customHeight="1" x14ac:dyDescent="0.25">
      <c r="A1450" s="14">
        <v>1002347</v>
      </c>
      <c r="B1450" s="14" t="s">
        <v>2972</v>
      </c>
      <c r="D1450" s="14" t="s">
        <v>301</v>
      </c>
    </row>
    <row r="1451" spans="1:4" ht="15.75" customHeight="1" x14ac:dyDescent="0.25">
      <c r="A1451" s="14">
        <v>1006889</v>
      </c>
      <c r="B1451" s="14" t="s">
        <v>2973</v>
      </c>
      <c r="D1451" s="14" t="s">
        <v>301</v>
      </c>
    </row>
    <row r="1452" spans="1:4" ht="15.75" customHeight="1" x14ac:dyDescent="0.25">
      <c r="A1452" s="14">
        <v>1006872</v>
      </c>
      <c r="B1452" s="14" t="s">
        <v>2974</v>
      </c>
      <c r="D1452" s="14" t="s">
        <v>301</v>
      </c>
    </row>
    <row r="1453" spans="1:4" ht="15.75" customHeight="1" x14ac:dyDescent="0.25">
      <c r="A1453" s="14">
        <v>1001134</v>
      </c>
      <c r="B1453" s="14" t="s">
        <v>2975</v>
      </c>
      <c r="D1453" s="14" t="s">
        <v>301</v>
      </c>
    </row>
    <row r="1454" spans="1:4" ht="15.75" customHeight="1" x14ac:dyDescent="0.25">
      <c r="A1454" s="14">
        <v>1001133</v>
      </c>
      <c r="B1454" s="14" t="s">
        <v>2976</v>
      </c>
      <c r="D1454" s="14" t="s">
        <v>301</v>
      </c>
    </row>
    <row r="1455" spans="1:4" ht="15.75" customHeight="1" x14ac:dyDescent="0.25">
      <c r="A1455" s="14">
        <v>1001135</v>
      </c>
      <c r="B1455" s="14" t="s">
        <v>2977</v>
      </c>
      <c r="D1455" s="14" t="s">
        <v>301</v>
      </c>
    </row>
    <row r="1456" spans="1:4" ht="15.75" customHeight="1" x14ac:dyDescent="0.25">
      <c r="A1456" s="14">
        <v>1002189</v>
      </c>
      <c r="B1456" s="14" t="s">
        <v>2978</v>
      </c>
      <c r="D1456" s="14" t="s">
        <v>301</v>
      </c>
    </row>
    <row r="1457" spans="1:4" ht="15.75" customHeight="1" x14ac:dyDescent="0.25">
      <c r="A1457" s="14">
        <v>1000593</v>
      </c>
      <c r="B1457" s="14" t="s">
        <v>2979</v>
      </c>
      <c r="D1457" s="14" t="s">
        <v>301</v>
      </c>
    </row>
    <row r="1458" spans="1:4" ht="15.75" customHeight="1" x14ac:dyDescent="0.25">
      <c r="A1458" s="14">
        <v>1006888</v>
      </c>
      <c r="B1458" s="14" t="s">
        <v>2980</v>
      </c>
      <c r="D1458" s="14" t="s">
        <v>301</v>
      </c>
    </row>
    <row r="1459" spans="1:4" ht="15.75" customHeight="1" x14ac:dyDescent="0.25">
      <c r="A1459" s="14">
        <v>1006873</v>
      </c>
      <c r="B1459" s="14" t="s">
        <v>2981</v>
      </c>
      <c r="D1459" s="14" t="s">
        <v>301</v>
      </c>
    </row>
    <row r="1460" spans="1:4" ht="15.75" customHeight="1" x14ac:dyDescent="0.25">
      <c r="A1460" s="14">
        <v>1002175</v>
      </c>
      <c r="B1460" s="14" t="s">
        <v>2982</v>
      </c>
      <c r="D1460" s="14" t="s">
        <v>301</v>
      </c>
    </row>
    <row r="1461" spans="1:4" ht="15.75" customHeight="1" x14ac:dyDescent="0.25">
      <c r="A1461" s="14">
        <v>1006901</v>
      </c>
      <c r="B1461" s="14" t="s">
        <v>2983</v>
      </c>
      <c r="D1461" s="14" t="s">
        <v>301</v>
      </c>
    </row>
    <row r="1462" spans="1:4" ht="15.75" customHeight="1" x14ac:dyDescent="0.25">
      <c r="A1462" s="14">
        <v>252252</v>
      </c>
      <c r="B1462" s="14" t="s">
        <v>2984</v>
      </c>
      <c r="D1462" s="14" t="s">
        <v>301</v>
      </c>
    </row>
    <row r="1463" spans="1:4" ht="15.75" customHeight="1" x14ac:dyDescent="0.25">
      <c r="A1463" s="14">
        <v>1000710</v>
      </c>
      <c r="B1463" s="14" t="s">
        <v>1775</v>
      </c>
      <c r="D1463" s="14" t="s">
        <v>301</v>
      </c>
    </row>
    <row r="1464" spans="1:4" ht="15.75" customHeight="1" x14ac:dyDescent="0.25">
      <c r="A1464" s="14">
        <v>10001066</v>
      </c>
      <c r="B1464" s="14" t="s">
        <v>497</v>
      </c>
      <c r="D1464" s="14" t="s">
        <v>301</v>
      </c>
    </row>
    <row r="1465" spans="1:4" ht="15.75" customHeight="1" x14ac:dyDescent="0.25">
      <c r="A1465" s="14">
        <v>1000473</v>
      </c>
      <c r="B1465" s="14" t="s">
        <v>498</v>
      </c>
      <c r="D1465" s="14" t="s">
        <v>301</v>
      </c>
    </row>
    <row r="1466" spans="1:4" ht="15.75" customHeight="1" x14ac:dyDescent="0.25">
      <c r="A1466" s="14">
        <v>1001480</v>
      </c>
      <c r="B1466" s="14" t="s">
        <v>499</v>
      </c>
      <c r="D1466" s="14" t="s">
        <v>301</v>
      </c>
    </row>
    <row r="1467" spans="1:4" ht="15.75" customHeight="1" x14ac:dyDescent="0.25">
      <c r="A1467" s="14">
        <v>1006886</v>
      </c>
      <c r="B1467" s="14" t="s">
        <v>500</v>
      </c>
      <c r="D1467" s="14" t="s">
        <v>301</v>
      </c>
    </row>
    <row r="1468" spans="1:4" ht="15.75" customHeight="1" x14ac:dyDescent="0.25">
      <c r="A1468" s="14">
        <v>1002197</v>
      </c>
      <c r="B1468" s="14" t="s">
        <v>2985</v>
      </c>
      <c r="D1468" s="14" t="s">
        <v>301</v>
      </c>
    </row>
    <row r="1469" spans="1:4" ht="15.75" customHeight="1" x14ac:dyDescent="0.25">
      <c r="A1469" s="14">
        <v>1001271</v>
      </c>
      <c r="B1469" s="14" t="s">
        <v>2986</v>
      </c>
      <c r="D1469" s="14" t="s">
        <v>301</v>
      </c>
    </row>
    <row r="1470" spans="1:4" ht="15.75" customHeight="1" x14ac:dyDescent="0.25">
      <c r="A1470" s="14">
        <v>22050005</v>
      </c>
      <c r="B1470" s="14" t="s">
        <v>2987</v>
      </c>
      <c r="D1470" s="14" t="s">
        <v>301</v>
      </c>
    </row>
    <row r="1471" spans="1:4" ht="15.75" customHeight="1" x14ac:dyDescent="0.25">
      <c r="A1471" s="14">
        <v>1000227</v>
      </c>
      <c r="B1471" s="14" t="s">
        <v>2988</v>
      </c>
      <c r="D1471" s="14" t="s">
        <v>301</v>
      </c>
    </row>
    <row r="1472" spans="1:4" ht="15.75" customHeight="1" x14ac:dyDescent="0.25">
      <c r="A1472" s="14">
        <v>1000476</v>
      </c>
      <c r="B1472" s="14" t="s">
        <v>2988</v>
      </c>
      <c r="D1472" s="14" t="s">
        <v>301</v>
      </c>
    </row>
    <row r="1473" spans="1:4" ht="15.75" customHeight="1" x14ac:dyDescent="0.25">
      <c r="A1473" s="14">
        <v>1000477</v>
      </c>
      <c r="B1473" s="14" t="s">
        <v>2989</v>
      </c>
      <c r="D1473" s="14" t="s">
        <v>301</v>
      </c>
    </row>
    <row r="1474" spans="1:4" ht="15.75" customHeight="1" x14ac:dyDescent="0.25">
      <c r="A1474" s="14">
        <v>1001649</v>
      </c>
      <c r="B1474" s="14" t="s">
        <v>2990</v>
      </c>
      <c r="D1474" s="14" t="s">
        <v>301</v>
      </c>
    </row>
    <row r="1475" spans="1:4" ht="15.75" customHeight="1" x14ac:dyDescent="0.25">
      <c r="A1475" s="14">
        <v>1002170</v>
      </c>
      <c r="B1475" s="14" t="s">
        <v>464</v>
      </c>
      <c r="D1475" s="14" t="s">
        <v>301</v>
      </c>
    </row>
    <row r="1476" spans="1:4" ht="15.75" customHeight="1" x14ac:dyDescent="0.25">
      <c r="A1476" s="14">
        <v>1000052</v>
      </c>
      <c r="B1476" s="14" t="s">
        <v>169</v>
      </c>
      <c r="C1476" s="14" t="s">
        <v>11</v>
      </c>
      <c r="D1476" s="14" t="s">
        <v>69</v>
      </c>
    </row>
    <row r="1477" spans="1:4" ht="15.75" customHeight="1" x14ac:dyDescent="0.25">
      <c r="A1477" s="14">
        <v>1001102</v>
      </c>
      <c r="B1477" s="14" t="s">
        <v>274</v>
      </c>
      <c r="C1477" s="14" t="s">
        <v>47</v>
      </c>
      <c r="D1477" s="14" t="s">
        <v>69</v>
      </c>
    </row>
    <row r="1478" spans="1:4" ht="15.75" customHeight="1" x14ac:dyDescent="0.25">
      <c r="A1478" s="14">
        <v>1000071</v>
      </c>
      <c r="B1478" s="14" t="s">
        <v>76</v>
      </c>
      <c r="C1478" s="14" t="s">
        <v>57</v>
      </c>
      <c r="D1478" s="14" t="s">
        <v>69</v>
      </c>
    </row>
    <row r="1479" spans="1:4" ht="15.75" customHeight="1" x14ac:dyDescent="0.25">
      <c r="A1479" s="14">
        <v>1000072</v>
      </c>
      <c r="B1479" s="14" t="s">
        <v>171</v>
      </c>
      <c r="C1479" s="14" t="s">
        <v>57</v>
      </c>
      <c r="D1479" s="14" t="s">
        <v>69</v>
      </c>
    </row>
    <row r="1480" spans="1:4" ht="15.75" customHeight="1" x14ac:dyDescent="0.25">
      <c r="A1480" s="14">
        <v>1002275</v>
      </c>
      <c r="B1480" s="14" t="s">
        <v>649</v>
      </c>
      <c r="C1480" s="14" t="s">
        <v>57</v>
      </c>
      <c r="D1480" s="14" t="s">
        <v>69</v>
      </c>
    </row>
    <row r="1481" spans="1:4" ht="15.75" customHeight="1" x14ac:dyDescent="0.25">
      <c r="A1481" s="14">
        <v>1001698</v>
      </c>
      <c r="B1481" s="14" t="s">
        <v>2991</v>
      </c>
      <c r="C1481" s="14" t="s">
        <v>57</v>
      </c>
      <c r="D1481" s="14" t="s">
        <v>69</v>
      </c>
    </row>
    <row r="1482" spans="1:4" ht="15.75" customHeight="1" x14ac:dyDescent="0.25">
      <c r="A1482" s="14">
        <v>1001694</v>
      </c>
      <c r="B1482" s="14" t="s">
        <v>177</v>
      </c>
      <c r="C1482" s="14" t="s">
        <v>57</v>
      </c>
      <c r="D1482" s="14" t="s">
        <v>69</v>
      </c>
    </row>
    <row r="1483" spans="1:4" ht="15.75" customHeight="1" x14ac:dyDescent="0.25">
      <c r="A1483" s="14">
        <v>1002337</v>
      </c>
      <c r="B1483" s="14" t="s">
        <v>2992</v>
      </c>
      <c r="C1483" s="14" t="s">
        <v>57</v>
      </c>
      <c r="D1483" s="14" t="s">
        <v>69</v>
      </c>
    </row>
    <row r="1484" spans="1:4" ht="15.75" customHeight="1" x14ac:dyDescent="0.25">
      <c r="A1484" s="14">
        <v>1002278</v>
      </c>
      <c r="B1484" s="14" t="s">
        <v>2993</v>
      </c>
      <c r="C1484" s="14" t="s">
        <v>57</v>
      </c>
      <c r="D1484" s="14" t="s">
        <v>69</v>
      </c>
    </row>
    <row r="1485" spans="1:4" ht="15.75" customHeight="1" x14ac:dyDescent="0.25">
      <c r="A1485" s="14">
        <v>1001289</v>
      </c>
      <c r="B1485" s="14" t="s">
        <v>517</v>
      </c>
      <c r="C1485" s="14" t="s">
        <v>57</v>
      </c>
      <c r="D1485" s="14" t="s">
        <v>69</v>
      </c>
    </row>
    <row r="1486" spans="1:4" ht="15.75" customHeight="1" x14ac:dyDescent="0.25">
      <c r="A1486" s="14">
        <v>1000277</v>
      </c>
      <c r="B1486" s="14" t="s">
        <v>182</v>
      </c>
      <c r="C1486" s="14" t="s">
        <v>57</v>
      </c>
      <c r="D1486" s="14" t="s">
        <v>69</v>
      </c>
    </row>
    <row r="1487" spans="1:4" ht="15.75" customHeight="1" x14ac:dyDescent="0.25">
      <c r="A1487" s="14">
        <v>1001274</v>
      </c>
      <c r="B1487" s="14" t="s">
        <v>286</v>
      </c>
      <c r="C1487" s="14" t="s">
        <v>57</v>
      </c>
      <c r="D1487" s="14" t="s">
        <v>69</v>
      </c>
    </row>
    <row r="1488" spans="1:4" ht="15.75" customHeight="1" x14ac:dyDescent="0.25">
      <c r="A1488" s="14">
        <v>1000879</v>
      </c>
      <c r="B1488" s="14" t="s">
        <v>528</v>
      </c>
      <c r="C1488" s="14" t="s">
        <v>57</v>
      </c>
      <c r="D1488" s="14" t="s">
        <v>69</v>
      </c>
    </row>
    <row r="1489" spans="1:4" ht="15.75" customHeight="1" x14ac:dyDescent="0.25">
      <c r="A1489" s="14">
        <v>1006924</v>
      </c>
      <c r="B1489" s="14" t="s">
        <v>534</v>
      </c>
      <c r="D1489" s="14" t="s">
        <v>69</v>
      </c>
    </row>
    <row r="1490" spans="1:4" ht="15.75" customHeight="1" x14ac:dyDescent="0.25">
      <c r="A1490" s="14">
        <v>1001850</v>
      </c>
      <c r="B1490" s="14" t="s">
        <v>167</v>
      </c>
      <c r="D1490" s="14" t="s">
        <v>69</v>
      </c>
    </row>
    <row r="1491" spans="1:4" ht="15.75" customHeight="1" x14ac:dyDescent="0.25">
      <c r="A1491" s="14">
        <v>1006180</v>
      </c>
      <c r="B1491" s="14" t="s">
        <v>168</v>
      </c>
      <c r="D1491" s="14" t="s">
        <v>69</v>
      </c>
    </row>
    <row r="1492" spans="1:4" ht="15.75" customHeight="1" x14ac:dyDescent="0.25">
      <c r="A1492" s="14">
        <v>1006148</v>
      </c>
      <c r="B1492" s="14" t="s">
        <v>2994</v>
      </c>
      <c r="D1492" s="14" t="s">
        <v>69</v>
      </c>
    </row>
    <row r="1493" spans="1:4" ht="15.75" customHeight="1" x14ac:dyDescent="0.25">
      <c r="A1493" s="14">
        <v>1006146</v>
      </c>
      <c r="B1493" s="14" t="s">
        <v>2995</v>
      </c>
      <c r="D1493" s="14" t="s">
        <v>69</v>
      </c>
    </row>
    <row r="1494" spans="1:4" ht="15.75" customHeight="1" x14ac:dyDescent="0.25">
      <c r="A1494" s="14">
        <v>1002152</v>
      </c>
      <c r="B1494" s="14" t="s">
        <v>213</v>
      </c>
      <c r="D1494" s="14" t="s">
        <v>69</v>
      </c>
    </row>
    <row r="1495" spans="1:4" ht="15.75" customHeight="1" x14ac:dyDescent="0.25">
      <c r="A1495" s="14">
        <v>1002190</v>
      </c>
      <c r="B1495" s="14" t="s">
        <v>214</v>
      </c>
      <c r="D1495" s="14" t="s">
        <v>69</v>
      </c>
    </row>
    <row r="1496" spans="1:4" ht="15.75" customHeight="1" x14ac:dyDescent="0.25">
      <c r="A1496" s="14">
        <v>1002191</v>
      </c>
      <c r="B1496" s="14" t="s">
        <v>215</v>
      </c>
      <c r="D1496" s="14" t="s">
        <v>69</v>
      </c>
    </row>
    <row r="1497" spans="1:4" ht="15.75" customHeight="1" x14ac:dyDescent="0.25">
      <c r="A1497" s="14">
        <v>1002192</v>
      </c>
      <c r="B1497" s="14" t="s">
        <v>216</v>
      </c>
      <c r="D1497" s="14" t="s">
        <v>69</v>
      </c>
    </row>
    <row r="1498" spans="1:4" ht="15.75" customHeight="1" x14ac:dyDescent="0.25">
      <c r="A1498" s="14">
        <v>1002194</v>
      </c>
      <c r="B1498" s="14" t="s">
        <v>217</v>
      </c>
      <c r="D1498" s="14" t="s">
        <v>69</v>
      </c>
    </row>
    <row r="1499" spans="1:4" ht="15.75" customHeight="1" x14ac:dyDescent="0.25">
      <c r="A1499" s="14">
        <v>1002364</v>
      </c>
      <c r="B1499" s="14" t="s">
        <v>218</v>
      </c>
      <c r="D1499" s="14" t="s">
        <v>69</v>
      </c>
    </row>
    <row r="1500" spans="1:4" ht="15.75" customHeight="1" x14ac:dyDescent="0.25">
      <c r="A1500" s="14">
        <v>1002365</v>
      </c>
      <c r="B1500" s="14" t="s">
        <v>219</v>
      </c>
      <c r="D1500" s="14" t="s">
        <v>69</v>
      </c>
    </row>
    <row r="1501" spans="1:4" ht="15.75" customHeight="1" x14ac:dyDescent="0.25">
      <c r="A1501" s="14">
        <v>1001864</v>
      </c>
      <c r="B1501" s="14" t="s">
        <v>567</v>
      </c>
      <c r="D1501" s="14" t="s">
        <v>69</v>
      </c>
    </row>
    <row r="1502" spans="1:4" ht="15.75" customHeight="1" x14ac:dyDescent="0.25">
      <c r="A1502" s="14">
        <v>1001521</v>
      </c>
      <c r="B1502" s="14" t="s">
        <v>573</v>
      </c>
      <c r="D1502" s="14" t="s">
        <v>69</v>
      </c>
    </row>
    <row r="1503" spans="1:4" ht="15.75" customHeight="1" x14ac:dyDescent="0.25">
      <c r="A1503" s="14">
        <v>1001522</v>
      </c>
      <c r="B1503" s="14" t="s">
        <v>575</v>
      </c>
      <c r="D1503" s="14" t="s">
        <v>69</v>
      </c>
    </row>
    <row r="1504" spans="1:4" ht="15.75" customHeight="1" x14ac:dyDescent="0.25">
      <c r="A1504" s="14">
        <v>1001523</v>
      </c>
      <c r="B1504" s="14" t="s">
        <v>577</v>
      </c>
      <c r="D1504" s="14" t="s">
        <v>69</v>
      </c>
    </row>
    <row r="1505" spans="1:4" ht="15.75" customHeight="1" x14ac:dyDescent="0.25">
      <c r="A1505" s="14">
        <v>1001524</v>
      </c>
      <c r="B1505" s="14" t="s">
        <v>579</v>
      </c>
      <c r="D1505" s="14" t="s">
        <v>69</v>
      </c>
    </row>
    <row r="1506" spans="1:4" ht="15.75" customHeight="1" x14ac:dyDescent="0.25">
      <c r="A1506" s="14">
        <v>1001525</v>
      </c>
      <c r="B1506" s="14" t="s">
        <v>581</v>
      </c>
      <c r="D1506" s="14" t="s">
        <v>69</v>
      </c>
    </row>
    <row r="1507" spans="1:4" ht="15.75" customHeight="1" x14ac:dyDescent="0.25">
      <c r="A1507" s="14">
        <v>1001526</v>
      </c>
      <c r="B1507" s="14" t="s">
        <v>583</v>
      </c>
      <c r="D1507" s="14" t="s">
        <v>69</v>
      </c>
    </row>
    <row r="1508" spans="1:4" ht="15.75" customHeight="1" x14ac:dyDescent="0.25">
      <c r="A1508" s="14">
        <v>1001527</v>
      </c>
      <c r="B1508" s="14" t="s">
        <v>585</v>
      </c>
      <c r="D1508" s="14" t="s">
        <v>69</v>
      </c>
    </row>
    <row r="1509" spans="1:4" ht="15.75" customHeight="1" x14ac:dyDescent="0.25">
      <c r="A1509" s="14">
        <v>1001529</v>
      </c>
      <c r="B1509" s="14" t="s">
        <v>587</v>
      </c>
      <c r="D1509" s="14" t="s">
        <v>69</v>
      </c>
    </row>
    <row r="1510" spans="1:4" ht="15.75" customHeight="1" x14ac:dyDescent="0.25">
      <c r="A1510" s="14">
        <v>1001248</v>
      </c>
      <c r="B1510" s="14" t="s">
        <v>70</v>
      </c>
      <c r="D1510" s="14" t="s">
        <v>69</v>
      </c>
    </row>
    <row r="1511" spans="1:4" ht="15.75" customHeight="1" x14ac:dyDescent="0.25">
      <c r="A1511" s="14">
        <v>1001249</v>
      </c>
      <c r="B1511" s="14" t="s">
        <v>72</v>
      </c>
      <c r="D1511" s="14" t="s">
        <v>69</v>
      </c>
    </row>
    <row r="1512" spans="1:4" ht="15.75" customHeight="1" x14ac:dyDescent="0.25">
      <c r="A1512" s="14">
        <v>1000068</v>
      </c>
      <c r="B1512" s="14" t="s">
        <v>73</v>
      </c>
      <c r="D1512" s="14" t="s">
        <v>69</v>
      </c>
    </row>
    <row r="1513" spans="1:4" ht="15.75" customHeight="1" x14ac:dyDescent="0.25">
      <c r="A1513" s="14">
        <v>1000069</v>
      </c>
      <c r="B1513" s="14" t="s">
        <v>74</v>
      </c>
      <c r="D1513" s="14" t="s">
        <v>69</v>
      </c>
    </row>
    <row r="1514" spans="1:4" ht="15.75" customHeight="1" x14ac:dyDescent="0.25">
      <c r="A1514" s="14">
        <v>1000070</v>
      </c>
      <c r="B1514" s="14" t="s">
        <v>75</v>
      </c>
      <c r="D1514" s="14" t="s">
        <v>69</v>
      </c>
    </row>
    <row r="1515" spans="1:4" ht="15.75" customHeight="1" x14ac:dyDescent="0.25">
      <c r="A1515" s="14">
        <v>1000073</v>
      </c>
      <c r="B1515" s="14" t="s">
        <v>172</v>
      </c>
      <c r="D1515" s="14" t="s">
        <v>69</v>
      </c>
    </row>
    <row r="1516" spans="1:4" ht="15.75" customHeight="1" x14ac:dyDescent="0.25">
      <c r="A1516" s="14">
        <v>1000074</v>
      </c>
      <c r="B1516" s="14" t="s">
        <v>173</v>
      </c>
      <c r="D1516" s="14" t="s">
        <v>69</v>
      </c>
    </row>
    <row r="1517" spans="1:4" ht="15.75" customHeight="1" x14ac:dyDescent="0.25">
      <c r="A1517" s="14">
        <v>1000075</v>
      </c>
      <c r="B1517" s="14" t="s">
        <v>174</v>
      </c>
      <c r="D1517" s="14" t="s">
        <v>69</v>
      </c>
    </row>
    <row r="1518" spans="1:4" ht="15.75" customHeight="1" x14ac:dyDescent="0.25">
      <c r="A1518" s="14">
        <v>1000076</v>
      </c>
      <c r="B1518" s="14" t="s">
        <v>77</v>
      </c>
      <c r="D1518" s="14" t="s">
        <v>69</v>
      </c>
    </row>
    <row r="1519" spans="1:4" ht="15.75" customHeight="1" x14ac:dyDescent="0.25">
      <c r="A1519" s="14">
        <v>1001895</v>
      </c>
      <c r="B1519" s="14" t="s">
        <v>505</v>
      </c>
      <c r="D1519" s="14" t="s">
        <v>69</v>
      </c>
    </row>
    <row r="1520" spans="1:4" ht="15.75" customHeight="1" x14ac:dyDescent="0.25">
      <c r="A1520" s="14">
        <v>1002361</v>
      </c>
      <c r="B1520" s="14" t="s">
        <v>227</v>
      </c>
      <c r="D1520" s="14" t="s">
        <v>69</v>
      </c>
    </row>
    <row r="1521" spans="1:4" ht="15.75" customHeight="1" x14ac:dyDescent="0.25">
      <c r="A1521" s="14">
        <v>1002362</v>
      </c>
      <c r="B1521" s="14" t="s">
        <v>229</v>
      </c>
      <c r="D1521" s="14" t="s">
        <v>69</v>
      </c>
    </row>
    <row r="1522" spans="1:4" ht="15.75" customHeight="1" x14ac:dyDescent="0.25">
      <c r="A1522" s="14">
        <v>1006802</v>
      </c>
      <c r="B1522" s="14" t="s">
        <v>603</v>
      </c>
      <c r="D1522" s="14" t="s">
        <v>69</v>
      </c>
    </row>
    <row r="1523" spans="1:4" ht="15.75" customHeight="1" x14ac:dyDescent="0.25">
      <c r="A1523" s="14">
        <v>254282</v>
      </c>
      <c r="B1523" s="14" t="s">
        <v>2996</v>
      </c>
      <c r="D1523" s="14" t="s">
        <v>69</v>
      </c>
    </row>
    <row r="1524" spans="1:4" ht="15.75" customHeight="1" x14ac:dyDescent="0.25">
      <c r="A1524" s="14">
        <v>254281</v>
      </c>
      <c r="B1524" s="14" t="s">
        <v>2997</v>
      </c>
      <c r="D1524" s="14" t="s">
        <v>69</v>
      </c>
    </row>
    <row r="1525" spans="1:4" ht="15.75" customHeight="1" x14ac:dyDescent="0.25">
      <c r="A1525" s="14">
        <v>254379</v>
      </c>
      <c r="B1525" s="14" t="s">
        <v>2998</v>
      </c>
      <c r="D1525" s="14" t="s">
        <v>69</v>
      </c>
    </row>
    <row r="1526" spans="1:4" ht="15.75" customHeight="1" x14ac:dyDescent="0.25">
      <c r="A1526" s="14">
        <v>254495</v>
      </c>
      <c r="B1526" s="14" t="s">
        <v>2999</v>
      </c>
      <c r="D1526" s="14" t="s">
        <v>69</v>
      </c>
    </row>
    <row r="1527" spans="1:4" ht="15.75" customHeight="1" x14ac:dyDescent="0.25">
      <c r="A1527" s="14">
        <v>254487</v>
      </c>
      <c r="B1527" s="14" t="s">
        <v>3000</v>
      </c>
      <c r="D1527" s="14" t="s">
        <v>69</v>
      </c>
    </row>
    <row r="1528" spans="1:4" ht="15.75" customHeight="1" x14ac:dyDescent="0.25">
      <c r="A1528" s="14">
        <v>254020</v>
      </c>
      <c r="B1528" s="14" t="s">
        <v>3001</v>
      </c>
      <c r="D1528" s="14" t="s">
        <v>69</v>
      </c>
    </row>
    <row r="1529" spans="1:4" ht="15.75" customHeight="1" x14ac:dyDescent="0.25">
      <c r="A1529" s="14">
        <v>254021</v>
      </c>
      <c r="B1529" s="14" t="s">
        <v>3002</v>
      </c>
      <c r="D1529" s="14" t="s">
        <v>69</v>
      </c>
    </row>
    <row r="1530" spans="1:4" ht="15.75" customHeight="1" x14ac:dyDescent="0.25">
      <c r="A1530" s="14">
        <v>253061</v>
      </c>
      <c r="B1530" s="14" t="s">
        <v>3003</v>
      </c>
      <c r="D1530" s="14" t="s">
        <v>69</v>
      </c>
    </row>
    <row r="1531" spans="1:4" ht="15.75" customHeight="1" x14ac:dyDescent="0.25">
      <c r="A1531" s="14">
        <v>1006855</v>
      </c>
      <c r="B1531" s="14" t="s">
        <v>78</v>
      </c>
      <c r="D1531" s="14" t="s">
        <v>69</v>
      </c>
    </row>
    <row r="1532" spans="1:4" ht="15.75" customHeight="1" x14ac:dyDescent="0.25">
      <c r="A1532" s="14">
        <v>1002273</v>
      </c>
      <c r="B1532" s="14" t="s">
        <v>645</v>
      </c>
      <c r="D1532" s="14" t="s">
        <v>69</v>
      </c>
    </row>
    <row r="1533" spans="1:4" ht="15.75" customHeight="1" x14ac:dyDescent="0.25">
      <c r="A1533" s="14">
        <v>1002274</v>
      </c>
      <c r="B1533" s="14" t="s">
        <v>647</v>
      </c>
      <c r="D1533" s="14" t="s">
        <v>69</v>
      </c>
    </row>
    <row r="1534" spans="1:4" ht="15.75" customHeight="1" x14ac:dyDescent="0.25">
      <c r="A1534" s="14">
        <v>1002352</v>
      </c>
      <c r="B1534" s="14" t="s">
        <v>3004</v>
      </c>
      <c r="D1534" s="14" t="s">
        <v>69</v>
      </c>
    </row>
    <row r="1535" spans="1:4" ht="15.75" customHeight="1" x14ac:dyDescent="0.25">
      <c r="A1535" s="14">
        <v>1002353</v>
      </c>
      <c r="B1535" s="14" t="s">
        <v>3005</v>
      </c>
      <c r="D1535" s="14" t="s">
        <v>69</v>
      </c>
    </row>
    <row r="1536" spans="1:4" ht="15.75" customHeight="1" x14ac:dyDescent="0.25">
      <c r="A1536" s="14">
        <v>1002302</v>
      </c>
      <c r="B1536" s="14" t="s">
        <v>651</v>
      </c>
      <c r="D1536" s="14" t="s">
        <v>69</v>
      </c>
    </row>
    <row r="1537" spans="1:4" ht="15.75" customHeight="1" x14ac:dyDescent="0.25">
      <c r="A1537" s="14">
        <v>1001490</v>
      </c>
      <c r="B1537" s="14" t="s">
        <v>231</v>
      </c>
      <c r="D1537" s="14" t="s">
        <v>69</v>
      </c>
    </row>
    <row r="1538" spans="1:4" ht="15.75" customHeight="1" x14ac:dyDescent="0.25">
      <c r="A1538" s="14">
        <v>1006870</v>
      </c>
      <c r="B1538" s="14" t="s">
        <v>236</v>
      </c>
      <c r="D1538" s="14" t="s">
        <v>69</v>
      </c>
    </row>
    <row r="1539" spans="1:4" ht="15.75" customHeight="1" x14ac:dyDescent="0.25">
      <c r="A1539" s="14">
        <v>1001700</v>
      </c>
      <c r="B1539" s="14" t="s">
        <v>3006</v>
      </c>
      <c r="D1539" s="14" t="s">
        <v>69</v>
      </c>
    </row>
    <row r="1540" spans="1:4" ht="15.75" customHeight="1" x14ac:dyDescent="0.25">
      <c r="A1540" s="14">
        <v>1001697</v>
      </c>
      <c r="B1540" s="14" t="s">
        <v>3007</v>
      </c>
      <c r="D1540" s="14" t="s">
        <v>69</v>
      </c>
    </row>
    <row r="1541" spans="1:4" ht="15.75" customHeight="1" x14ac:dyDescent="0.25">
      <c r="A1541" s="14">
        <v>1001699</v>
      </c>
      <c r="B1541" s="14" t="s">
        <v>3008</v>
      </c>
      <c r="D1541" s="14" t="s">
        <v>69</v>
      </c>
    </row>
    <row r="1542" spans="1:4" ht="15.75" customHeight="1" x14ac:dyDescent="0.25">
      <c r="A1542" s="14">
        <v>1006858</v>
      </c>
      <c r="B1542" s="14" t="s">
        <v>3009</v>
      </c>
      <c r="D1542" s="14" t="s">
        <v>69</v>
      </c>
    </row>
    <row r="1543" spans="1:4" ht="15.75" customHeight="1" x14ac:dyDescent="0.25">
      <c r="A1543" s="14">
        <v>1002149</v>
      </c>
      <c r="B1543" s="14" t="s">
        <v>3010</v>
      </c>
      <c r="D1543" s="14" t="s">
        <v>69</v>
      </c>
    </row>
    <row r="1544" spans="1:4" ht="15.75" customHeight="1" x14ac:dyDescent="0.25">
      <c r="A1544" s="14">
        <v>1002169</v>
      </c>
      <c r="B1544" s="14" t="s">
        <v>79</v>
      </c>
      <c r="D1544" s="14" t="s">
        <v>69</v>
      </c>
    </row>
    <row r="1545" spans="1:4" ht="15.75" customHeight="1" x14ac:dyDescent="0.25">
      <c r="A1545" s="14">
        <v>1002148</v>
      </c>
      <c r="B1545" s="14" t="s">
        <v>80</v>
      </c>
      <c r="D1545" s="14" t="s">
        <v>69</v>
      </c>
    </row>
    <row r="1546" spans="1:4" ht="15.75" customHeight="1" x14ac:dyDescent="0.25">
      <c r="A1546" s="14">
        <v>1001916</v>
      </c>
      <c r="B1546" s="14" t="s">
        <v>240</v>
      </c>
      <c r="D1546" s="14" t="s">
        <v>69</v>
      </c>
    </row>
    <row r="1547" spans="1:4" ht="15.75" customHeight="1" x14ac:dyDescent="0.25">
      <c r="A1547" s="14">
        <v>1001507</v>
      </c>
      <c r="B1547" s="14" t="s">
        <v>232</v>
      </c>
      <c r="D1547" s="14" t="s">
        <v>69</v>
      </c>
    </row>
    <row r="1548" spans="1:4" ht="15.75" customHeight="1" x14ac:dyDescent="0.25">
      <c r="A1548" s="14">
        <v>1001504</v>
      </c>
      <c r="B1548" s="14" t="s">
        <v>234</v>
      </c>
      <c r="D1548" s="14" t="s">
        <v>69</v>
      </c>
    </row>
    <row r="1549" spans="1:4" ht="15.75" customHeight="1" x14ac:dyDescent="0.25">
      <c r="A1549" s="14">
        <v>1001505</v>
      </c>
      <c r="B1549" s="14" t="s">
        <v>235</v>
      </c>
      <c r="D1549" s="14" t="s">
        <v>69</v>
      </c>
    </row>
    <row r="1550" spans="1:4" ht="15.75" customHeight="1" x14ac:dyDescent="0.25">
      <c r="A1550" s="14">
        <v>1001506</v>
      </c>
      <c r="B1550" s="14" t="s">
        <v>237</v>
      </c>
      <c r="D1550" s="14" t="s">
        <v>69</v>
      </c>
    </row>
    <row r="1551" spans="1:4" ht="15.75" customHeight="1" x14ac:dyDescent="0.25">
      <c r="A1551" s="14">
        <v>1006911</v>
      </c>
      <c r="B1551" s="14" t="s">
        <v>3011</v>
      </c>
      <c r="D1551" s="14" t="s">
        <v>69</v>
      </c>
    </row>
    <row r="1552" spans="1:4" ht="15.75" customHeight="1" x14ac:dyDescent="0.25">
      <c r="A1552" s="14">
        <v>1006912</v>
      </c>
      <c r="B1552" s="14" t="s">
        <v>3012</v>
      </c>
      <c r="D1552" s="14" t="s">
        <v>69</v>
      </c>
    </row>
    <row r="1553" spans="1:4" ht="15.75" customHeight="1" x14ac:dyDescent="0.25">
      <c r="A1553" s="14">
        <v>1006913</v>
      </c>
      <c r="B1553" s="14" t="s">
        <v>3013</v>
      </c>
      <c r="D1553" s="14" t="s">
        <v>69</v>
      </c>
    </row>
    <row r="1554" spans="1:4" ht="15.75" customHeight="1" x14ac:dyDescent="0.25">
      <c r="A1554" s="14">
        <v>1006914</v>
      </c>
      <c r="B1554" s="14" t="s">
        <v>3014</v>
      </c>
      <c r="D1554" s="14" t="s">
        <v>69</v>
      </c>
    </row>
    <row r="1555" spans="1:4" ht="15.75" customHeight="1" x14ac:dyDescent="0.25">
      <c r="A1555" s="14">
        <v>1006915</v>
      </c>
      <c r="B1555" s="14" t="s">
        <v>3015</v>
      </c>
      <c r="D1555" s="14" t="s">
        <v>69</v>
      </c>
    </row>
    <row r="1556" spans="1:4" ht="15.75" customHeight="1" x14ac:dyDescent="0.25">
      <c r="A1556" s="14">
        <v>1002140</v>
      </c>
      <c r="B1556" s="14" t="s">
        <v>653</v>
      </c>
      <c r="D1556" s="14" t="s">
        <v>69</v>
      </c>
    </row>
    <row r="1557" spans="1:4" ht="15.75" customHeight="1" x14ac:dyDescent="0.25">
      <c r="A1557" s="14">
        <v>1001992</v>
      </c>
      <c r="B1557" s="14" t="s">
        <v>655</v>
      </c>
      <c r="D1557" s="14" t="s">
        <v>69</v>
      </c>
    </row>
    <row r="1558" spans="1:4" ht="15.75" customHeight="1" x14ac:dyDescent="0.25">
      <c r="A1558" s="14">
        <v>1001993</v>
      </c>
      <c r="B1558" s="14" t="s">
        <v>657</v>
      </c>
      <c r="D1558" s="14" t="s">
        <v>69</v>
      </c>
    </row>
    <row r="1559" spans="1:4" ht="15.75" customHeight="1" x14ac:dyDescent="0.25">
      <c r="A1559" s="14">
        <v>1001994</v>
      </c>
      <c r="B1559" s="14" t="s">
        <v>659</v>
      </c>
      <c r="D1559" s="14" t="s">
        <v>69</v>
      </c>
    </row>
    <row r="1560" spans="1:4" ht="15.75" customHeight="1" x14ac:dyDescent="0.25">
      <c r="A1560" s="14">
        <v>1001998</v>
      </c>
      <c r="B1560" s="14" t="s">
        <v>661</v>
      </c>
      <c r="D1560" s="14" t="s">
        <v>69</v>
      </c>
    </row>
    <row r="1561" spans="1:4" ht="15.75" customHeight="1" x14ac:dyDescent="0.25">
      <c r="A1561" s="14">
        <v>1006798</v>
      </c>
      <c r="B1561" s="14" t="s">
        <v>663</v>
      </c>
      <c r="D1561" s="14" t="s">
        <v>69</v>
      </c>
    </row>
    <row r="1562" spans="1:4" ht="15.75" customHeight="1" x14ac:dyDescent="0.25">
      <c r="A1562" s="14">
        <v>1000878</v>
      </c>
      <c r="B1562" s="14" t="s">
        <v>665</v>
      </c>
      <c r="D1562" s="14" t="s">
        <v>69</v>
      </c>
    </row>
    <row r="1563" spans="1:4" ht="15.75" customHeight="1" x14ac:dyDescent="0.25">
      <c r="A1563" s="14">
        <v>1002322</v>
      </c>
      <c r="B1563" s="14" t="s">
        <v>3016</v>
      </c>
      <c r="D1563" s="14" t="s">
        <v>69</v>
      </c>
    </row>
    <row r="1564" spans="1:4" ht="15.75" customHeight="1" x14ac:dyDescent="0.25">
      <c r="A1564" s="14">
        <v>1002324</v>
      </c>
      <c r="B1564" s="14" t="s">
        <v>3017</v>
      </c>
      <c r="D1564" s="14" t="s">
        <v>69</v>
      </c>
    </row>
    <row r="1565" spans="1:4" ht="15.75" customHeight="1" x14ac:dyDescent="0.25">
      <c r="A1565" s="14">
        <v>1002325</v>
      </c>
      <c r="B1565" s="14" t="s">
        <v>675</v>
      </c>
      <c r="D1565" s="14" t="s">
        <v>69</v>
      </c>
    </row>
    <row r="1566" spans="1:4" ht="15.75" customHeight="1" x14ac:dyDescent="0.25">
      <c r="A1566" s="14">
        <v>1002323</v>
      </c>
      <c r="B1566" s="14" t="s">
        <v>3018</v>
      </c>
      <c r="D1566" s="14" t="s">
        <v>69</v>
      </c>
    </row>
    <row r="1567" spans="1:4" ht="15.75" customHeight="1" x14ac:dyDescent="0.25">
      <c r="A1567" s="14">
        <v>1002321</v>
      </c>
      <c r="B1567" s="14" t="s">
        <v>3019</v>
      </c>
      <c r="D1567" s="14" t="s">
        <v>69</v>
      </c>
    </row>
    <row r="1568" spans="1:4" ht="15.75" customHeight="1" x14ac:dyDescent="0.25">
      <c r="A1568" s="14">
        <v>1008925</v>
      </c>
      <c r="B1568" s="14" t="s">
        <v>3020</v>
      </c>
      <c r="D1568" s="14" t="s">
        <v>69</v>
      </c>
    </row>
    <row r="1569" spans="1:4" ht="15.75" customHeight="1" x14ac:dyDescent="0.25">
      <c r="A1569" s="14">
        <v>1001995</v>
      </c>
      <c r="B1569" s="14" t="s">
        <v>667</v>
      </c>
      <c r="D1569" s="14" t="s">
        <v>69</v>
      </c>
    </row>
    <row r="1570" spans="1:4" ht="15.75" customHeight="1" x14ac:dyDescent="0.25">
      <c r="A1570" s="14">
        <v>1001996</v>
      </c>
      <c r="B1570" s="14" t="s">
        <v>669</v>
      </c>
      <c r="D1570" s="14" t="s">
        <v>69</v>
      </c>
    </row>
    <row r="1571" spans="1:4" ht="15.75" customHeight="1" x14ac:dyDescent="0.25">
      <c r="A1571" s="14">
        <v>1001997</v>
      </c>
      <c r="B1571" s="14" t="s">
        <v>671</v>
      </c>
      <c r="D1571" s="14" t="s">
        <v>69</v>
      </c>
    </row>
    <row r="1572" spans="1:4" ht="15.75" customHeight="1" x14ac:dyDescent="0.25">
      <c r="A1572" s="14">
        <v>1001999</v>
      </c>
      <c r="B1572" s="14" t="s">
        <v>673</v>
      </c>
      <c r="D1572" s="14" t="s">
        <v>69</v>
      </c>
    </row>
    <row r="1573" spans="1:4" ht="15.75" customHeight="1" x14ac:dyDescent="0.25">
      <c r="A1573" s="14">
        <v>1002319</v>
      </c>
      <c r="B1573" s="14" t="s">
        <v>3021</v>
      </c>
      <c r="D1573" s="14" t="s">
        <v>69</v>
      </c>
    </row>
    <row r="1574" spans="1:4" ht="15.75" customHeight="1" x14ac:dyDescent="0.25">
      <c r="A1574" s="14">
        <v>1002318</v>
      </c>
      <c r="B1574" s="14" t="s">
        <v>677</v>
      </c>
      <c r="D1574" s="14" t="s">
        <v>69</v>
      </c>
    </row>
    <row r="1575" spans="1:4" ht="15.75" customHeight="1" x14ac:dyDescent="0.25">
      <c r="A1575" s="14">
        <v>1002363</v>
      </c>
      <c r="B1575" s="14" t="s">
        <v>3022</v>
      </c>
      <c r="D1575" s="14" t="s">
        <v>69</v>
      </c>
    </row>
    <row r="1576" spans="1:4" ht="15.75" customHeight="1" x14ac:dyDescent="0.25">
      <c r="A1576" s="14">
        <v>1002354</v>
      </c>
      <c r="B1576" s="14" t="s">
        <v>244</v>
      </c>
      <c r="D1576" s="14" t="s">
        <v>69</v>
      </c>
    </row>
    <row r="1577" spans="1:4" ht="15.75" customHeight="1" x14ac:dyDescent="0.25">
      <c r="A1577" s="14">
        <v>1002003</v>
      </c>
      <c r="B1577" s="14" t="s">
        <v>245</v>
      </c>
      <c r="D1577" s="14" t="s">
        <v>69</v>
      </c>
    </row>
    <row r="1578" spans="1:4" ht="15.75" customHeight="1" x14ac:dyDescent="0.25">
      <c r="A1578" s="14">
        <v>1002187</v>
      </c>
      <c r="B1578" s="14" t="s">
        <v>246</v>
      </c>
      <c r="D1578" s="14" t="s">
        <v>69</v>
      </c>
    </row>
    <row r="1579" spans="1:4" ht="15.75" customHeight="1" x14ac:dyDescent="0.25">
      <c r="A1579" s="14">
        <v>1002186</v>
      </c>
      <c r="B1579" s="14" t="s">
        <v>247</v>
      </c>
      <c r="D1579" s="14" t="s">
        <v>69</v>
      </c>
    </row>
    <row r="1580" spans="1:4" ht="15.75" customHeight="1" x14ac:dyDescent="0.25">
      <c r="A1580" s="14">
        <v>1008923</v>
      </c>
      <c r="B1580" s="14" t="s">
        <v>506</v>
      </c>
      <c r="D1580" s="14" t="s">
        <v>69</v>
      </c>
    </row>
    <row r="1581" spans="1:4" ht="15.75" customHeight="1" x14ac:dyDescent="0.25">
      <c r="A1581" s="14">
        <v>1001929</v>
      </c>
      <c r="B1581" s="14" t="s">
        <v>248</v>
      </c>
      <c r="D1581" s="14" t="s">
        <v>69</v>
      </c>
    </row>
    <row r="1582" spans="1:4" ht="15.75" customHeight="1" x14ac:dyDescent="0.25">
      <c r="A1582" s="14">
        <v>1001930</v>
      </c>
      <c r="B1582" s="14" t="s">
        <v>84</v>
      </c>
      <c r="D1582" s="14" t="s">
        <v>69</v>
      </c>
    </row>
    <row r="1583" spans="1:4" ht="15.75" customHeight="1" x14ac:dyDescent="0.25">
      <c r="A1583" s="14">
        <v>1001931</v>
      </c>
      <c r="B1583" s="14" t="s">
        <v>507</v>
      </c>
      <c r="D1583" s="14" t="s">
        <v>69</v>
      </c>
    </row>
    <row r="1584" spans="1:4" ht="15.75" customHeight="1" x14ac:dyDescent="0.25">
      <c r="A1584" s="14">
        <v>1001932</v>
      </c>
      <c r="B1584" s="14" t="s">
        <v>3023</v>
      </c>
      <c r="D1584" s="14" t="s">
        <v>69</v>
      </c>
    </row>
    <row r="1585" spans="1:4" ht="15.75" customHeight="1" x14ac:dyDescent="0.25">
      <c r="A1585" s="14">
        <v>1008922</v>
      </c>
      <c r="B1585" s="14" t="s">
        <v>249</v>
      </c>
      <c r="D1585" s="14" t="s">
        <v>69</v>
      </c>
    </row>
    <row r="1586" spans="1:4" ht="15.75" customHeight="1" x14ac:dyDescent="0.25">
      <c r="A1586" s="14">
        <v>1006909</v>
      </c>
      <c r="B1586" s="14" t="s">
        <v>251</v>
      </c>
      <c r="D1586" s="14" t="s">
        <v>69</v>
      </c>
    </row>
    <row r="1587" spans="1:4" ht="15.75" customHeight="1" x14ac:dyDescent="0.25">
      <c r="A1587" s="14">
        <v>1006906</v>
      </c>
      <c r="B1587" s="14" t="s">
        <v>252</v>
      </c>
      <c r="D1587" s="14" t="s">
        <v>69</v>
      </c>
    </row>
    <row r="1588" spans="1:4" ht="15.75" customHeight="1" x14ac:dyDescent="0.25">
      <c r="A1588" s="14">
        <v>1006907</v>
      </c>
      <c r="B1588" s="14" t="s">
        <v>253</v>
      </c>
      <c r="D1588" s="14" t="s">
        <v>69</v>
      </c>
    </row>
    <row r="1589" spans="1:4" ht="15.75" customHeight="1" x14ac:dyDescent="0.25">
      <c r="A1589" s="14">
        <v>1006857</v>
      </c>
      <c r="B1589" s="14" t="s">
        <v>508</v>
      </c>
      <c r="D1589" s="14" t="s">
        <v>69</v>
      </c>
    </row>
    <row r="1590" spans="1:4" ht="15.75" customHeight="1" x14ac:dyDescent="0.25">
      <c r="A1590" s="14">
        <v>1002147</v>
      </c>
      <c r="B1590" s="14" t="s">
        <v>509</v>
      </c>
      <c r="D1590" s="14" t="s">
        <v>69</v>
      </c>
    </row>
    <row r="1591" spans="1:4" ht="15.75" customHeight="1" x14ac:dyDescent="0.25">
      <c r="A1591" s="14">
        <v>1006853</v>
      </c>
      <c r="B1591" s="14" t="s">
        <v>510</v>
      </c>
      <c r="D1591" s="14" t="s">
        <v>69</v>
      </c>
    </row>
    <row r="1592" spans="1:4" ht="15.75" customHeight="1" x14ac:dyDescent="0.25">
      <c r="A1592" s="14">
        <v>1006854</v>
      </c>
      <c r="B1592" s="14" t="s">
        <v>511</v>
      </c>
      <c r="D1592" s="14" t="s">
        <v>69</v>
      </c>
    </row>
    <row r="1593" spans="1:4" ht="15.75" customHeight="1" x14ac:dyDescent="0.25">
      <c r="A1593" s="14">
        <v>1006852</v>
      </c>
      <c r="B1593" s="14" t="s">
        <v>512</v>
      </c>
      <c r="D1593" s="14" t="s">
        <v>69</v>
      </c>
    </row>
    <row r="1594" spans="1:4" ht="15.75" customHeight="1" x14ac:dyDescent="0.25">
      <c r="A1594" s="14">
        <v>1006851</v>
      </c>
      <c r="B1594" s="14" t="s">
        <v>513</v>
      </c>
      <c r="D1594" s="14" t="s">
        <v>69</v>
      </c>
    </row>
    <row r="1595" spans="1:4" ht="15.75" customHeight="1" x14ac:dyDescent="0.25">
      <c r="A1595" s="14">
        <v>1006856</v>
      </c>
      <c r="B1595" s="14" t="s">
        <v>514</v>
      </c>
      <c r="D1595" s="14" t="s">
        <v>69</v>
      </c>
    </row>
    <row r="1596" spans="1:4" ht="15.75" customHeight="1" x14ac:dyDescent="0.25">
      <c r="A1596" s="14">
        <v>1002098</v>
      </c>
      <c r="B1596" s="14" t="s">
        <v>3024</v>
      </c>
      <c r="D1596" s="14" t="s">
        <v>69</v>
      </c>
    </row>
    <row r="1597" spans="1:4" ht="15.75" customHeight="1" x14ac:dyDescent="0.25">
      <c r="A1597" s="14">
        <v>1002097</v>
      </c>
      <c r="B1597" s="14" t="s">
        <v>3025</v>
      </c>
      <c r="D1597" s="14" t="s">
        <v>69</v>
      </c>
    </row>
    <row r="1598" spans="1:4" ht="15.75" customHeight="1" x14ac:dyDescent="0.25">
      <c r="A1598" s="14">
        <v>1001622</v>
      </c>
      <c r="B1598" s="14" t="s">
        <v>86</v>
      </c>
      <c r="D1598" s="14" t="s">
        <v>69</v>
      </c>
    </row>
    <row r="1599" spans="1:4" ht="15.75" customHeight="1" x14ac:dyDescent="0.25">
      <c r="A1599" s="14">
        <v>1002366</v>
      </c>
      <c r="B1599" s="14" t="s">
        <v>255</v>
      </c>
      <c r="D1599" s="14" t="s">
        <v>69</v>
      </c>
    </row>
    <row r="1600" spans="1:4" ht="15.75" customHeight="1" x14ac:dyDescent="0.25">
      <c r="A1600" s="14">
        <v>1001512</v>
      </c>
      <c r="B1600" s="14" t="s">
        <v>87</v>
      </c>
      <c r="D1600" s="14" t="s">
        <v>69</v>
      </c>
    </row>
    <row r="1601" spans="1:4" ht="15.75" customHeight="1" x14ac:dyDescent="0.25">
      <c r="A1601" s="14">
        <v>1001513</v>
      </c>
      <c r="B1601" s="14" t="s">
        <v>88</v>
      </c>
      <c r="D1601" s="14" t="s">
        <v>69</v>
      </c>
    </row>
    <row r="1602" spans="1:4" ht="15.75" customHeight="1" x14ac:dyDescent="0.25">
      <c r="A1602" s="14">
        <v>1001973</v>
      </c>
      <c r="B1602" s="14" t="s">
        <v>89</v>
      </c>
      <c r="D1602" s="14" t="s">
        <v>69</v>
      </c>
    </row>
    <row r="1603" spans="1:4" ht="15.75" customHeight="1" x14ac:dyDescent="0.25">
      <c r="A1603" s="14">
        <v>1002020</v>
      </c>
      <c r="B1603" s="14" t="s">
        <v>515</v>
      </c>
      <c r="D1603" s="14" t="s">
        <v>69</v>
      </c>
    </row>
    <row r="1604" spans="1:4" ht="15.75" customHeight="1" x14ac:dyDescent="0.25">
      <c r="A1604" s="14">
        <v>1001514</v>
      </c>
      <c r="B1604" s="14" t="s">
        <v>256</v>
      </c>
      <c r="D1604" s="14" t="s">
        <v>69</v>
      </c>
    </row>
    <row r="1605" spans="1:4" ht="15.75" customHeight="1" x14ac:dyDescent="0.25">
      <c r="A1605" s="14">
        <v>1001508</v>
      </c>
      <c r="B1605" s="14" t="s">
        <v>3026</v>
      </c>
      <c r="D1605" s="14" t="s">
        <v>69</v>
      </c>
    </row>
    <row r="1606" spans="1:4" ht="15.75" customHeight="1" x14ac:dyDescent="0.25">
      <c r="A1606" s="14">
        <v>1001509</v>
      </c>
      <c r="B1606" s="14" t="s">
        <v>3027</v>
      </c>
      <c r="D1606" s="14" t="s">
        <v>69</v>
      </c>
    </row>
    <row r="1607" spans="1:4" ht="15.75" customHeight="1" x14ac:dyDescent="0.25">
      <c r="A1607" s="14">
        <v>1001696</v>
      </c>
      <c r="B1607" s="14" t="s">
        <v>90</v>
      </c>
      <c r="D1607" s="14" t="s">
        <v>69</v>
      </c>
    </row>
    <row r="1608" spans="1:4" ht="15.75" customHeight="1" x14ac:dyDescent="0.25">
      <c r="A1608" s="14">
        <v>1002159</v>
      </c>
      <c r="B1608" s="14" t="s">
        <v>3028</v>
      </c>
      <c r="D1608" s="14" t="s">
        <v>69</v>
      </c>
    </row>
    <row r="1609" spans="1:4" ht="15.75" customHeight="1" x14ac:dyDescent="0.25">
      <c r="A1609" s="14">
        <v>1001693</v>
      </c>
      <c r="B1609" s="14" t="s">
        <v>259</v>
      </c>
      <c r="D1609" s="14" t="s">
        <v>69</v>
      </c>
    </row>
    <row r="1610" spans="1:4" ht="15.75" customHeight="1" x14ac:dyDescent="0.25">
      <c r="A1610" s="14">
        <v>1002158</v>
      </c>
      <c r="B1610" s="14" t="s">
        <v>91</v>
      </c>
      <c r="D1610" s="14" t="s">
        <v>69</v>
      </c>
    </row>
    <row r="1611" spans="1:4" ht="15.75" customHeight="1" x14ac:dyDescent="0.25">
      <c r="A1611" s="14">
        <v>1001695</v>
      </c>
      <c r="B1611" s="14" t="s">
        <v>260</v>
      </c>
      <c r="D1611" s="14" t="s">
        <v>69</v>
      </c>
    </row>
    <row r="1612" spans="1:4" ht="15.75" customHeight="1" x14ac:dyDescent="0.25">
      <c r="A1612" s="14">
        <v>1002183</v>
      </c>
      <c r="B1612" s="14" t="s">
        <v>261</v>
      </c>
      <c r="D1612" s="14" t="s">
        <v>69</v>
      </c>
    </row>
    <row r="1613" spans="1:4" ht="15.75" customHeight="1" x14ac:dyDescent="0.25">
      <c r="A1613" s="14">
        <v>1001920</v>
      </c>
      <c r="B1613" s="14" t="s">
        <v>3029</v>
      </c>
      <c r="D1613" s="14" t="s">
        <v>69</v>
      </c>
    </row>
    <row r="1614" spans="1:4" ht="15.75" customHeight="1" x14ac:dyDescent="0.25">
      <c r="A1614" s="14">
        <v>1002317</v>
      </c>
      <c r="B1614" s="14" t="s">
        <v>3030</v>
      </c>
      <c r="D1614" s="14" t="s">
        <v>69</v>
      </c>
    </row>
    <row r="1615" spans="1:4" ht="15.75" customHeight="1" x14ac:dyDescent="0.25">
      <c r="A1615" s="14">
        <v>1002279</v>
      </c>
      <c r="B1615" s="14" t="s">
        <v>3031</v>
      </c>
      <c r="D1615" s="14" t="s">
        <v>69</v>
      </c>
    </row>
    <row r="1616" spans="1:4" ht="15.75" customHeight="1" x14ac:dyDescent="0.25">
      <c r="A1616" s="14">
        <v>1002280</v>
      </c>
      <c r="B1616" s="14" t="s">
        <v>3032</v>
      </c>
      <c r="D1616" s="14" t="s">
        <v>69</v>
      </c>
    </row>
    <row r="1617" spans="1:4" ht="15.75" customHeight="1" x14ac:dyDescent="0.25">
      <c r="A1617" s="14">
        <v>1002277</v>
      </c>
      <c r="B1617" s="14" t="s">
        <v>3033</v>
      </c>
      <c r="D1617" s="14" t="s">
        <v>69</v>
      </c>
    </row>
    <row r="1618" spans="1:4" ht="15.75" customHeight="1" x14ac:dyDescent="0.25">
      <c r="A1618" s="14">
        <v>1006871</v>
      </c>
      <c r="B1618" s="14" t="s">
        <v>3034</v>
      </c>
      <c r="D1618" s="14" t="s">
        <v>69</v>
      </c>
    </row>
    <row r="1619" spans="1:4" ht="15.75" customHeight="1" x14ac:dyDescent="0.25">
      <c r="A1619" s="14">
        <v>1002009</v>
      </c>
      <c r="B1619" s="14" t="s">
        <v>3035</v>
      </c>
      <c r="D1619" s="14" t="s">
        <v>69</v>
      </c>
    </row>
    <row r="1620" spans="1:4" ht="15.75" customHeight="1" x14ac:dyDescent="0.25">
      <c r="A1620" s="14">
        <v>1002010</v>
      </c>
      <c r="B1620" s="14" t="s">
        <v>3036</v>
      </c>
      <c r="D1620" s="14" t="s">
        <v>69</v>
      </c>
    </row>
    <row r="1621" spans="1:4" ht="15.75" customHeight="1" x14ac:dyDescent="0.25">
      <c r="A1621" s="14">
        <v>1001909</v>
      </c>
      <c r="B1621" s="14" t="s">
        <v>3037</v>
      </c>
      <c r="D1621" s="14" t="s">
        <v>69</v>
      </c>
    </row>
    <row r="1622" spans="1:4" ht="15.75" customHeight="1" x14ac:dyDescent="0.25">
      <c r="A1622" s="14">
        <v>1001906</v>
      </c>
      <c r="B1622" s="14" t="s">
        <v>516</v>
      </c>
      <c r="D1622" s="14" t="s">
        <v>69</v>
      </c>
    </row>
    <row r="1623" spans="1:4" ht="15.75" customHeight="1" x14ac:dyDescent="0.25">
      <c r="A1623" s="14">
        <v>1001907</v>
      </c>
      <c r="B1623" s="14" t="s">
        <v>3038</v>
      </c>
      <c r="D1623" s="14" t="s">
        <v>69</v>
      </c>
    </row>
    <row r="1624" spans="1:4" ht="15.75" customHeight="1" x14ac:dyDescent="0.25">
      <c r="A1624" s="14">
        <v>1001905</v>
      </c>
      <c r="B1624" s="14" t="s">
        <v>3039</v>
      </c>
      <c r="D1624" s="14" t="s">
        <v>69</v>
      </c>
    </row>
    <row r="1625" spans="1:4" ht="15.75" customHeight="1" x14ac:dyDescent="0.25">
      <c r="A1625" s="14">
        <v>10015633</v>
      </c>
      <c r="B1625" s="14" t="s">
        <v>3040</v>
      </c>
      <c r="D1625" s="14" t="s">
        <v>69</v>
      </c>
    </row>
    <row r="1626" spans="1:4" ht="15.75" customHeight="1" x14ac:dyDescent="0.25">
      <c r="A1626" s="14">
        <v>10015622</v>
      </c>
      <c r="B1626" s="14" t="s">
        <v>3041</v>
      </c>
      <c r="D1626" s="14" t="s">
        <v>69</v>
      </c>
    </row>
    <row r="1627" spans="1:4" ht="15.75" customHeight="1" x14ac:dyDescent="0.25">
      <c r="A1627" s="14">
        <v>1001302</v>
      </c>
      <c r="B1627" s="14" t="s">
        <v>96</v>
      </c>
      <c r="D1627" s="14" t="s">
        <v>69</v>
      </c>
    </row>
    <row r="1628" spans="1:4" ht="15.75" customHeight="1" x14ac:dyDescent="0.25">
      <c r="A1628" s="14">
        <v>1001190</v>
      </c>
      <c r="B1628" s="14" t="s">
        <v>97</v>
      </c>
      <c r="D1628" s="14" t="s">
        <v>69</v>
      </c>
    </row>
    <row r="1629" spans="1:4" ht="15.75" customHeight="1" x14ac:dyDescent="0.25">
      <c r="A1629" s="14">
        <v>1001237</v>
      </c>
      <c r="B1629" s="14" t="s">
        <v>268</v>
      </c>
      <c r="D1629" s="14" t="s">
        <v>69</v>
      </c>
    </row>
    <row r="1630" spans="1:4" ht="15.75" customHeight="1" x14ac:dyDescent="0.25">
      <c r="A1630" s="14">
        <v>1000140</v>
      </c>
      <c r="B1630" s="14" t="s">
        <v>269</v>
      </c>
      <c r="D1630" s="14" t="s">
        <v>69</v>
      </c>
    </row>
    <row r="1631" spans="1:4" ht="15.75" customHeight="1" x14ac:dyDescent="0.25">
      <c r="A1631" s="14">
        <v>1000496</v>
      </c>
      <c r="B1631" s="14" t="s">
        <v>682</v>
      </c>
      <c r="D1631" s="14" t="s">
        <v>69</v>
      </c>
    </row>
    <row r="1632" spans="1:4" ht="15.75" customHeight="1" x14ac:dyDescent="0.25">
      <c r="A1632" s="14">
        <v>1002253</v>
      </c>
      <c r="B1632" s="14" t="s">
        <v>98</v>
      </c>
      <c r="D1632" s="14" t="s">
        <v>69</v>
      </c>
    </row>
    <row r="1633" spans="1:4" ht="15.75" customHeight="1" x14ac:dyDescent="0.25">
      <c r="A1633" s="14">
        <v>1000495</v>
      </c>
      <c r="B1633" s="14" t="s">
        <v>270</v>
      </c>
      <c r="D1633" s="14" t="s">
        <v>69</v>
      </c>
    </row>
    <row r="1634" spans="1:4" ht="15.75" customHeight="1" x14ac:dyDescent="0.25">
      <c r="A1634" s="14">
        <v>1000146</v>
      </c>
      <c r="B1634" s="14" t="s">
        <v>99</v>
      </c>
      <c r="D1634" s="14" t="s">
        <v>69</v>
      </c>
    </row>
    <row r="1635" spans="1:4" ht="15.75" customHeight="1" x14ac:dyDescent="0.25">
      <c r="A1635" s="14">
        <v>1002188</v>
      </c>
      <c r="B1635" s="14" t="s">
        <v>3042</v>
      </c>
      <c r="D1635" s="14" t="s">
        <v>69</v>
      </c>
    </row>
    <row r="1636" spans="1:4" ht="15.75" customHeight="1" x14ac:dyDescent="0.25">
      <c r="A1636" s="14">
        <v>1001224</v>
      </c>
      <c r="B1636" s="14" t="s">
        <v>3043</v>
      </c>
      <c r="D1636" s="14" t="s">
        <v>69</v>
      </c>
    </row>
    <row r="1637" spans="1:4" ht="15.75" customHeight="1" x14ac:dyDescent="0.25">
      <c r="A1637" s="14">
        <v>1006018</v>
      </c>
      <c r="B1637" s="14" t="s">
        <v>724</v>
      </c>
      <c r="D1637" s="14" t="s">
        <v>69</v>
      </c>
    </row>
    <row r="1638" spans="1:4" ht="15.75" customHeight="1" x14ac:dyDescent="0.25">
      <c r="A1638" s="14">
        <v>1002341</v>
      </c>
      <c r="B1638" s="14" t="s">
        <v>727</v>
      </c>
      <c r="D1638" s="14" t="s">
        <v>69</v>
      </c>
    </row>
    <row r="1639" spans="1:4" ht="15.75" customHeight="1" x14ac:dyDescent="0.25">
      <c r="A1639" s="14">
        <v>1002262</v>
      </c>
      <c r="B1639" s="14" t="s">
        <v>518</v>
      </c>
      <c r="D1639" s="14" t="s">
        <v>69</v>
      </c>
    </row>
    <row r="1640" spans="1:4" ht="15.75" customHeight="1" x14ac:dyDescent="0.25">
      <c r="A1640" s="14">
        <v>1000204</v>
      </c>
      <c r="B1640" s="14" t="s">
        <v>519</v>
      </c>
      <c r="D1640" s="14" t="s">
        <v>69</v>
      </c>
    </row>
    <row r="1641" spans="1:4" ht="15.75" customHeight="1" x14ac:dyDescent="0.25">
      <c r="A1641" s="14">
        <v>2000456</v>
      </c>
      <c r="B1641" s="14" t="s">
        <v>440</v>
      </c>
      <c r="D1641" s="14" t="s">
        <v>69</v>
      </c>
    </row>
    <row r="1642" spans="1:4" ht="15.75" customHeight="1" x14ac:dyDescent="0.25">
      <c r="A1642" s="14">
        <v>1000206</v>
      </c>
      <c r="B1642" s="14" t="s">
        <v>102</v>
      </c>
      <c r="D1642" s="14" t="s">
        <v>69</v>
      </c>
    </row>
    <row r="1643" spans="1:4" ht="15.75" customHeight="1" x14ac:dyDescent="0.25">
      <c r="A1643" s="14">
        <v>1001254</v>
      </c>
      <c r="B1643" s="14" t="s">
        <v>271</v>
      </c>
      <c r="D1643" s="14" t="s">
        <v>69</v>
      </c>
    </row>
    <row r="1644" spans="1:4" ht="15.75" customHeight="1" x14ac:dyDescent="0.25">
      <c r="A1644" s="14">
        <v>1000208</v>
      </c>
      <c r="B1644" s="14" t="s">
        <v>103</v>
      </c>
      <c r="D1644" s="14" t="s">
        <v>69</v>
      </c>
    </row>
    <row r="1645" spans="1:4" ht="15.75" customHeight="1" x14ac:dyDescent="0.25">
      <c r="A1645" s="14">
        <v>1000209</v>
      </c>
      <c r="B1645" s="14" t="s">
        <v>742</v>
      </c>
      <c r="D1645" s="14" t="s">
        <v>69</v>
      </c>
    </row>
    <row r="1646" spans="1:4" ht="15.75" customHeight="1" x14ac:dyDescent="0.25">
      <c r="A1646" s="14">
        <v>1002030</v>
      </c>
      <c r="B1646" s="14" t="s">
        <v>744</v>
      </c>
      <c r="D1646" s="14" t="s">
        <v>69</v>
      </c>
    </row>
    <row r="1647" spans="1:4" ht="15.75" customHeight="1" x14ac:dyDescent="0.25">
      <c r="A1647" s="14">
        <v>1001444</v>
      </c>
      <c r="B1647" s="14" t="s">
        <v>3044</v>
      </c>
      <c r="D1647" s="14" t="s">
        <v>69</v>
      </c>
    </row>
    <row r="1648" spans="1:4" ht="15.75" customHeight="1" x14ac:dyDescent="0.25">
      <c r="A1648" s="14">
        <v>1000480</v>
      </c>
      <c r="B1648" s="14" t="s">
        <v>520</v>
      </c>
      <c r="D1648" s="14" t="s">
        <v>69</v>
      </c>
    </row>
    <row r="1649" spans="1:4" ht="15.75" customHeight="1" x14ac:dyDescent="0.25">
      <c r="A1649" s="14">
        <v>1006151</v>
      </c>
      <c r="B1649" s="14" t="s">
        <v>275</v>
      </c>
      <c r="D1649" s="14" t="s">
        <v>69</v>
      </c>
    </row>
    <row r="1650" spans="1:4" ht="15.75" customHeight="1" x14ac:dyDescent="0.25">
      <c r="A1650" s="14">
        <v>1001854</v>
      </c>
      <c r="B1650" s="14" t="s">
        <v>105</v>
      </c>
      <c r="D1650" s="14" t="s">
        <v>69</v>
      </c>
    </row>
    <row r="1651" spans="1:4" ht="15.75" customHeight="1" x14ac:dyDescent="0.25">
      <c r="A1651" s="14">
        <v>1001234</v>
      </c>
      <c r="B1651" s="14" t="s">
        <v>748</v>
      </c>
      <c r="D1651" s="14" t="s">
        <v>69</v>
      </c>
    </row>
    <row r="1652" spans="1:4" ht="15.75" customHeight="1" x14ac:dyDescent="0.25">
      <c r="A1652" s="14" t="s">
        <v>754</v>
      </c>
      <c r="B1652" s="14" t="s">
        <v>755</v>
      </c>
      <c r="D1652" s="14" t="s">
        <v>69</v>
      </c>
    </row>
    <row r="1653" spans="1:4" ht="15.75" customHeight="1" x14ac:dyDescent="0.25">
      <c r="A1653" s="14" t="s">
        <v>3045</v>
      </c>
      <c r="B1653" s="14" t="s">
        <v>3046</v>
      </c>
      <c r="D1653" s="14" t="s">
        <v>69</v>
      </c>
    </row>
    <row r="1654" spans="1:4" ht="15.75" customHeight="1" x14ac:dyDescent="0.25">
      <c r="A1654" s="14" t="s">
        <v>3047</v>
      </c>
      <c r="B1654" s="14" t="s">
        <v>3048</v>
      </c>
      <c r="D1654" s="14" t="s">
        <v>69</v>
      </c>
    </row>
    <row r="1655" spans="1:4" ht="15.75" customHeight="1" x14ac:dyDescent="0.25">
      <c r="A1655" s="14" t="s">
        <v>3049</v>
      </c>
      <c r="B1655" s="14" t="s">
        <v>3050</v>
      </c>
      <c r="D1655" s="14" t="s">
        <v>69</v>
      </c>
    </row>
    <row r="1656" spans="1:4" ht="15.75" customHeight="1" x14ac:dyDescent="0.25">
      <c r="A1656" s="14" t="s">
        <v>3051</v>
      </c>
      <c r="B1656" s="14" t="s">
        <v>3052</v>
      </c>
      <c r="D1656" s="14" t="s">
        <v>69</v>
      </c>
    </row>
    <row r="1657" spans="1:4" ht="15.75" customHeight="1" x14ac:dyDescent="0.25">
      <c r="A1657" s="14" t="s">
        <v>3053</v>
      </c>
      <c r="B1657" s="14" t="s">
        <v>3054</v>
      </c>
      <c r="D1657" s="14" t="s">
        <v>69</v>
      </c>
    </row>
    <row r="1658" spans="1:4" ht="15.75" customHeight="1" x14ac:dyDescent="0.25">
      <c r="A1658" s="14" t="s">
        <v>782</v>
      </c>
      <c r="B1658" s="14" t="s">
        <v>783</v>
      </c>
      <c r="D1658" s="14" t="s">
        <v>69</v>
      </c>
    </row>
    <row r="1659" spans="1:4" ht="15.75" customHeight="1" x14ac:dyDescent="0.25">
      <c r="A1659" s="14" t="s">
        <v>784</v>
      </c>
      <c r="B1659" s="14" t="s">
        <v>785</v>
      </c>
      <c r="D1659" s="14" t="s">
        <v>69</v>
      </c>
    </row>
    <row r="1660" spans="1:4" ht="15.75" customHeight="1" x14ac:dyDescent="0.25">
      <c r="A1660" s="14" t="s">
        <v>786</v>
      </c>
      <c r="B1660" s="14" t="s">
        <v>787</v>
      </c>
      <c r="D1660" s="14" t="s">
        <v>69</v>
      </c>
    </row>
    <row r="1661" spans="1:4" ht="15.75" customHeight="1" x14ac:dyDescent="0.25">
      <c r="A1661" s="14" t="s">
        <v>788</v>
      </c>
      <c r="B1661" s="14" t="s">
        <v>789</v>
      </c>
      <c r="D1661" s="14" t="s">
        <v>69</v>
      </c>
    </row>
    <row r="1662" spans="1:4" ht="15.75" customHeight="1" x14ac:dyDescent="0.25">
      <c r="A1662" s="14" t="s">
        <v>790</v>
      </c>
      <c r="B1662" s="14" t="s">
        <v>791</v>
      </c>
      <c r="D1662" s="14" t="s">
        <v>69</v>
      </c>
    </row>
    <row r="1663" spans="1:4" ht="15.75" customHeight="1" x14ac:dyDescent="0.25">
      <c r="A1663" s="14" t="s">
        <v>792</v>
      </c>
      <c r="B1663" s="14" t="s">
        <v>793</v>
      </c>
      <c r="D1663" s="14" t="s">
        <v>69</v>
      </c>
    </row>
    <row r="1664" spans="1:4" ht="15.75" customHeight="1" x14ac:dyDescent="0.25">
      <c r="A1664" s="14" t="s">
        <v>794</v>
      </c>
      <c r="B1664" s="14" t="s">
        <v>795</v>
      </c>
      <c r="D1664" s="14" t="s">
        <v>69</v>
      </c>
    </row>
    <row r="1665" spans="1:4" ht="15.75" customHeight="1" x14ac:dyDescent="0.25">
      <c r="A1665" s="14" t="s">
        <v>796</v>
      </c>
      <c r="B1665" s="14" t="s">
        <v>797</v>
      </c>
      <c r="D1665" s="14" t="s">
        <v>69</v>
      </c>
    </row>
    <row r="1666" spans="1:4" ht="15.75" customHeight="1" x14ac:dyDescent="0.25">
      <c r="A1666" s="14" t="s">
        <v>798</v>
      </c>
      <c r="B1666" s="14" t="s">
        <v>799</v>
      </c>
      <c r="D1666" s="14" t="s">
        <v>69</v>
      </c>
    </row>
    <row r="1667" spans="1:4" ht="15.75" customHeight="1" x14ac:dyDescent="0.25">
      <c r="A1667" s="14" t="s">
        <v>800</v>
      </c>
      <c r="B1667" s="14" t="s">
        <v>801</v>
      </c>
      <c r="D1667" s="14" t="s">
        <v>69</v>
      </c>
    </row>
    <row r="1668" spans="1:4" ht="15.75" customHeight="1" x14ac:dyDescent="0.25">
      <c r="A1668" s="14" t="s">
        <v>802</v>
      </c>
      <c r="B1668" s="14" t="s">
        <v>803</v>
      </c>
      <c r="D1668" s="14" t="s">
        <v>69</v>
      </c>
    </row>
    <row r="1669" spans="1:4" ht="15.75" customHeight="1" x14ac:dyDescent="0.25">
      <c r="A1669" s="14" t="s">
        <v>804</v>
      </c>
      <c r="B1669" s="14" t="s">
        <v>805</v>
      </c>
      <c r="D1669" s="14" t="s">
        <v>69</v>
      </c>
    </row>
    <row r="1670" spans="1:4" ht="15.75" customHeight="1" x14ac:dyDescent="0.25">
      <c r="A1670" s="14" t="s">
        <v>3055</v>
      </c>
      <c r="B1670" s="14" t="s">
        <v>3056</v>
      </c>
      <c r="D1670" s="14" t="s">
        <v>69</v>
      </c>
    </row>
    <row r="1671" spans="1:4" ht="15.75" customHeight="1" x14ac:dyDescent="0.25">
      <c r="A1671" s="14" t="s">
        <v>3057</v>
      </c>
      <c r="B1671" s="14" t="s">
        <v>3058</v>
      </c>
      <c r="D1671" s="14" t="s">
        <v>69</v>
      </c>
    </row>
    <row r="1672" spans="1:4" ht="15.75" customHeight="1" x14ac:dyDescent="0.25">
      <c r="A1672" s="14" t="s">
        <v>3059</v>
      </c>
      <c r="B1672" s="14" t="s">
        <v>3060</v>
      </c>
      <c r="D1672" s="14" t="s">
        <v>69</v>
      </c>
    </row>
    <row r="1673" spans="1:4" ht="15.75" customHeight="1" x14ac:dyDescent="0.25">
      <c r="A1673" s="14" t="s">
        <v>3061</v>
      </c>
      <c r="B1673" s="14" t="s">
        <v>3062</v>
      </c>
      <c r="D1673" s="14" t="s">
        <v>69</v>
      </c>
    </row>
    <row r="1674" spans="1:4" ht="15.75" customHeight="1" x14ac:dyDescent="0.25">
      <c r="A1674" s="14" t="s">
        <v>3063</v>
      </c>
      <c r="B1674" s="14" t="s">
        <v>3064</v>
      </c>
      <c r="D1674" s="14" t="s">
        <v>69</v>
      </c>
    </row>
    <row r="1675" spans="1:4" ht="15.75" customHeight="1" x14ac:dyDescent="0.25">
      <c r="A1675" s="14" t="s">
        <v>3065</v>
      </c>
      <c r="B1675" s="14" t="s">
        <v>3066</v>
      </c>
      <c r="D1675" s="14" t="s">
        <v>69</v>
      </c>
    </row>
    <row r="1676" spans="1:4" ht="15.75" customHeight="1" x14ac:dyDescent="0.25">
      <c r="A1676" s="14" t="s">
        <v>3067</v>
      </c>
      <c r="B1676" s="14" t="s">
        <v>3068</v>
      </c>
      <c r="D1676" s="14" t="s">
        <v>69</v>
      </c>
    </row>
    <row r="1677" spans="1:4" ht="15.75" customHeight="1" x14ac:dyDescent="0.25">
      <c r="A1677" s="14" t="s">
        <v>3069</v>
      </c>
      <c r="B1677" s="14" t="s">
        <v>3070</v>
      </c>
      <c r="D1677" s="14" t="s">
        <v>69</v>
      </c>
    </row>
    <row r="1678" spans="1:4" ht="15.75" customHeight="1" x14ac:dyDescent="0.25">
      <c r="A1678" s="14" t="s">
        <v>3071</v>
      </c>
      <c r="B1678" s="14" t="s">
        <v>3072</v>
      </c>
      <c r="D1678" s="14" t="s">
        <v>69</v>
      </c>
    </row>
    <row r="1679" spans="1:4" ht="15.75" customHeight="1" x14ac:dyDescent="0.25">
      <c r="A1679" s="14" t="s">
        <v>3073</v>
      </c>
      <c r="B1679" s="14" t="s">
        <v>3074</v>
      </c>
      <c r="D1679" s="14" t="s">
        <v>69</v>
      </c>
    </row>
    <row r="1680" spans="1:4" ht="15.75" customHeight="1" x14ac:dyDescent="0.25">
      <c r="A1680" s="14" t="s">
        <v>3075</v>
      </c>
      <c r="B1680" s="14" t="s">
        <v>3076</v>
      </c>
      <c r="D1680" s="14" t="s">
        <v>69</v>
      </c>
    </row>
    <row r="1681" spans="1:4" ht="15.75" customHeight="1" x14ac:dyDescent="0.25">
      <c r="A1681" s="14" t="s">
        <v>3077</v>
      </c>
      <c r="B1681" s="14" t="s">
        <v>3078</v>
      </c>
      <c r="D1681" s="14" t="s">
        <v>69</v>
      </c>
    </row>
    <row r="1682" spans="1:4" ht="15.75" customHeight="1" x14ac:dyDescent="0.25">
      <c r="A1682" s="14" t="s">
        <v>3079</v>
      </c>
      <c r="B1682" s="14" t="s">
        <v>3080</v>
      </c>
      <c r="D1682" s="14" t="s">
        <v>69</v>
      </c>
    </row>
    <row r="1683" spans="1:4" ht="15.75" customHeight="1" x14ac:dyDescent="0.25">
      <c r="A1683" s="14" t="s">
        <v>3081</v>
      </c>
      <c r="B1683" s="14" t="s">
        <v>3082</v>
      </c>
      <c r="D1683" s="14" t="s">
        <v>69</v>
      </c>
    </row>
    <row r="1684" spans="1:4" ht="15.75" customHeight="1" x14ac:dyDescent="0.25">
      <c r="A1684" s="14" t="s">
        <v>834</v>
      </c>
      <c r="B1684" s="14" t="s">
        <v>835</v>
      </c>
      <c r="D1684" s="14" t="s">
        <v>69</v>
      </c>
    </row>
    <row r="1685" spans="1:4" ht="15.75" customHeight="1" x14ac:dyDescent="0.25">
      <c r="A1685" s="14" t="s">
        <v>836</v>
      </c>
      <c r="B1685" s="14" t="s">
        <v>837</v>
      </c>
      <c r="D1685" s="14" t="s">
        <v>69</v>
      </c>
    </row>
    <row r="1686" spans="1:4" ht="15.75" customHeight="1" x14ac:dyDescent="0.25">
      <c r="A1686" s="14" t="s">
        <v>838</v>
      </c>
      <c r="B1686" s="14" t="s">
        <v>839</v>
      </c>
      <c r="D1686" s="14" t="s">
        <v>69</v>
      </c>
    </row>
    <row r="1687" spans="1:4" ht="15.75" customHeight="1" x14ac:dyDescent="0.25">
      <c r="A1687" s="14" t="s">
        <v>840</v>
      </c>
      <c r="B1687" s="14" t="s">
        <v>841</v>
      </c>
      <c r="D1687" s="14" t="s">
        <v>69</v>
      </c>
    </row>
    <row r="1688" spans="1:4" ht="15.75" customHeight="1" x14ac:dyDescent="0.25">
      <c r="A1688" s="14" t="s">
        <v>842</v>
      </c>
      <c r="B1688" s="14" t="s">
        <v>843</v>
      </c>
      <c r="D1688" s="14" t="s">
        <v>69</v>
      </c>
    </row>
    <row r="1689" spans="1:4" ht="15.75" customHeight="1" x14ac:dyDescent="0.25">
      <c r="A1689" s="14" t="s">
        <v>844</v>
      </c>
      <c r="B1689" s="14" t="s">
        <v>845</v>
      </c>
      <c r="D1689" s="14" t="s">
        <v>69</v>
      </c>
    </row>
    <row r="1690" spans="1:4" ht="15.75" customHeight="1" x14ac:dyDescent="0.25">
      <c r="A1690" s="14" t="s">
        <v>3083</v>
      </c>
      <c r="B1690" s="14" t="s">
        <v>3084</v>
      </c>
      <c r="D1690" s="14" t="s">
        <v>69</v>
      </c>
    </row>
    <row r="1691" spans="1:4" ht="15.75" customHeight="1" x14ac:dyDescent="0.25">
      <c r="A1691" s="14" t="s">
        <v>3085</v>
      </c>
      <c r="B1691" s="14" t="s">
        <v>3086</v>
      </c>
      <c r="D1691" s="14" t="s">
        <v>69</v>
      </c>
    </row>
    <row r="1692" spans="1:4" ht="15.75" customHeight="1" x14ac:dyDescent="0.25">
      <c r="A1692" s="14" t="s">
        <v>3087</v>
      </c>
      <c r="B1692" s="14" t="s">
        <v>3088</v>
      </c>
      <c r="D1692" s="14" t="s">
        <v>69</v>
      </c>
    </row>
    <row r="1693" spans="1:4" ht="15.75" customHeight="1" x14ac:dyDescent="0.25">
      <c r="A1693" s="14" t="s">
        <v>848</v>
      </c>
      <c r="B1693" s="14" t="s">
        <v>849</v>
      </c>
      <c r="D1693" s="14" t="s">
        <v>69</v>
      </c>
    </row>
    <row r="1694" spans="1:4" ht="15.75" customHeight="1" x14ac:dyDescent="0.25">
      <c r="A1694" s="14" t="s">
        <v>3089</v>
      </c>
      <c r="B1694" s="14" t="s">
        <v>3090</v>
      </c>
      <c r="D1694" s="14" t="s">
        <v>69</v>
      </c>
    </row>
    <row r="1695" spans="1:4" ht="15.75" customHeight="1" x14ac:dyDescent="0.25">
      <c r="A1695" s="14" t="s">
        <v>3091</v>
      </c>
      <c r="B1695" s="14" t="s">
        <v>3092</v>
      </c>
      <c r="D1695" s="14" t="s">
        <v>69</v>
      </c>
    </row>
    <row r="1696" spans="1:4" ht="15.75" customHeight="1" x14ac:dyDescent="0.25">
      <c r="A1696" s="14" t="s">
        <v>3093</v>
      </c>
      <c r="B1696" s="14" t="s">
        <v>3094</v>
      </c>
      <c r="D1696" s="14" t="s">
        <v>69</v>
      </c>
    </row>
    <row r="1697" spans="1:4" ht="15.75" customHeight="1" x14ac:dyDescent="0.25">
      <c r="A1697" s="14" t="s">
        <v>3095</v>
      </c>
      <c r="B1697" s="14" t="s">
        <v>3096</v>
      </c>
      <c r="D1697" s="14" t="s">
        <v>69</v>
      </c>
    </row>
    <row r="1698" spans="1:4" ht="15.75" customHeight="1" x14ac:dyDescent="0.25">
      <c r="A1698" s="14" t="s">
        <v>3097</v>
      </c>
      <c r="B1698" s="14" t="s">
        <v>3098</v>
      </c>
      <c r="D1698" s="14" t="s">
        <v>69</v>
      </c>
    </row>
    <row r="1699" spans="1:4" ht="15.75" customHeight="1" x14ac:dyDescent="0.25">
      <c r="A1699" s="14" t="s">
        <v>3099</v>
      </c>
      <c r="B1699" s="14" t="s">
        <v>3100</v>
      </c>
      <c r="D1699" s="14" t="s">
        <v>69</v>
      </c>
    </row>
    <row r="1700" spans="1:4" ht="15.75" customHeight="1" x14ac:dyDescent="0.25">
      <c r="A1700" s="14" t="s">
        <v>3101</v>
      </c>
      <c r="B1700" s="14" t="s">
        <v>3102</v>
      </c>
      <c r="D1700" s="14" t="s">
        <v>69</v>
      </c>
    </row>
    <row r="1701" spans="1:4" ht="15.75" customHeight="1" x14ac:dyDescent="0.25">
      <c r="A1701" s="14" t="s">
        <v>3103</v>
      </c>
      <c r="B1701" s="14" t="s">
        <v>3104</v>
      </c>
      <c r="D1701" s="14" t="s">
        <v>69</v>
      </c>
    </row>
    <row r="1702" spans="1:4" ht="15.75" customHeight="1" x14ac:dyDescent="0.25">
      <c r="A1702" s="14" t="s">
        <v>3105</v>
      </c>
      <c r="B1702" s="14" t="s">
        <v>3106</v>
      </c>
      <c r="D1702" s="14" t="s">
        <v>69</v>
      </c>
    </row>
    <row r="1703" spans="1:4" ht="15.75" customHeight="1" x14ac:dyDescent="0.25">
      <c r="A1703" s="14" t="s">
        <v>3107</v>
      </c>
      <c r="B1703" s="14" t="s">
        <v>3108</v>
      </c>
      <c r="D1703" s="14" t="s">
        <v>69</v>
      </c>
    </row>
    <row r="1704" spans="1:4" ht="15.75" customHeight="1" x14ac:dyDescent="0.25">
      <c r="A1704" s="14" t="s">
        <v>3109</v>
      </c>
      <c r="B1704" s="14" t="s">
        <v>3110</v>
      </c>
      <c r="D1704" s="14" t="s">
        <v>69</v>
      </c>
    </row>
    <row r="1705" spans="1:4" ht="15.75" customHeight="1" x14ac:dyDescent="0.25">
      <c r="A1705" s="14" t="s">
        <v>3111</v>
      </c>
      <c r="B1705" s="14" t="s">
        <v>3112</v>
      </c>
      <c r="D1705" s="14" t="s">
        <v>69</v>
      </c>
    </row>
    <row r="1706" spans="1:4" ht="15.75" customHeight="1" x14ac:dyDescent="0.25">
      <c r="A1706" s="14" t="s">
        <v>3113</v>
      </c>
      <c r="B1706" s="14" t="s">
        <v>3114</v>
      </c>
      <c r="D1706" s="14" t="s">
        <v>69</v>
      </c>
    </row>
    <row r="1707" spans="1:4" ht="15.75" customHeight="1" x14ac:dyDescent="0.25">
      <c r="A1707" s="14" t="s">
        <v>3115</v>
      </c>
      <c r="B1707" s="14" t="s">
        <v>3116</v>
      </c>
      <c r="D1707" s="14" t="s">
        <v>69</v>
      </c>
    </row>
    <row r="1708" spans="1:4" ht="15.75" customHeight="1" x14ac:dyDescent="0.25">
      <c r="A1708" s="14" t="s">
        <v>3117</v>
      </c>
      <c r="B1708" s="14" t="s">
        <v>3118</v>
      </c>
      <c r="D1708" s="14" t="s">
        <v>69</v>
      </c>
    </row>
    <row r="1709" spans="1:4" ht="15.75" customHeight="1" x14ac:dyDescent="0.25">
      <c r="A1709" s="14" t="s">
        <v>3119</v>
      </c>
      <c r="B1709" s="14" t="s">
        <v>3120</v>
      </c>
      <c r="D1709" s="14" t="s">
        <v>69</v>
      </c>
    </row>
    <row r="1710" spans="1:4" ht="15.75" customHeight="1" x14ac:dyDescent="0.25">
      <c r="A1710" s="14" t="s">
        <v>3121</v>
      </c>
      <c r="B1710" s="14" t="s">
        <v>3122</v>
      </c>
      <c r="D1710" s="14" t="s">
        <v>69</v>
      </c>
    </row>
    <row r="1711" spans="1:4" ht="15.75" customHeight="1" x14ac:dyDescent="0.25">
      <c r="A1711" s="14" t="s">
        <v>3123</v>
      </c>
      <c r="B1711" s="14" t="s">
        <v>3124</v>
      </c>
      <c r="D1711" s="14" t="s">
        <v>69</v>
      </c>
    </row>
    <row r="1712" spans="1:4" ht="15.75" customHeight="1" x14ac:dyDescent="0.25">
      <c r="A1712" s="14" t="s">
        <v>3125</v>
      </c>
      <c r="B1712" s="14" t="s">
        <v>3126</v>
      </c>
      <c r="D1712" s="14" t="s">
        <v>69</v>
      </c>
    </row>
    <row r="1713" spans="1:4" ht="15.75" customHeight="1" x14ac:dyDescent="0.25">
      <c r="A1713" s="14" t="s">
        <v>3127</v>
      </c>
      <c r="B1713" s="14" t="s">
        <v>3128</v>
      </c>
      <c r="D1713" s="14" t="s">
        <v>69</v>
      </c>
    </row>
    <row r="1714" spans="1:4" ht="15.75" customHeight="1" x14ac:dyDescent="0.25">
      <c r="A1714" s="14" t="s">
        <v>3129</v>
      </c>
      <c r="B1714" s="14" t="s">
        <v>3130</v>
      </c>
      <c r="D1714" s="14" t="s">
        <v>69</v>
      </c>
    </row>
    <row r="1715" spans="1:4" ht="15.75" customHeight="1" x14ac:dyDescent="0.25">
      <c r="A1715" s="14" t="s">
        <v>3131</v>
      </c>
      <c r="B1715" s="14" t="s">
        <v>3132</v>
      </c>
      <c r="D1715" s="14" t="s">
        <v>69</v>
      </c>
    </row>
    <row r="1716" spans="1:4" ht="15.75" customHeight="1" x14ac:dyDescent="0.25">
      <c r="A1716" s="14" t="s">
        <v>3133</v>
      </c>
      <c r="B1716" s="14" t="s">
        <v>3134</v>
      </c>
      <c r="D1716" s="14" t="s">
        <v>69</v>
      </c>
    </row>
    <row r="1717" spans="1:4" ht="15.75" customHeight="1" x14ac:dyDescent="0.25">
      <c r="A1717" s="14" t="s">
        <v>3135</v>
      </c>
      <c r="B1717" s="14" t="s">
        <v>3136</v>
      </c>
      <c r="D1717" s="14" t="s">
        <v>69</v>
      </c>
    </row>
    <row r="1718" spans="1:4" ht="15.75" customHeight="1" x14ac:dyDescent="0.25">
      <c r="A1718" s="14" t="s">
        <v>3137</v>
      </c>
      <c r="B1718" s="14" t="s">
        <v>3138</v>
      </c>
      <c r="D1718" s="14" t="s">
        <v>69</v>
      </c>
    </row>
    <row r="1719" spans="1:4" ht="15.75" customHeight="1" x14ac:dyDescent="0.25">
      <c r="A1719" s="14" t="s">
        <v>3139</v>
      </c>
      <c r="B1719" s="14" t="s">
        <v>3140</v>
      </c>
      <c r="D1719" s="14" t="s">
        <v>69</v>
      </c>
    </row>
    <row r="1720" spans="1:4" ht="15.75" customHeight="1" x14ac:dyDescent="0.25">
      <c r="A1720" s="14" t="s">
        <v>3141</v>
      </c>
      <c r="B1720" s="14" t="s">
        <v>3142</v>
      </c>
      <c r="D1720" s="14" t="s">
        <v>69</v>
      </c>
    </row>
    <row r="1721" spans="1:4" ht="15.75" customHeight="1" x14ac:dyDescent="0.25">
      <c r="A1721" s="14" t="s">
        <v>3143</v>
      </c>
      <c r="B1721" s="14" t="s">
        <v>3144</v>
      </c>
      <c r="D1721" s="14" t="s">
        <v>69</v>
      </c>
    </row>
    <row r="1722" spans="1:4" ht="15.75" customHeight="1" x14ac:dyDescent="0.25">
      <c r="A1722" s="14" t="s">
        <v>850</v>
      </c>
      <c r="B1722" s="14" t="s">
        <v>851</v>
      </c>
      <c r="D1722" s="14" t="s">
        <v>69</v>
      </c>
    </row>
    <row r="1723" spans="1:4" ht="15.75" customHeight="1" x14ac:dyDescent="0.25">
      <c r="A1723" s="14" t="s">
        <v>852</v>
      </c>
      <c r="B1723" s="14" t="s">
        <v>853</v>
      </c>
      <c r="D1723" s="14" t="s">
        <v>69</v>
      </c>
    </row>
    <row r="1724" spans="1:4" ht="15.75" customHeight="1" x14ac:dyDescent="0.25">
      <c r="A1724" s="14" t="s">
        <v>854</v>
      </c>
      <c r="B1724" s="14" t="s">
        <v>855</v>
      </c>
      <c r="D1724" s="14" t="s">
        <v>69</v>
      </c>
    </row>
    <row r="1725" spans="1:4" ht="15.75" customHeight="1" x14ac:dyDescent="0.25">
      <c r="A1725" s="14" t="s">
        <v>882</v>
      </c>
      <c r="B1725" s="14" t="s">
        <v>883</v>
      </c>
      <c r="D1725" s="14" t="s">
        <v>69</v>
      </c>
    </row>
    <row r="1726" spans="1:4" ht="15.75" customHeight="1" x14ac:dyDescent="0.25">
      <c r="A1726" s="14" t="s">
        <v>884</v>
      </c>
      <c r="B1726" s="14" t="s">
        <v>885</v>
      </c>
      <c r="D1726" s="14" t="s">
        <v>69</v>
      </c>
    </row>
    <row r="1727" spans="1:4" ht="15.75" customHeight="1" x14ac:dyDescent="0.25">
      <c r="A1727" s="14" t="s">
        <v>901</v>
      </c>
      <c r="B1727" s="14" t="s">
        <v>902</v>
      </c>
      <c r="D1727" s="14" t="s">
        <v>69</v>
      </c>
    </row>
    <row r="1728" spans="1:4" ht="15.75" customHeight="1" x14ac:dyDescent="0.25">
      <c r="A1728" s="14" t="s">
        <v>903</v>
      </c>
      <c r="B1728" s="14" t="s">
        <v>904</v>
      </c>
      <c r="D1728" s="14" t="s">
        <v>69</v>
      </c>
    </row>
    <row r="1729" spans="1:4" ht="15.75" customHeight="1" x14ac:dyDescent="0.25">
      <c r="A1729" s="14" t="s">
        <v>905</v>
      </c>
      <c r="B1729" s="14" t="s">
        <v>906</v>
      </c>
      <c r="D1729" s="14" t="s">
        <v>69</v>
      </c>
    </row>
    <row r="1730" spans="1:4" ht="15.75" customHeight="1" x14ac:dyDescent="0.25">
      <c r="A1730" s="14" t="s">
        <v>907</v>
      </c>
      <c r="B1730" s="14" t="s">
        <v>908</v>
      </c>
      <c r="D1730" s="14" t="s">
        <v>69</v>
      </c>
    </row>
    <row r="1731" spans="1:4" ht="15.75" customHeight="1" x14ac:dyDescent="0.25">
      <c r="A1731" s="14" t="s">
        <v>909</v>
      </c>
      <c r="B1731" s="14" t="s">
        <v>910</v>
      </c>
      <c r="D1731" s="14" t="s">
        <v>69</v>
      </c>
    </row>
    <row r="1732" spans="1:4" ht="15.75" customHeight="1" x14ac:dyDescent="0.25">
      <c r="A1732" s="14" t="s">
        <v>3145</v>
      </c>
      <c r="B1732" s="14" t="s">
        <v>3146</v>
      </c>
      <c r="D1732" s="14" t="s">
        <v>69</v>
      </c>
    </row>
    <row r="1733" spans="1:4" ht="15.75" customHeight="1" x14ac:dyDescent="0.25">
      <c r="A1733" s="14" t="s">
        <v>931</v>
      </c>
      <c r="B1733" s="14" t="s">
        <v>932</v>
      </c>
      <c r="D1733" s="14" t="s">
        <v>69</v>
      </c>
    </row>
    <row r="1734" spans="1:4" ht="15.75" customHeight="1" x14ac:dyDescent="0.25">
      <c r="A1734" s="14" t="s">
        <v>933</v>
      </c>
      <c r="B1734" s="14" t="s">
        <v>934</v>
      </c>
      <c r="D1734" s="14" t="s">
        <v>69</v>
      </c>
    </row>
    <row r="1735" spans="1:4" ht="15.75" customHeight="1" x14ac:dyDescent="0.25">
      <c r="A1735" s="14" t="s">
        <v>3147</v>
      </c>
      <c r="B1735" s="14" t="s">
        <v>3148</v>
      </c>
      <c r="D1735" s="14" t="s">
        <v>69</v>
      </c>
    </row>
    <row r="1736" spans="1:4" ht="15.75" customHeight="1" x14ac:dyDescent="0.25">
      <c r="A1736" s="14" t="s">
        <v>935</v>
      </c>
      <c r="B1736" s="14" t="s">
        <v>936</v>
      </c>
      <c r="D1736" s="14" t="s">
        <v>69</v>
      </c>
    </row>
    <row r="1737" spans="1:4" ht="15.75" customHeight="1" x14ac:dyDescent="0.25">
      <c r="A1737" s="14" t="s">
        <v>937</v>
      </c>
      <c r="B1737" s="14" t="s">
        <v>938</v>
      </c>
      <c r="D1737" s="14" t="s">
        <v>69</v>
      </c>
    </row>
    <row r="1738" spans="1:4" ht="15.75" customHeight="1" x14ac:dyDescent="0.25">
      <c r="A1738" s="14" t="s">
        <v>3149</v>
      </c>
      <c r="B1738" s="14" t="s">
        <v>3150</v>
      </c>
      <c r="D1738" s="14" t="s">
        <v>69</v>
      </c>
    </row>
    <row r="1739" spans="1:4" ht="15.75" customHeight="1" x14ac:dyDescent="0.25">
      <c r="A1739" s="14" t="s">
        <v>939</v>
      </c>
      <c r="B1739" s="14" t="s">
        <v>940</v>
      </c>
      <c r="D1739" s="14" t="s">
        <v>69</v>
      </c>
    </row>
    <row r="1740" spans="1:4" ht="15.75" customHeight="1" x14ac:dyDescent="0.25">
      <c r="A1740" s="14" t="s">
        <v>3151</v>
      </c>
      <c r="B1740" s="14" t="s">
        <v>3152</v>
      </c>
      <c r="D1740" s="14" t="s">
        <v>69</v>
      </c>
    </row>
    <row r="1741" spans="1:4" ht="15.75" customHeight="1" x14ac:dyDescent="0.25">
      <c r="A1741" s="14" t="s">
        <v>3153</v>
      </c>
      <c r="B1741" s="14" t="s">
        <v>3154</v>
      </c>
      <c r="D1741" s="14" t="s">
        <v>69</v>
      </c>
    </row>
    <row r="1742" spans="1:4" ht="15.75" customHeight="1" x14ac:dyDescent="0.25">
      <c r="A1742" s="14" t="s">
        <v>3155</v>
      </c>
      <c r="B1742" s="14" t="s">
        <v>3156</v>
      </c>
      <c r="D1742" s="14" t="s">
        <v>69</v>
      </c>
    </row>
    <row r="1743" spans="1:4" ht="15.75" customHeight="1" x14ac:dyDescent="0.25">
      <c r="A1743" s="14" t="s">
        <v>3157</v>
      </c>
      <c r="B1743" s="14" t="s">
        <v>3158</v>
      </c>
      <c r="D1743" s="14" t="s">
        <v>69</v>
      </c>
    </row>
    <row r="1744" spans="1:4" ht="15.75" customHeight="1" x14ac:dyDescent="0.25">
      <c r="A1744" s="14" t="s">
        <v>3159</v>
      </c>
      <c r="B1744" s="14" t="s">
        <v>3160</v>
      </c>
      <c r="D1744" s="14" t="s">
        <v>69</v>
      </c>
    </row>
    <row r="1745" spans="1:4" ht="15.75" customHeight="1" x14ac:dyDescent="0.25">
      <c r="A1745" s="14" t="s">
        <v>3161</v>
      </c>
      <c r="B1745" s="14" t="s">
        <v>3162</v>
      </c>
      <c r="D1745" s="14" t="s">
        <v>69</v>
      </c>
    </row>
    <row r="1746" spans="1:4" ht="15.75" customHeight="1" x14ac:dyDescent="0.25">
      <c r="A1746" s="14" t="s">
        <v>3163</v>
      </c>
      <c r="B1746" s="14" t="s">
        <v>3164</v>
      </c>
      <c r="D1746" s="14" t="s">
        <v>69</v>
      </c>
    </row>
    <row r="1747" spans="1:4" ht="15.75" customHeight="1" x14ac:dyDescent="0.25">
      <c r="A1747" s="14" t="s">
        <v>3165</v>
      </c>
      <c r="B1747" s="14" t="s">
        <v>3166</v>
      </c>
      <c r="D1747" s="14" t="s">
        <v>69</v>
      </c>
    </row>
    <row r="1748" spans="1:4" ht="15.75" customHeight="1" x14ac:dyDescent="0.25">
      <c r="A1748" s="14" t="s">
        <v>3167</v>
      </c>
      <c r="B1748" s="14" t="s">
        <v>3168</v>
      </c>
      <c r="D1748" s="14" t="s">
        <v>69</v>
      </c>
    </row>
    <row r="1749" spans="1:4" ht="15.75" customHeight="1" x14ac:dyDescent="0.25">
      <c r="A1749" s="14" t="s">
        <v>3169</v>
      </c>
      <c r="B1749" s="14" t="s">
        <v>3170</v>
      </c>
      <c r="D1749" s="14" t="s">
        <v>69</v>
      </c>
    </row>
    <row r="1750" spans="1:4" ht="15.75" customHeight="1" x14ac:dyDescent="0.25">
      <c r="A1750" s="14" t="s">
        <v>3171</v>
      </c>
      <c r="B1750" s="14" t="s">
        <v>3172</v>
      </c>
      <c r="D1750" s="14" t="s">
        <v>69</v>
      </c>
    </row>
    <row r="1751" spans="1:4" ht="15.75" customHeight="1" x14ac:dyDescent="0.25">
      <c r="A1751" s="14" t="s">
        <v>959</v>
      </c>
      <c r="B1751" s="14" t="s">
        <v>960</v>
      </c>
      <c r="D1751" s="14" t="s">
        <v>69</v>
      </c>
    </row>
    <row r="1752" spans="1:4" ht="15.75" customHeight="1" x14ac:dyDescent="0.25">
      <c r="A1752" s="14" t="s">
        <v>969</v>
      </c>
      <c r="B1752" s="14" t="s">
        <v>970</v>
      </c>
      <c r="D1752" s="14" t="s">
        <v>69</v>
      </c>
    </row>
    <row r="1753" spans="1:4" ht="15.75" customHeight="1" x14ac:dyDescent="0.25">
      <c r="A1753" s="14" t="s">
        <v>971</v>
      </c>
      <c r="B1753" s="14" t="s">
        <v>972</v>
      </c>
      <c r="D1753" s="14" t="s">
        <v>69</v>
      </c>
    </row>
    <row r="1754" spans="1:4" ht="15.75" customHeight="1" x14ac:dyDescent="0.25">
      <c r="A1754" s="14" t="s">
        <v>973</v>
      </c>
      <c r="B1754" s="14" t="s">
        <v>974</v>
      </c>
      <c r="D1754" s="14" t="s">
        <v>69</v>
      </c>
    </row>
    <row r="1755" spans="1:4" ht="15.75" customHeight="1" x14ac:dyDescent="0.25">
      <c r="A1755" s="14" t="s">
        <v>975</v>
      </c>
      <c r="B1755" s="14" t="s">
        <v>976</v>
      </c>
      <c r="D1755" s="14" t="s">
        <v>69</v>
      </c>
    </row>
    <row r="1756" spans="1:4" ht="15.75" customHeight="1" x14ac:dyDescent="0.25">
      <c r="A1756" s="14" t="s">
        <v>977</v>
      </c>
      <c r="B1756" s="14" t="s">
        <v>978</v>
      </c>
      <c r="D1756" s="14" t="s">
        <v>69</v>
      </c>
    </row>
    <row r="1757" spans="1:4" ht="15.75" customHeight="1" x14ac:dyDescent="0.25">
      <c r="A1757" s="14" t="s">
        <v>981</v>
      </c>
      <c r="B1757" s="14" t="s">
        <v>982</v>
      </c>
      <c r="D1757" s="14" t="s">
        <v>69</v>
      </c>
    </row>
    <row r="1758" spans="1:4" ht="15.75" customHeight="1" x14ac:dyDescent="0.25">
      <c r="A1758" s="14" t="s">
        <v>1003</v>
      </c>
      <c r="B1758" s="14" t="s">
        <v>1004</v>
      </c>
      <c r="D1758" s="14" t="s">
        <v>69</v>
      </c>
    </row>
    <row r="1759" spans="1:4" ht="15.75" customHeight="1" x14ac:dyDescent="0.25">
      <c r="A1759" s="14" t="s">
        <v>1005</v>
      </c>
      <c r="B1759" s="14" t="s">
        <v>1006</v>
      </c>
      <c r="D1759" s="14" t="s">
        <v>69</v>
      </c>
    </row>
    <row r="1760" spans="1:4" ht="15.75" customHeight="1" x14ac:dyDescent="0.25">
      <c r="A1760" s="14" t="s">
        <v>3173</v>
      </c>
      <c r="B1760" s="14" t="s">
        <v>3174</v>
      </c>
      <c r="D1760" s="14" t="s">
        <v>69</v>
      </c>
    </row>
    <row r="1761" spans="1:4" ht="15.75" customHeight="1" x14ac:dyDescent="0.25">
      <c r="A1761" s="14" t="s">
        <v>1009</v>
      </c>
      <c r="B1761" s="14" t="s">
        <v>1010</v>
      </c>
      <c r="D1761" s="14" t="s">
        <v>69</v>
      </c>
    </row>
    <row r="1762" spans="1:4" ht="15.75" customHeight="1" x14ac:dyDescent="0.25">
      <c r="A1762" s="14" t="s">
        <v>1011</v>
      </c>
      <c r="B1762" s="14" t="s">
        <v>1012</v>
      </c>
      <c r="D1762" s="14" t="s">
        <v>69</v>
      </c>
    </row>
    <row r="1763" spans="1:4" ht="15.75" customHeight="1" x14ac:dyDescent="0.25">
      <c r="A1763" s="14" t="s">
        <v>1017</v>
      </c>
      <c r="B1763" s="14" t="s">
        <v>1018</v>
      </c>
      <c r="D1763" s="14" t="s">
        <v>69</v>
      </c>
    </row>
    <row r="1764" spans="1:4" ht="15.75" customHeight="1" x14ac:dyDescent="0.25">
      <c r="A1764" s="14" t="s">
        <v>1025</v>
      </c>
      <c r="B1764" s="14" t="s">
        <v>1026</v>
      </c>
      <c r="D1764" s="14" t="s">
        <v>69</v>
      </c>
    </row>
    <row r="1765" spans="1:4" ht="15.75" customHeight="1" x14ac:dyDescent="0.25">
      <c r="A1765" s="14" t="s">
        <v>1027</v>
      </c>
      <c r="B1765" s="14" t="s">
        <v>1028</v>
      </c>
      <c r="D1765" s="14" t="s">
        <v>69</v>
      </c>
    </row>
    <row r="1766" spans="1:4" ht="15.75" customHeight="1" x14ac:dyDescent="0.25">
      <c r="A1766" s="14" t="s">
        <v>1029</v>
      </c>
      <c r="B1766" s="14" t="s">
        <v>1030</v>
      </c>
      <c r="D1766" s="14" t="s">
        <v>69</v>
      </c>
    </row>
    <row r="1767" spans="1:4" ht="15.75" customHeight="1" x14ac:dyDescent="0.25">
      <c r="A1767" s="14" t="s">
        <v>1031</v>
      </c>
      <c r="B1767" s="14" t="s">
        <v>1032</v>
      </c>
      <c r="D1767" s="14" t="s">
        <v>69</v>
      </c>
    </row>
    <row r="1768" spans="1:4" ht="15.75" customHeight="1" x14ac:dyDescent="0.25">
      <c r="A1768" s="14" t="s">
        <v>1033</v>
      </c>
      <c r="B1768" s="14" t="s">
        <v>1034</v>
      </c>
      <c r="D1768" s="14" t="s">
        <v>69</v>
      </c>
    </row>
    <row r="1769" spans="1:4" ht="15.75" customHeight="1" x14ac:dyDescent="0.25">
      <c r="A1769" s="14" t="s">
        <v>1035</v>
      </c>
      <c r="B1769" s="14" t="s">
        <v>1036</v>
      </c>
      <c r="D1769" s="14" t="s">
        <v>69</v>
      </c>
    </row>
    <row r="1770" spans="1:4" ht="15.75" customHeight="1" x14ac:dyDescent="0.25">
      <c r="A1770" s="14" t="s">
        <v>1037</v>
      </c>
      <c r="B1770" s="14" t="s">
        <v>1038</v>
      </c>
      <c r="D1770" s="14" t="s">
        <v>69</v>
      </c>
    </row>
    <row r="1771" spans="1:4" ht="15.75" customHeight="1" x14ac:dyDescent="0.25">
      <c r="A1771" s="14" t="s">
        <v>1043</v>
      </c>
      <c r="B1771" s="14" t="s">
        <v>1044</v>
      </c>
      <c r="D1771" s="14" t="s">
        <v>69</v>
      </c>
    </row>
    <row r="1772" spans="1:4" ht="15.75" customHeight="1" x14ac:dyDescent="0.25">
      <c r="A1772" s="14" t="s">
        <v>1045</v>
      </c>
      <c r="B1772" s="14" t="s">
        <v>1046</v>
      </c>
      <c r="D1772" s="14" t="s">
        <v>69</v>
      </c>
    </row>
    <row r="1773" spans="1:4" ht="15.75" customHeight="1" x14ac:dyDescent="0.25">
      <c r="A1773" s="14" t="s">
        <v>1047</v>
      </c>
      <c r="B1773" s="14" t="s">
        <v>1048</v>
      </c>
      <c r="D1773" s="14" t="s">
        <v>69</v>
      </c>
    </row>
    <row r="1774" spans="1:4" ht="15.75" customHeight="1" x14ac:dyDescent="0.25">
      <c r="A1774" s="14" t="s">
        <v>3175</v>
      </c>
      <c r="B1774" s="14" t="s">
        <v>3176</v>
      </c>
      <c r="D1774" s="14" t="s">
        <v>69</v>
      </c>
    </row>
    <row r="1775" spans="1:4" ht="15.75" customHeight="1" x14ac:dyDescent="0.25">
      <c r="A1775" s="14" t="s">
        <v>1053</v>
      </c>
      <c r="B1775" s="14" t="s">
        <v>1054</v>
      </c>
      <c r="D1775" s="14" t="s">
        <v>69</v>
      </c>
    </row>
    <row r="1776" spans="1:4" ht="15.75" customHeight="1" x14ac:dyDescent="0.25">
      <c r="A1776" s="14" t="s">
        <v>1055</v>
      </c>
      <c r="B1776" s="14" t="s">
        <v>1056</v>
      </c>
      <c r="D1776" s="14" t="s">
        <v>69</v>
      </c>
    </row>
    <row r="1777" spans="1:4" ht="15.75" customHeight="1" x14ac:dyDescent="0.25">
      <c r="A1777" s="14" t="s">
        <v>1059</v>
      </c>
      <c r="B1777" s="14" t="s">
        <v>1060</v>
      </c>
      <c r="D1777" s="14" t="s">
        <v>69</v>
      </c>
    </row>
    <row r="1778" spans="1:4" ht="15.75" customHeight="1" x14ac:dyDescent="0.25">
      <c r="A1778" s="14" t="s">
        <v>1013</v>
      </c>
      <c r="B1778" s="14" t="s">
        <v>1014</v>
      </c>
      <c r="D1778" s="14" t="s">
        <v>69</v>
      </c>
    </row>
    <row r="1779" spans="1:4" ht="15.75" customHeight="1" x14ac:dyDescent="0.25">
      <c r="A1779" s="14" t="s">
        <v>1015</v>
      </c>
      <c r="B1779" s="14" t="s">
        <v>1016</v>
      </c>
      <c r="D1779" s="14" t="s">
        <v>69</v>
      </c>
    </row>
    <row r="1780" spans="1:4" ht="15.75" customHeight="1" x14ac:dyDescent="0.25">
      <c r="A1780" s="14">
        <v>1001428</v>
      </c>
      <c r="B1780" s="14" t="s">
        <v>3177</v>
      </c>
      <c r="D1780" s="14" t="s">
        <v>69</v>
      </c>
    </row>
    <row r="1781" spans="1:4" ht="15.75" customHeight="1" x14ac:dyDescent="0.25">
      <c r="A1781" s="14">
        <v>1006134</v>
      </c>
      <c r="B1781" s="14" t="s">
        <v>1090</v>
      </c>
      <c r="D1781" s="14" t="s">
        <v>69</v>
      </c>
    </row>
    <row r="1782" spans="1:4" ht="15.75" customHeight="1" x14ac:dyDescent="0.25">
      <c r="A1782" s="14">
        <v>1002233</v>
      </c>
      <c r="B1782" s="14" t="s">
        <v>1092</v>
      </c>
      <c r="D1782" s="14" t="s">
        <v>69</v>
      </c>
    </row>
    <row r="1783" spans="1:4" ht="15.75" customHeight="1" x14ac:dyDescent="0.25">
      <c r="A1783" s="14">
        <v>1002232</v>
      </c>
      <c r="B1783" s="14" t="s">
        <v>1094</v>
      </c>
      <c r="D1783" s="14" t="s">
        <v>69</v>
      </c>
    </row>
    <row r="1784" spans="1:4" ht="15.75" customHeight="1" x14ac:dyDescent="0.25">
      <c r="A1784" s="14">
        <v>252210</v>
      </c>
      <c r="B1784" s="14" t="s">
        <v>3178</v>
      </c>
      <c r="D1784" s="14" t="s">
        <v>69</v>
      </c>
    </row>
    <row r="1785" spans="1:4" ht="15.75" customHeight="1" x14ac:dyDescent="0.25">
      <c r="A1785" s="14">
        <v>30033565</v>
      </c>
      <c r="B1785" s="14" t="s">
        <v>3178</v>
      </c>
      <c r="D1785" s="14" t="s">
        <v>69</v>
      </c>
    </row>
    <row r="1786" spans="1:4" ht="15.75" customHeight="1" x14ac:dyDescent="0.25">
      <c r="A1786" s="14">
        <v>1001851</v>
      </c>
      <c r="B1786" s="14" t="s">
        <v>180</v>
      </c>
      <c r="D1786" s="14" t="s">
        <v>69</v>
      </c>
    </row>
    <row r="1787" spans="1:4" ht="15.75" customHeight="1" x14ac:dyDescent="0.25">
      <c r="A1787" s="14">
        <v>1001855</v>
      </c>
      <c r="B1787" s="14" t="s">
        <v>521</v>
      </c>
      <c r="D1787" s="14" t="s">
        <v>69</v>
      </c>
    </row>
    <row r="1788" spans="1:4" ht="15.75" customHeight="1" x14ac:dyDescent="0.25">
      <c r="A1788" s="14">
        <v>1001265</v>
      </c>
      <c r="B1788" s="14" t="s">
        <v>522</v>
      </c>
      <c r="D1788" s="14" t="s">
        <v>69</v>
      </c>
    </row>
    <row r="1789" spans="1:4" ht="15.75" customHeight="1" x14ac:dyDescent="0.25">
      <c r="A1789" s="14">
        <v>1000261</v>
      </c>
      <c r="B1789" s="14" t="s">
        <v>1111</v>
      </c>
      <c r="D1789" s="14" t="s">
        <v>69</v>
      </c>
    </row>
    <row r="1790" spans="1:4" ht="15.75" customHeight="1" x14ac:dyDescent="0.25">
      <c r="A1790" s="14">
        <v>1001780</v>
      </c>
      <c r="B1790" s="14" t="s">
        <v>3179</v>
      </c>
      <c r="D1790" s="14" t="s">
        <v>69</v>
      </c>
    </row>
    <row r="1791" spans="1:4" ht="15.75" customHeight="1" x14ac:dyDescent="0.25">
      <c r="A1791" s="14">
        <v>1006179</v>
      </c>
      <c r="B1791" s="14" t="s">
        <v>106</v>
      </c>
      <c r="D1791" s="14" t="s">
        <v>69</v>
      </c>
    </row>
    <row r="1792" spans="1:4" ht="15.75" customHeight="1" x14ac:dyDescent="0.25">
      <c r="A1792" s="14">
        <v>1002360</v>
      </c>
      <c r="B1792" s="14" t="s">
        <v>3180</v>
      </c>
      <c r="D1792" s="14" t="s">
        <v>69</v>
      </c>
    </row>
    <row r="1793" spans="1:4" ht="15.75" customHeight="1" x14ac:dyDescent="0.25">
      <c r="A1793" s="14">
        <v>1001926</v>
      </c>
      <c r="B1793" s="14" t="s">
        <v>282</v>
      </c>
      <c r="D1793" s="14" t="s">
        <v>69</v>
      </c>
    </row>
    <row r="1794" spans="1:4" ht="15.75" customHeight="1" x14ac:dyDescent="0.25">
      <c r="A1794" s="14">
        <v>1001923</v>
      </c>
      <c r="B1794" s="14" t="s">
        <v>107</v>
      </c>
      <c r="D1794" s="14" t="s">
        <v>69</v>
      </c>
    </row>
    <row r="1795" spans="1:4" ht="15.75" customHeight="1" x14ac:dyDescent="0.25">
      <c r="A1795" s="14">
        <v>1001924</v>
      </c>
      <c r="B1795" s="14" t="s">
        <v>283</v>
      </c>
      <c r="D1795" s="14" t="s">
        <v>69</v>
      </c>
    </row>
    <row r="1796" spans="1:4" ht="15.75" customHeight="1" x14ac:dyDescent="0.25">
      <c r="A1796" s="14">
        <v>1001925</v>
      </c>
      <c r="B1796" s="14" t="s">
        <v>108</v>
      </c>
      <c r="D1796" s="14" t="s">
        <v>69</v>
      </c>
    </row>
    <row r="1797" spans="1:4" ht="15.75" customHeight="1" x14ac:dyDescent="0.25">
      <c r="A1797" s="14">
        <v>1002021</v>
      </c>
      <c r="B1797" s="14" t="s">
        <v>3181</v>
      </c>
      <c r="D1797" s="14" t="s">
        <v>69</v>
      </c>
    </row>
    <row r="1798" spans="1:4" ht="15.75" customHeight="1" x14ac:dyDescent="0.25">
      <c r="A1798" s="14">
        <v>1002267</v>
      </c>
      <c r="B1798" s="14" t="s">
        <v>3182</v>
      </c>
      <c r="D1798" s="14" t="s">
        <v>69</v>
      </c>
    </row>
    <row r="1799" spans="1:4" ht="15.75" customHeight="1" x14ac:dyDescent="0.25">
      <c r="A1799" s="14">
        <v>1002238</v>
      </c>
      <c r="B1799" s="14" t="s">
        <v>109</v>
      </c>
      <c r="D1799" s="14" t="s">
        <v>69</v>
      </c>
    </row>
    <row r="1800" spans="1:4" ht="15.75" customHeight="1" x14ac:dyDescent="0.25">
      <c r="A1800" s="14">
        <v>1002239</v>
      </c>
      <c r="B1800" s="14" t="s">
        <v>110</v>
      </c>
      <c r="D1800" s="14" t="s">
        <v>69</v>
      </c>
    </row>
    <row r="1801" spans="1:4" ht="15.75" customHeight="1" x14ac:dyDescent="0.25">
      <c r="A1801" s="14">
        <v>1002236</v>
      </c>
      <c r="B1801" s="14" t="s">
        <v>284</v>
      </c>
      <c r="D1801" s="14" t="s">
        <v>69</v>
      </c>
    </row>
    <row r="1802" spans="1:4" ht="15.75" customHeight="1" x14ac:dyDescent="0.25">
      <c r="A1802" s="14">
        <v>1002237</v>
      </c>
      <c r="B1802" s="14" t="s">
        <v>285</v>
      </c>
      <c r="D1802" s="14" t="s">
        <v>69</v>
      </c>
    </row>
    <row r="1803" spans="1:4" ht="15.75" customHeight="1" x14ac:dyDescent="0.25">
      <c r="A1803" s="14">
        <v>1002235</v>
      </c>
      <c r="B1803" s="14" t="s">
        <v>3183</v>
      </c>
      <c r="D1803" s="14" t="s">
        <v>69</v>
      </c>
    </row>
    <row r="1804" spans="1:4" ht="15.75" customHeight="1" x14ac:dyDescent="0.25">
      <c r="A1804" s="14">
        <v>1001797</v>
      </c>
      <c r="B1804" s="14" t="s">
        <v>3184</v>
      </c>
      <c r="D1804" s="14" t="s">
        <v>69</v>
      </c>
    </row>
    <row r="1805" spans="1:4" ht="15.75" customHeight="1" x14ac:dyDescent="0.25">
      <c r="A1805" s="14">
        <v>1001795</v>
      </c>
      <c r="B1805" s="14" t="s">
        <v>3185</v>
      </c>
      <c r="D1805" s="14" t="s">
        <v>69</v>
      </c>
    </row>
    <row r="1806" spans="1:4" ht="15.75" customHeight="1" x14ac:dyDescent="0.25">
      <c r="A1806" s="14">
        <v>1001796</v>
      </c>
      <c r="B1806" s="14" t="s">
        <v>3186</v>
      </c>
      <c r="D1806" s="14" t="s">
        <v>69</v>
      </c>
    </row>
    <row r="1807" spans="1:4" ht="15.75" customHeight="1" x14ac:dyDescent="0.25">
      <c r="A1807" s="14">
        <v>1001794</v>
      </c>
      <c r="B1807" s="14" t="s">
        <v>3187</v>
      </c>
      <c r="D1807" s="14" t="s">
        <v>69</v>
      </c>
    </row>
    <row r="1808" spans="1:4" ht="15.75" customHeight="1" x14ac:dyDescent="0.25">
      <c r="A1808" s="14">
        <v>1001793</v>
      </c>
      <c r="B1808" s="14" t="s">
        <v>3188</v>
      </c>
      <c r="D1808" s="14" t="s">
        <v>69</v>
      </c>
    </row>
    <row r="1809" spans="1:4" ht="15.75" customHeight="1" x14ac:dyDescent="0.25">
      <c r="A1809" s="14">
        <v>1000305</v>
      </c>
      <c r="B1809" s="14" t="s">
        <v>111</v>
      </c>
      <c r="D1809" s="14" t="s">
        <v>69</v>
      </c>
    </row>
    <row r="1810" spans="1:4" ht="15.75" customHeight="1" x14ac:dyDescent="0.25">
      <c r="A1810" s="14">
        <v>1002208</v>
      </c>
      <c r="B1810" s="14" t="s">
        <v>1136</v>
      </c>
      <c r="D1810" s="14" t="s">
        <v>69</v>
      </c>
    </row>
    <row r="1811" spans="1:4" ht="15.75" customHeight="1" x14ac:dyDescent="0.25">
      <c r="A1811" s="14">
        <v>1000665</v>
      </c>
      <c r="B1811" s="14" t="s">
        <v>113</v>
      </c>
      <c r="D1811" s="14" t="s">
        <v>69</v>
      </c>
    </row>
    <row r="1812" spans="1:4" ht="15.75" customHeight="1" x14ac:dyDescent="0.25">
      <c r="A1812" s="14">
        <v>1000327</v>
      </c>
      <c r="B1812" s="14" t="s">
        <v>114</v>
      </c>
      <c r="D1812" s="14" t="s">
        <v>69</v>
      </c>
    </row>
    <row r="1813" spans="1:4" ht="15.75" customHeight="1" x14ac:dyDescent="0.25">
      <c r="A1813" s="14">
        <v>1006150</v>
      </c>
      <c r="B1813" s="14" t="s">
        <v>115</v>
      </c>
      <c r="D1813" s="14" t="s">
        <v>69</v>
      </c>
    </row>
    <row r="1814" spans="1:4" ht="15.75" customHeight="1" x14ac:dyDescent="0.25">
      <c r="A1814" s="14">
        <v>1002247</v>
      </c>
      <c r="B1814" s="14" t="s">
        <v>524</v>
      </c>
      <c r="D1814" s="14" t="s">
        <v>69</v>
      </c>
    </row>
    <row r="1815" spans="1:4" ht="15.75" customHeight="1" x14ac:dyDescent="0.25">
      <c r="A1815" s="14">
        <v>1001240</v>
      </c>
      <c r="B1815" s="14" t="s">
        <v>287</v>
      </c>
      <c r="D1815" s="14" t="s">
        <v>69</v>
      </c>
    </row>
    <row r="1816" spans="1:4" ht="15.75" customHeight="1" x14ac:dyDescent="0.25">
      <c r="A1816" s="14">
        <v>1002248</v>
      </c>
      <c r="B1816" s="14" t="s">
        <v>525</v>
      </c>
      <c r="D1816" s="14" t="s">
        <v>69</v>
      </c>
    </row>
    <row r="1817" spans="1:4" ht="15.75" customHeight="1" x14ac:dyDescent="0.25">
      <c r="A1817" s="14">
        <v>1001199</v>
      </c>
      <c r="B1817" s="14" t="s">
        <v>288</v>
      </c>
      <c r="D1817" s="14" t="s">
        <v>69</v>
      </c>
    </row>
    <row r="1818" spans="1:4" ht="15.75" customHeight="1" x14ac:dyDescent="0.25">
      <c r="A1818" s="14">
        <v>1000332</v>
      </c>
      <c r="B1818" s="14" t="s">
        <v>184</v>
      </c>
      <c r="D1818" s="14" t="s">
        <v>69</v>
      </c>
    </row>
    <row r="1819" spans="1:4" ht="15.75" customHeight="1" x14ac:dyDescent="0.25">
      <c r="A1819" s="14">
        <v>1002249</v>
      </c>
      <c r="B1819" s="14" t="s">
        <v>526</v>
      </c>
      <c r="D1819" s="14" t="s">
        <v>69</v>
      </c>
    </row>
    <row r="1820" spans="1:4" ht="15.75" customHeight="1" x14ac:dyDescent="0.25">
      <c r="A1820" s="14">
        <v>1002282</v>
      </c>
      <c r="B1820" s="14" t="s">
        <v>527</v>
      </c>
      <c r="D1820" s="14" t="s">
        <v>69</v>
      </c>
    </row>
    <row r="1821" spans="1:4" ht="15.75" customHeight="1" x14ac:dyDescent="0.25">
      <c r="A1821" s="14">
        <v>1002100</v>
      </c>
      <c r="B1821" s="14" t="s">
        <v>289</v>
      </c>
      <c r="D1821" s="14" t="s">
        <v>69</v>
      </c>
    </row>
    <row r="1822" spans="1:4" ht="15.75" customHeight="1" x14ac:dyDescent="0.25">
      <c r="A1822" s="14">
        <v>1001586</v>
      </c>
      <c r="B1822" s="14" t="s">
        <v>1181</v>
      </c>
      <c r="D1822" s="14" t="s">
        <v>69</v>
      </c>
    </row>
    <row r="1823" spans="1:4" ht="15.75" customHeight="1" x14ac:dyDescent="0.25">
      <c r="A1823" s="14">
        <v>1006840</v>
      </c>
      <c r="B1823" s="14" t="s">
        <v>1183</v>
      </c>
      <c r="D1823" s="14" t="s">
        <v>69</v>
      </c>
    </row>
    <row r="1824" spans="1:4" ht="15.75" customHeight="1" x14ac:dyDescent="0.25">
      <c r="A1824" s="14">
        <v>1000544</v>
      </c>
      <c r="B1824" s="14" t="s">
        <v>116</v>
      </c>
      <c r="D1824" s="14" t="s">
        <v>69</v>
      </c>
    </row>
    <row r="1825" spans="1:4" ht="15.75" customHeight="1" x14ac:dyDescent="0.25">
      <c r="A1825" s="14">
        <v>1001852</v>
      </c>
      <c r="B1825" s="14" t="s">
        <v>185</v>
      </c>
      <c r="D1825" s="14" t="s">
        <v>69</v>
      </c>
    </row>
    <row r="1826" spans="1:4" ht="15.75" customHeight="1" x14ac:dyDescent="0.25">
      <c r="A1826" s="14">
        <v>1001562</v>
      </c>
      <c r="B1826" s="14" t="s">
        <v>1190</v>
      </c>
      <c r="D1826" s="14" t="s">
        <v>69</v>
      </c>
    </row>
    <row r="1827" spans="1:4" ht="15.75" customHeight="1" x14ac:dyDescent="0.25">
      <c r="A1827" s="14">
        <v>1000366</v>
      </c>
      <c r="B1827" s="14" t="s">
        <v>117</v>
      </c>
      <c r="D1827" s="14" t="s">
        <v>69</v>
      </c>
    </row>
    <row r="1828" spans="1:4" ht="15.75" customHeight="1" x14ac:dyDescent="0.25">
      <c r="A1828" s="14">
        <v>1000368</v>
      </c>
      <c r="B1828" s="14" t="s">
        <v>186</v>
      </c>
      <c r="D1828" s="14" t="s">
        <v>69</v>
      </c>
    </row>
    <row r="1829" spans="1:4" ht="15.75" customHeight="1" x14ac:dyDescent="0.25">
      <c r="A1829" s="14">
        <v>1001762</v>
      </c>
      <c r="B1829" s="14" t="s">
        <v>480</v>
      </c>
      <c r="D1829" s="14" t="s">
        <v>69</v>
      </c>
    </row>
    <row r="1830" spans="1:4" ht="15.75" customHeight="1" x14ac:dyDescent="0.25">
      <c r="A1830" s="14">
        <v>1006808</v>
      </c>
      <c r="B1830" s="14" t="s">
        <v>1203</v>
      </c>
      <c r="D1830" s="14" t="s">
        <v>69</v>
      </c>
    </row>
    <row r="1831" spans="1:4" ht="15.75" customHeight="1" x14ac:dyDescent="0.25">
      <c r="A1831" s="14">
        <v>1002180</v>
      </c>
      <c r="B1831" s="14" t="s">
        <v>1205</v>
      </c>
      <c r="D1831" s="14" t="s">
        <v>69</v>
      </c>
    </row>
    <row r="1832" spans="1:4" ht="15.75" customHeight="1" x14ac:dyDescent="0.25">
      <c r="A1832" s="14">
        <v>1008926</v>
      </c>
      <c r="B1832" s="14" t="s">
        <v>1207</v>
      </c>
      <c r="D1832" s="14" t="s">
        <v>69</v>
      </c>
    </row>
    <row r="1833" spans="1:4" ht="15.75" customHeight="1" x14ac:dyDescent="0.25">
      <c r="A1833" s="14">
        <v>1008927</v>
      </c>
      <c r="B1833" s="14" t="s">
        <v>1209</v>
      </c>
      <c r="D1833" s="14" t="s">
        <v>69</v>
      </c>
    </row>
    <row r="1834" spans="1:4" ht="15.75" customHeight="1" x14ac:dyDescent="0.25">
      <c r="A1834" s="14">
        <v>1001991</v>
      </c>
      <c r="B1834" s="14" t="s">
        <v>1211</v>
      </c>
      <c r="D1834" s="14" t="s">
        <v>69</v>
      </c>
    </row>
    <row r="1835" spans="1:4" ht="15.75" customHeight="1" x14ac:dyDescent="0.25">
      <c r="A1835" s="14">
        <v>1001988</v>
      </c>
      <c r="B1835" s="14" t="s">
        <v>1213</v>
      </c>
      <c r="D1835" s="14" t="s">
        <v>69</v>
      </c>
    </row>
    <row r="1836" spans="1:4" ht="15.75" customHeight="1" x14ac:dyDescent="0.25">
      <c r="A1836" s="14">
        <v>1001989</v>
      </c>
      <c r="B1836" s="14" t="s">
        <v>1215</v>
      </c>
      <c r="D1836" s="14" t="s">
        <v>69</v>
      </c>
    </row>
    <row r="1837" spans="1:4" ht="15.75" customHeight="1" x14ac:dyDescent="0.25">
      <c r="A1837" s="14">
        <v>1001987</v>
      </c>
      <c r="B1837" s="14" t="s">
        <v>1217</v>
      </c>
      <c r="D1837" s="14" t="s">
        <v>69</v>
      </c>
    </row>
    <row r="1838" spans="1:4" ht="15.75" customHeight="1" x14ac:dyDescent="0.25">
      <c r="A1838" s="14">
        <v>1006826</v>
      </c>
      <c r="B1838" s="14" t="s">
        <v>1219</v>
      </c>
      <c r="D1838" s="14" t="s">
        <v>69</v>
      </c>
    </row>
    <row r="1839" spans="1:4" ht="15.75" customHeight="1" x14ac:dyDescent="0.25">
      <c r="A1839" s="14">
        <v>1000421</v>
      </c>
      <c r="B1839" s="14" t="s">
        <v>292</v>
      </c>
      <c r="D1839" s="14" t="s">
        <v>69</v>
      </c>
    </row>
    <row r="1840" spans="1:4" ht="15.75" customHeight="1" x14ac:dyDescent="0.25">
      <c r="A1840" s="14">
        <v>1000583</v>
      </c>
      <c r="B1840" s="14" t="s">
        <v>121</v>
      </c>
      <c r="D1840" s="14" t="s">
        <v>69</v>
      </c>
    </row>
    <row r="1841" spans="1:4" ht="15.75" customHeight="1" x14ac:dyDescent="0.25">
      <c r="A1841" s="14">
        <v>1001674</v>
      </c>
      <c r="B1841" s="14" t="s">
        <v>293</v>
      </c>
      <c r="D1841" s="14" t="s">
        <v>69</v>
      </c>
    </row>
    <row r="1842" spans="1:4" ht="15.75" customHeight="1" x14ac:dyDescent="0.25">
      <c r="A1842" s="14">
        <v>254504</v>
      </c>
      <c r="B1842" s="14" t="s">
        <v>3189</v>
      </c>
      <c r="D1842" s="14" t="s">
        <v>69</v>
      </c>
    </row>
    <row r="1843" spans="1:4" ht="15.75" customHeight="1" x14ac:dyDescent="0.25">
      <c r="A1843" s="14" t="s">
        <v>3190</v>
      </c>
      <c r="B1843" s="14" t="s">
        <v>3191</v>
      </c>
      <c r="D1843" s="14" t="s">
        <v>69</v>
      </c>
    </row>
    <row r="1844" spans="1:4" ht="15.75" customHeight="1" x14ac:dyDescent="0.25">
      <c r="A1844" s="14" t="s">
        <v>3192</v>
      </c>
      <c r="B1844" s="14" t="s">
        <v>3193</v>
      </c>
      <c r="D1844" s="14" t="s">
        <v>69</v>
      </c>
    </row>
    <row r="1845" spans="1:4" ht="15.75" customHeight="1" x14ac:dyDescent="0.25">
      <c r="A1845" s="14" t="s">
        <v>3194</v>
      </c>
      <c r="B1845" s="14" t="s">
        <v>3195</v>
      </c>
      <c r="D1845" s="14" t="s">
        <v>69</v>
      </c>
    </row>
    <row r="1846" spans="1:4" ht="15.75" customHeight="1" x14ac:dyDescent="0.25">
      <c r="A1846" s="14" t="s">
        <v>3196</v>
      </c>
      <c r="B1846" s="14" t="s">
        <v>3197</v>
      </c>
      <c r="D1846" s="14" t="s">
        <v>69</v>
      </c>
    </row>
    <row r="1847" spans="1:4" ht="15.75" customHeight="1" x14ac:dyDescent="0.25">
      <c r="A1847" s="14" t="s">
        <v>1263</v>
      </c>
      <c r="B1847" s="14" t="s">
        <v>1264</v>
      </c>
      <c r="D1847" s="14" t="s">
        <v>69</v>
      </c>
    </row>
    <row r="1848" spans="1:4" ht="15.75" customHeight="1" x14ac:dyDescent="0.25">
      <c r="A1848" s="14" t="s">
        <v>1265</v>
      </c>
      <c r="B1848" s="14" t="s">
        <v>1266</v>
      </c>
      <c r="D1848" s="14" t="s">
        <v>69</v>
      </c>
    </row>
    <row r="1849" spans="1:4" ht="15.75" customHeight="1" x14ac:dyDescent="0.25">
      <c r="A1849" s="14" t="s">
        <v>1267</v>
      </c>
      <c r="B1849" s="14" t="s">
        <v>1268</v>
      </c>
      <c r="D1849" s="14" t="s">
        <v>69</v>
      </c>
    </row>
    <row r="1850" spans="1:4" ht="15.75" customHeight="1" x14ac:dyDescent="0.25">
      <c r="A1850" s="14" t="s">
        <v>1269</v>
      </c>
      <c r="B1850" s="14" t="s">
        <v>1270</v>
      </c>
      <c r="D1850" s="14" t="s">
        <v>69</v>
      </c>
    </row>
    <row r="1851" spans="1:4" ht="15.75" customHeight="1" x14ac:dyDescent="0.25">
      <c r="A1851" s="14" t="s">
        <v>1271</v>
      </c>
      <c r="B1851" s="14" t="s">
        <v>1272</v>
      </c>
      <c r="D1851" s="14" t="s">
        <v>69</v>
      </c>
    </row>
    <row r="1852" spans="1:4" ht="15.75" customHeight="1" x14ac:dyDescent="0.25">
      <c r="A1852" s="14" t="s">
        <v>3198</v>
      </c>
      <c r="B1852" s="14" t="s">
        <v>3199</v>
      </c>
      <c r="D1852" s="14" t="s">
        <v>69</v>
      </c>
    </row>
    <row r="1853" spans="1:4" ht="15.75" customHeight="1" x14ac:dyDescent="0.25">
      <c r="A1853" s="14" t="s">
        <v>3200</v>
      </c>
      <c r="B1853" s="14" t="s">
        <v>3201</v>
      </c>
      <c r="D1853" s="14" t="s">
        <v>69</v>
      </c>
    </row>
    <row r="1854" spans="1:4" ht="15.75" customHeight="1" x14ac:dyDescent="0.25">
      <c r="A1854" s="14" t="s">
        <v>3202</v>
      </c>
      <c r="B1854" s="14" t="s">
        <v>3203</v>
      </c>
      <c r="D1854" s="14" t="s">
        <v>69</v>
      </c>
    </row>
    <row r="1855" spans="1:4" ht="15.75" customHeight="1" x14ac:dyDescent="0.25">
      <c r="A1855" s="14" t="s">
        <v>3204</v>
      </c>
      <c r="B1855" s="14" t="s">
        <v>3205</v>
      </c>
      <c r="D1855" s="14" t="s">
        <v>69</v>
      </c>
    </row>
    <row r="1856" spans="1:4" ht="15.75" customHeight="1" x14ac:dyDescent="0.25">
      <c r="A1856" s="14" t="s">
        <v>3206</v>
      </c>
      <c r="B1856" s="14" t="s">
        <v>3207</v>
      </c>
      <c r="D1856" s="14" t="s">
        <v>69</v>
      </c>
    </row>
    <row r="1857" spans="1:4" ht="15.75" customHeight="1" x14ac:dyDescent="0.25">
      <c r="A1857" s="14" t="s">
        <v>1291</v>
      </c>
      <c r="B1857" s="14" t="s">
        <v>1292</v>
      </c>
      <c r="D1857" s="14" t="s">
        <v>69</v>
      </c>
    </row>
    <row r="1858" spans="1:4" ht="15.75" customHeight="1" x14ac:dyDescent="0.25">
      <c r="A1858" s="14" t="s">
        <v>1293</v>
      </c>
      <c r="B1858" s="14" t="s">
        <v>1294</v>
      </c>
      <c r="D1858" s="14" t="s">
        <v>69</v>
      </c>
    </row>
    <row r="1859" spans="1:4" ht="15.75" customHeight="1" x14ac:dyDescent="0.25">
      <c r="A1859" s="14" t="s">
        <v>1295</v>
      </c>
      <c r="B1859" s="14" t="s">
        <v>1296</v>
      </c>
      <c r="D1859" s="14" t="s">
        <v>69</v>
      </c>
    </row>
    <row r="1860" spans="1:4" ht="15.75" customHeight="1" x14ac:dyDescent="0.25">
      <c r="A1860" s="14" t="s">
        <v>1297</v>
      </c>
      <c r="B1860" s="14" t="s">
        <v>1298</v>
      </c>
      <c r="D1860" s="14" t="s">
        <v>69</v>
      </c>
    </row>
    <row r="1861" spans="1:4" ht="15.75" customHeight="1" x14ac:dyDescent="0.25">
      <c r="A1861" s="14" t="s">
        <v>1299</v>
      </c>
      <c r="B1861" s="14" t="s">
        <v>1300</v>
      </c>
      <c r="D1861" s="14" t="s">
        <v>69</v>
      </c>
    </row>
    <row r="1862" spans="1:4" ht="15.75" customHeight="1" x14ac:dyDescent="0.25">
      <c r="A1862" s="14" t="s">
        <v>3208</v>
      </c>
      <c r="B1862" s="14" t="s">
        <v>3209</v>
      </c>
      <c r="D1862" s="14" t="s">
        <v>69</v>
      </c>
    </row>
    <row r="1863" spans="1:4" ht="15.75" customHeight="1" x14ac:dyDescent="0.25">
      <c r="A1863" s="14" t="s">
        <v>3210</v>
      </c>
      <c r="B1863" s="14" t="s">
        <v>3211</v>
      </c>
      <c r="D1863" s="14" t="s">
        <v>69</v>
      </c>
    </row>
    <row r="1864" spans="1:4" ht="15.75" customHeight="1" x14ac:dyDescent="0.25">
      <c r="A1864" s="14" t="s">
        <v>1301</v>
      </c>
      <c r="B1864" s="14" t="s">
        <v>1302</v>
      </c>
      <c r="D1864" s="14" t="s">
        <v>69</v>
      </c>
    </row>
    <row r="1865" spans="1:4" ht="15.75" customHeight="1" x14ac:dyDescent="0.25">
      <c r="A1865" s="14" t="s">
        <v>1303</v>
      </c>
      <c r="B1865" s="14" t="s">
        <v>1304</v>
      </c>
      <c r="D1865" s="14" t="s">
        <v>69</v>
      </c>
    </row>
    <row r="1866" spans="1:4" ht="15.75" customHeight="1" x14ac:dyDescent="0.25">
      <c r="A1866" s="14" t="s">
        <v>1305</v>
      </c>
      <c r="B1866" s="14" t="s">
        <v>1306</v>
      </c>
      <c r="D1866" s="14" t="s">
        <v>69</v>
      </c>
    </row>
    <row r="1867" spans="1:4" ht="15.75" customHeight="1" x14ac:dyDescent="0.25">
      <c r="A1867" s="14" t="s">
        <v>1307</v>
      </c>
      <c r="B1867" s="14" t="s">
        <v>1308</v>
      </c>
      <c r="D1867" s="14" t="s">
        <v>69</v>
      </c>
    </row>
    <row r="1868" spans="1:4" ht="15.75" customHeight="1" x14ac:dyDescent="0.25">
      <c r="A1868" s="14" t="s">
        <v>3212</v>
      </c>
      <c r="B1868" s="14" t="s">
        <v>3213</v>
      </c>
      <c r="D1868" s="14" t="s">
        <v>69</v>
      </c>
    </row>
    <row r="1869" spans="1:4" ht="15.75" customHeight="1" x14ac:dyDescent="0.25">
      <c r="A1869" s="14" t="s">
        <v>3214</v>
      </c>
      <c r="B1869" s="14" t="s">
        <v>3215</v>
      </c>
      <c r="D1869" s="14" t="s">
        <v>69</v>
      </c>
    </row>
    <row r="1870" spans="1:4" ht="15.75" customHeight="1" x14ac:dyDescent="0.25">
      <c r="A1870" s="14" t="s">
        <v>3216</v>
      </c>
      <c r="B1870" s="14" t="s">
        <v>3217</v>
      </c>
      <c r="D1870" s="14" t="s">
        <v>69</v>
      </c>
    </row>
    <row r="1871" spans="1:4" ht="15.75" customHeight="1" x14ac:dyDescent="0.25">
      <c r="A1871" s="14" t="s">
        <v>3218</v>
      </c>
      <c r="B1871" s="14" t="s">
        <v>3219</v>
      </c>
      <c r="D1871" s="14" t="s">
        <v>69</v>
      </c>
    </row>
    <row r="1872" spans="1:4" ht="15.75" customHeight="1" x14ac:dyDescent="0.25">
      <c r="A1872" s="14" t="s">
        <v>3220</v>
      </c>
      <c r="B1872" s="14" t="s">
        <v>3221</v>
      </c>
      <c r="D1872" s="14" t="s">
        <v>69</v>
      </c>
    </row>
    <row r="1873" spans="1:4" ht="15.75" customHeight="1" x14ac:dyDescent="0.25">
      <c r="A1873" s="14" t="s">
        <v>3222</v>
      </c>
      <c r="B1873" s="14" t="s">
        <v>3223</v>
      </c>
      <c r="D1873" s="14" t="s">
        <v>69</v>
      </c>
    </row>
    <row r="1874" spans="1:4" ht="15.75" customHeight="1" x14ac:dyDescent="0.25">
      <c r="A1874" s="14" t="s">
        <v>3224</v>
      </c>
      <c r="B1874" s="14" t="s">
        <v>3225</v>
      </c>
      <c r="D1874" s="14" t="s">
        <v>69</v>
      </c>
    </row>
    <row r="1875" spans="1:4" ht="15.75" customHeight="1" x14ac:dyDescent="0.25">
      <c r="A1875" s="14" t="s">
        <v>3226</v>
      </c>
      <c r="B1875" s="14" t="s">
        <v>3227</v>
      </c>
      <c r="D1875" s="14" t="s">
        <v>69</v>
      </c>
    </row>
    <row r="1876" spans="1:4" ht="15.75" customHeight="1" x14ac:dyDescent="0.25">
      <c r="A1876" s="14" t="s">
        <v>3228</v>
      </c>
      <c r="B1876" s="14" t="s">
        <v>3229</v>
      </c>
      <c r="D1876" s="14" t="s">
        <v>69</v>
      </c>
    </row>
    <row r="1877" spans="1:4" ht="15.75" customHeight="1" x14ac:dyDescent="0.25">
      <c r="A1877" s="14" t="s">
        <v>3230</v>
      </c>
      <c r="B1877" s="14" t="s">
        <v>3231</v>
      </c>
      <c r="D1877" s="14" t="s">
        <v>69</v>
      </c>
    </row>
    <row r="1878" spans="1:4" ht="15.75" customHeight="1" x14ac:dyDescent="0.25">
      <c r="A1878" s="14" t="s">
        <v>3232</v>
      </c>
      <c r="B1878" s="14" t="s">
        <v>3233</v>
      </c>
      <c r="D1878" s="14" t="s">
        <v>69</v>
      </c>
    </row>
    <row r="1879" spans="1:4" ht="15.75" customHeight="1" x14ac:dyDescent="0.25">
      <c r="A1879" s="14" t="s">
        <v>3234</v>
      </c>
      <c r="B1879" s="14" t="s">
        <v>3235</v>
      </c>
      <c r="D1879" s="14" t="s">
        <v>69</v>
      </c>
    </row>
    <row r="1880" spans="1:4" ht="15.75" customHeight="1" x14ac:dyDescent="0.25">
      <c r="A1880" s="14" t="s">
        <v>3236</v>
      </c>
      <c r="B1880" s="14" t="s">
        <v>3237</v>
      </c>
      <c r="D1880" s="14" t="s">
        <v>69</v>
      </c>
    </row>
    <row r="1881" spans="1:4" ht="15.75" customHeight="1" x14ac:dyDescent="0.25">
      <c r="A1881" s="14" t="s">
        <v>3238</v>
      </c>
      <c r="B1881" s="14" t="s">
        <v>3239</v>
      </c>
      <c r="D1881" s="14" t="s">
        <v>69</v>
      </c>
    </row>
    <row r="1882" spans="1:4" ht="15.75" customHeight="1" x14ac:dyDescent="0.25">
      <c r="A1882" s="14" t="s">
        <v>1309</v>
      </c>
      <c r="B1882" s="14" t="s">
        <v>1310</v>
      </c>
      <c r="D1882" s="14" t="s">
        <v>69</v>
      </c>
    </row>
    <row r="1883" spans="1:4" ht="15.75" customHeight="1" x14ac:dyDescent="0.25">
      <c r="A1883" s="14" t="s">
        <v>1311</v>
      </c>
      <c r="B1883" s="14" t="s">
        <v>1312</v>
      </c>
      <c r="D1883" s="14" t="s">
        <v>69</v>
      </c>
    </row>
    <row r="1884" spans="1:4" ht="15.75" customHeight="1" x14ac:dyDescent="0.25">
      <c r="A1884" s="14" t="s">
        <v>1313</v>
      </c>
      <c r="B1884" s="14" t="s">
        <v>1314</v>
      </c>
      <c r="D1884" s="14" t="s">
        <v>69</v>
      </c>
    </row>
    <row r="1885" spans="1:4" ht="15.75" customHeight="1" x14ac:dyDescent="0.25">
      <c r="A1885" s="14" t="s">
        <v>3240</v>
      </c>
      <c r="B1885" s="14" t="s">
        <v>3241</v>
      </c>
      <c r="D1885" s="14" t="s">
        <v>69</v>
      </c>
    </row>
    <row r="1886" spans="1:4" ht="15.75" customHeight="1" x14ac:dyDescent="0.25">
      <c r="A1886" s="14" t="s">
        <v>1341</v>
      </c>
      <c r="B1886" s="14" t="s">
        <v>1342</v>
      </c>
      <c r="D1886" s="14" t="s">
        <v>69</v>
      </c>
    </row>
    <row r="1887" spans="1:4" ht="15.75" customHeight="1" x14ac:dyDescent="0.25">
      <c r="A1887" s="14" t="s">
        <v>1343</v>
      </c>
      <c r="B1887" s="14" t="s">
        <v>1344</v>
      </c>
      <c r="D1887" s="14" t="s">
        <v>69</v>
      </c>
    </row>
    <row r="1888" spans="1:4" ht="15.75" customHeight="1" x14ac:dyDescent="0.25">
      <c r="A1888" s="14" t="s">
        <v>1349</v>
      </c>
      <c r="B1888" s="14" t="s">
        <v>1350</v>
      </c>
      <c r="D1888" s="14" t="s">
        <v>69</v>
      </c>
    </row>
    <row r="1889" spans="1:4" ht="15.75" customHeight="1" x14ac:dyDescent="0.25">
      <c r="A1889" s="14" t="s">
        <v>1351</v>
      </c>
      <c r="B1889" s="14" t="s">
        <v>1352</v>
      </c>
      <c r="D1889" s="14" t="s">
        <v>69</v>
      </c>
    </row>
    <row r="1890" spans="1:4" ht="15.75" customHeight="1" x14ac:dyDescent="0.25">
      <c r="A1890" s="14" t="s">
        <v>1353</v>
      </c>
      <c r="B1890" s="14" t="s">
        <v>1354</v>
      </c>
      <c r="D1890" s="14" t="s">
        <v>69</v>
      </c>
    </row>
    <row r="1891" spans="1:4" ht="15.75" customHeight="1" x14ac:dyDescent="0.25">
      <c r="A1891" s="14" t="s">
        <v>1355</v>
      </c>
      <c r="B1891" s="14" t="s">
        <v>1356</v>
      </c>
      <c r="D1891" s="14" t="s">
        <v>69</v>
      </c>
    </row>
    <row r="1892" spans="1:4" ht="15.75" customHeight="1" x14ac:dyDescent="0.25">
      <c r="A1892" s="14" t="s">
        <v>3242</v>
      </c>
      <c r="B1892" s="14" t="s">
        <v>3243</v>
      </c>
      <c r="D1892" s="14" t="s">
        <v>69</v>
      </c>
    </row>
    <row r="1893" spans="1:4" ht="15.75" customHeight="1" x14ac:dyDescent="0.25">
      <c r="A1893" s="14" t="s">
        <v>3244</v>
      </c>
      <c r="B1893" s="14" t="s">
        <v>3245</v>
      </c>
      <c r="D1893" s="14" t="s">
        <v>69</v>
      </c>
    </row>
    <row r="1894" spans="1:4" ht="15.75" customHeight="1" x14ac:dyDescent="0.25">
      <c r="A1894" s="14" t="s">
        <v>3246</v>
      </c>
      <c r="B1894" s="14" t="s">
        <v>3247</v>
      </c>
      <c r="D1894" s="14" t="s">
        <v>69</v>
      </c>
    </row>
    <row r="1895" spans="1:4" ht="15.75" customHeight="1" x14ac:dyDescent="0.25">
      <c r="A1895" s="14" t="s">
        <v>1367</v>
      </c>
      <c r="B1895" s="14" t="s">
        <v>1368</v>
      </c>
      <c r="D1895" s="14" t="s">
        <v>69</v>
      </c>
    </row>
    <row r="1896" spans="1:4" ht="15.75" customHeight="1" x14ac:dyDescent="0.25">
      <c r="A1896" s="14" t="s">
        <v>1369</v>
      </c>
      <c r="B1896" s="14" t="s">
        <v>1370</v>
      </c>
      <c r="D1896" s="14" t="s">
        <v>69</v>
      </c>
    </row>
    <row r="1897" spans="1:4" ht="15.75" customHeight="1" x14ac:dyDescent="0.25">
      <c r="A1897" s="14" t="s">
        <v>3248</v>
      </c>
      <c r="B1897" s="14" t="s">
        <v>3249</v>
      </c>
      <c r="D1897" s="14" t="s">
        <v>69</v>
      </c>
    </row>
    <row r="1898" spans="1:4" ht="15.75" customHeight="1" x14ac:dyDescent="0.25">
      <c r="A1898" s="14" t="s">
        <v>1371</v>
      </c>
      <c r="B1898" s="14" t="s">
        <v>1372</v>
      </c>
      <c r="D1898" s="14" t="s">
        <v>69</v>
      </c>
    </row>
    <row r="1899" spans="1:4" ht="15.75" customHeight="1" x14ac:dyDescent="0.25">
      <c r="A1899" s="14" t="s">
        <v>1373</v>
      </c>
      <c r="B1899" s="14" t="s">
        <v>1374</v>
      </c>
      <c r="D1899" s="14" t="s">
        <v>69</v>
      </c>
    </row>
    <row r="1900" spans="1:4" ht="15.75" customHeight="1" x14ac:dyDescent="0.25">
      <c r="A1900" s="14" t="s">
        <v>3250</v>
      </c>
      <c r="B1900" s="14" t="s">
        <v>3251</v>
      </c>
      <c r="D1900" s="14" t="s">
        <v>69</v>
      </c>
    </row>
    <row r="1901" spans="1:4" ht="15.75" customHeight="1" x14ac:dyDescent="0.25">
      <c r="A1901" s="14" t="s">
        <v>3252</v>
      </c>
      <c r="B1901" s="14" t="s">
        <v>3253</v>
      </c>
      <c r="D1901" s="14" t="s">
        <v>69</v>
      </c>
    </row>
    <row r="1902" spans="1:4" ht="15.75" customHeight="1" x14ac:dyDescent="0.25">
      <c r="A1902" s="14" t="s">
        <v>3254</v>
      </c>
      <c r="B1902" s="14" t="s">
        <v>3255</v>
      </c>
      <c r="D1902" s="14" t="s">
        <v>69</v>
      </c>
    </row>
    <row r="1903" spans="1:4" ht="15.75" customHeight="1" x14ac:dyDescent="0.25">
      <c r="A1903" s="14" t="s">
        <v>3256</v>
      </c>
      <c r="B1903" s="14" t="s">
        <v>3257</v>
      </c>
      <c r="D1903" s="14" t="s">
        <v>69</v>
      </c>
    </row>
    <row r="1904" spans="1:4" ht="15.75" customHeight="1" x14ac:dyDescent="0.25">
      <c r="A1904" s="14" t="s">
        <v>3258</v>
      </c>
      <c r="B1904" s="14" t="s">
        <v>3259</v>
      </c>
      <c r="D1904" s="14" t="s">
        <v>69</v>
      </c>
    </row>
    <row r="1905" spans="1:4" ht="15.75" customHeight="1" x14ac:dyDescent="0.25">
      <c r="A1905" s="14" t="s">
        <v>3260</v>
      </c>
      <c r="B1905" s="14" t="s">
        <v>3261</v>
      </c>
      <c r="D1905" s="14" t="s">
        <v>69</v>
      </c>
    </row>
    <row r="1906" spans="1:4" ht="15.75" customHeight="1" x14ac:dyDescent="0.25">
      <c r="A1906" s="14" t="s">
        <v>3262</v>
      </c>
      <c r="B1906" s="14" t="s">
        <v>3263</v>
      </c>
      <c r="D1906" s="14" t="s">
        <v>69</v>
      </c>
    </row>
    <row r="1907" spans="1:4" ht="15.75" customHeight="1" x14ac:dyDescent="0.25">
      <c r="A1907" s="14" t="s">
        <v>1391</v>
      </c>
      <c r="B1907" s="14" t="s">
        <v>1392</v>
      </c>
      <c r="D1907" s="14" t="s">
        <v>69</v>
      </c>
    </row>
    <row r="1908" spans="1:4" ht="15.75" customHeight="1" x14ac:dyDescent="0.25">
      <c r="A1908" s="14" t="s">
        <v>1399</v>
      </c>
      <c r="B1908" s="14" t="s">
        <v>1400</v>
      </c>
      <c r="D1908" s="14" t="s">
        <v>69</v>
      </c>
    </row>
    <row r="1909" spans="1:4" ht="15.75" customHeight="1" x14ac:dyDescent="0.25">
      <c r="A1909" s="14" t="s">
        <v>1401</v>
      </c>
      <c r="B1909" s="14" t="s">
        <v>1402</v>
      </c>
      <c r="D1909" s="14" t="s">
        <v>69</v>
      </c>
    </row>
    <row r="1910" spans="1:4" ht="15.75" customHeight="1" x14ac:dyDescent="0.25">
      <c r="A1910" s="14" t="s">
        <v>1403</v>
      </c>
      <c r="B1910" s="14" t="s">
        <v>1404</v>
      </c>
      <c r="D1910" s="14" t="s">
        <v>69</v>
      </c>
    </row>
    <row r="1911" spans="1:4" ht="15.75" customHeight="1" x14ac:dyDescent="0.25">
      <c r="A1911" s="14" t="s">
        <v>1405</v>
      </c>
      <c r="B1911" s="14" t="s">
        <v>1406</v>
      </c>
      <c r="D1911" s="14" t="s">
        <v>69</v>
      </c>
    </row>
    <row r="1912" spans="1:4" ht="15.75" customHeight="1" x14ac:dyDescent="0.25">
      <c r="A1912" s="14" t="s">
        <v>3264</v>
      </c>
      <c r="B1912" s="14" t="s">
        <v>3265</v>
      </c>
      <c r="D1912" s="14" t="s">
        <v>69</v>
      </c>
    </row>
    <row r="1913" spans="1:4" ht="15.75" customHeight="1" x14ac:dyDescent="0.25">
      <c r="A1913" s="14" t="s">
        <v>1417</v>
      </c>
      <c r="B1913" s="14" t="s">
        <v>1418</v>
      </c>
      <c r="D1913" s="14" t="s">
        <v>69</v>
      </c>
    </row>
    <row r="1914" spans="1:4" ht="15.75" customHeight="1" x14ac:dyDescent="0.25">
      <c r="A1914" s="14" t="s">
        <v>1419</v>
      </c>
      <c r="B1914" s="14" t="s">
        <v>1420</v>
      </c>
      <c r="D1914" s="14" t="s">
        <v>69</v>
      </c>
    </row>
    <row r="1915" spans="1:4" ht="15.75" customHeight="1" x14ac:dyDescent="0.25">
      <c r="A1915" s="14" t="s">
        <v>1423</v>
      </c>
      <c r="B1915" s="14" t="s">
        <v>1424</v>
      </c>
      <c r="D1915" s="14" t="s">
        <v>69</v>
      </c>
    </row>
    <row r="1916" spans="1:4" ht="15.75" customHeight="1" x14ac:dyDescent="0.25">
      <c r="A1916" s="14" t="s">
        <v>1429</v>
      </c>
      <c r="B1916" s="14" t="s">
        <v>1430</v>
      </c>
      <c r="D1916" s="14" t="s">
        <v>69</v>
      </c>
    </row>
    <row r="1917" spans="1:4" ht="15.75" customHeight="1" x14ac:dyDescent="0.25">
      <c r="A1917" s="14" t="s">
        <v>1431</v>
      </c>
      <c r="B1917" s="14" t="s">
        <v>1432</v>
      </c>
      <c r="D1917" s="14" t="s">
        <v>69</v>
      </c>
    </row>
    <row r="1918" spans="1:4" ht="15.75" customHeight="1" x14ac:dyDescent="0.25">
      <c r="A1918" s="14" t="s">
        <v>3266</v>
      </c>
      <c r="B1918" s="14" t="s">
        <v>3267</v>
      </c>
      <c r="D1918" s="14" t="s">
        <v>69</v>
      </c>
    </row>
    <row r="1919" spans="1:4" ht="15.75" customHeight="1" x14ac:dyDescent="0.25">
      <c r="A1919" s="14" t="s">
        <v>1435</v>
      </c>
      <c r="B1919" s="14" t="s">
        <v>1436</v>
      </c>
      <c r="D1919" s="14" t="s">
        <v>69</v>
      </c>
    </row>
    <row r="1920" spans="1:4" ht="15.75" customHeight="1" x14ac:dyDescent="0.25">
      <c r="A1920" s="14" t="s">
        <v>1439</v>
      </c>
      <c r="B1920" s="14" t="s">
        <v>1440</v>
      </c>
      <c r="D1920" s="14" t="s">
        <v>69</v>
      </c>
    </row>
    <row r="1921" spans="1:4" ht="15.75" customHeight="1" x14ac:dyDescent="0.25">
      <c r="A1921" s="14" t="s">
        <v>1441</v>
      </c>
      <c r="B1921" s="14" t="s">
        <v>1442</v>
      </c>
      <c r="D1921" s="14" t="s">
        <v>69</v>
      </c>
    </row>
    <row r="1922" spans="1:4" ht="15.75" customHeight="1" x14ac:dyDescent="0.25">
      <c r="A1922" s="14" t="s">
        <v>1437</v>
      </c>
      <c r="B1922" s="14" t="s">
        <v>1438</v>
      </c>
      <c r="D1922" s="14" t="s">
        <v>69</v>
      </c>
    </row>
    <row r="1923" spans="1:4" ht="15.75" customHeight="1" x14ac:dyDescent="0.25">
      <c r="A1923" s="14" t="s">
        <v>1445</v>
      </c>
      <c r="B1923" s="14" t="s">
        <v>1446</v>
      </c>
      <c r="D1923" s="14" t="s">
        <v>69</v>
      </c>
    </row>
    <row r="1924" spans="1:4" ht="15.75" customHeight="1" x14ac:dyDescent="0.25">
      <c r="A1924" s="14" t="s">
        <v>1421</v>
      </c>
      <c r="B1924" s="14" t="s">
        <v>1422</v>
      </c>
      <c r="D1924" s="14" t="s">
        <v>69</v>
      </c>
    </row>
    <row r="1925" spans="1:4" ht="15.75" customHeight="1" x14ac:dyDescent="0.25">
      <c r="A1925" s="14" t="s">
        <v>529</v>
      </c>
      <c r="B1925" s="14" t="s">
        <v>1458</v>
      </c>
      <c r="D1925" s="14" t="s">
        <v>69</v>
      </c>
    </row>
    <row r="1926" spans="1:4" ht="15.75" customHeight="1" x14ac:dyDescent="0.25">
      <c r="A1926" s="14" t="s">
        <v>3268</v>
      </c>
      <c r="B1926" s="14" t="s">
        <v>3269</v>
      </c>
      <c r="D1926" s="14" t="s">
        <v>69</v>
      </c>
    </row>
    <row r="1927" spans="1:4" ht="15.75" customHeight="1" x14ac:dyDescent="0.25">
      <c r="A1927" s="14">
        <v>1002251</v>
      </c>
      <c r="B1927" s="14" t="s">
        <v>295</v>
      </c>
      <c r="D1927" s="14" t="s">
        <v>69</v>
      </c>
    </row>
    <row r="1928" spans="1:4" ht="15.75" customHeight="1" x14ac:dyDescent="0.25">
      <c r="A1928" s="14">
        <v>1002234</v>
      </c>
      <c r="B1928" s="14" t="s">
        <v>3270</v>
      </c>
      <c r="D1928" s="14" t="s">
        <v>69</v>
      </c>
    </row>
    <row r="1929" spans="1:4" ht="15.75" customHeight="1" x14ac:dyDescent="0.25">
      <c r="A1929" s="14">
        <v>1001168</v>
      </c>
      <c r="B1929" s="14" t="s">
        <v>3271</v>
      </c>
      <c r="D1929" s="14" t="s">
        <v>69</v>
      </c>
    </row>
    <row r="1930" spans="1:4" ht="15.75" customHeight="1" x14ac:dyDescent="0.25">
      <c r="A1930" s="14">
        <v>1002259</v>
      </c>
      <c r="B1930" s="14" t="s">
        <v>296</v>
      </c>
      <c r="D1930" s="14" t="s">
        <v>69</v>
      </c>
    </row>
    <row r="1931" spans="1:4" ht="15.75" customHeight="1" x14ac:dyDescent="0.25">
      <c r="A1931" s="14" t="s">
        <v>3272</v>
      </c>
      <c r="B1931" s="14" t="s">
        <v>3273</v>
      </c>
      <c r="D1931" s="14" t="s">
        <v>69</v>
      </c>
    </row>
    <row r="1932" spans="1:4" ht="15.75" customHeight="1" x14ac:dyDescent="0.25">
      <c r="A1932" s="14" t="s">
        <v>3274</v>
      </c>
      <c r="B1932" s="14" t="s">
        <v>3275</v>
      </c>
      <c r="D1932" s="14" t="s">
        <v>69</v>
      </c>
    </row>
    <row r="1933" spans="1:4" ht="15.75" customHeight="1" x14ac:dyDescent="0.25">
      <c r="A1933" s="14" t="s">
        <v>3276</v>
      </c>
      <c r="B1933" s="14" t="s">
        <v>3277</v>
      </c>
      <c r="D1933" s="14" t="s">
        <v>69</v>
      </c>
    </row>
    <row r="1934" spans="1:4" ht="15.75" customHeight="1" x14ac:dyDescent="0.25">
      <c r="A1934" s="14" t="s">
        <v>3278</v>
      </c>
      <c r="B1934" s="14" t="s">
        <v>3279</v>
      </c>
      <c r="D1934" s="14" t="s">
        <v>69</v>
      </c>
    </row>
    <row r="1935" spans="1:4" ht="15.75" customHeight="1" x14ac:dyDescent="0.25">
      <c r="A1935" s="14" t="s">
        <v>3280</v>
      </c>
      <c r="B1935" s="14" t="s">
        <v>3281</v>
      </c>
      <c r="D1935" s="14" t="s">
        <v>69</v>
      </c>
    </row>
    <row r="1936" spans="1:4" ht="15.75" customHeight="1" x14ac:dyDescent="0.25">
      <c r="A1936" s="14" t="s">
        <v>3282</v>
      </c>
      <c r="B1936" s="14" t="s">
        <v>3283</v>
      </c>
      <c r="D1936" s="14" t="s">
        <v>69</v>
      </c>
    </row>
    <row r="1937" spans="1:4" ht="15.75" customHeight="1" x14ac:dyDescent="0.25">
      <c r="A1937" s="14" t="s">
        <v>1487</v>
      </c>
      <c r="B1937" s="14" t="s">
        <v>1488</v>
      </c>
      <c r="D1937" s="14" t="s">
        <v>69</v>
      </c>
    </row>
    <row r="1938" spans="1:4" ht="15.75" customHeight="1" x14ac:dyDescent="0.25">
      <c r="A1938" s="14" t="s">
        <v>1489</v>
      </c>
      <c r="B1938" s="14" t="s">
        <v>1490</v>
      </c>
      <c r="D1938" s="14" t="s">
        <v>69</v>
      </c>
    </row>
    <row r="1939" spans="1:4" ht="15.75" customHeight="1" x14ac:dyDescent="0.25">
      <c r="A1939" s="14" t="s">
        <v>1491</v>
      </c>
      <c r="B1939" s="14" t="s">
        <v>1492</v>
      </c>
      <c r="D1939" s="14" t="s">
        <v>69</v>
      </c>
    </row>
    <row r="1940" spans="1:4" ht="15.75" customHeight="1" x14ac:dyDescent="0.25">
      <c r="A1940" s="14" t="s">
        <v>1493</v>
      </c>
      <c r="B1940" s="14" t="s">
        <v>1494</v>
      </c>
      <c r="D1940" s="14" t="s">
        <v>69</v>
      </c>
    </row>
    <row r="1941" spans="1:4" ht="15.75" customHeight="1" x14ac:dyDescent="0.25">
      <c r="A1941" s="14" t="s">
        <v>1495</v>
      </c>
      <c r="B1941" s="14" t="s">
        <v>1496</v>
      </c>
      <c r="D1941" s="14" t="s">
        <v>69</v>
      </c>
    </row>
    <row r="1942" spans="1:4" ht="15.75" customHeight="1" x14ac:dyDescent="0.25">
      <c r="A1942" s="14" t="s">
        <v>1497</v>
      </c>
      <c r="B1942" s="14" t="s">
        <v>1498</v>
      </c>
      <c r="D1942" s="14" t="s">
        <v>69</v>
      </c>
    </row>
    <row r="1943" spans="1:4" ht="15.75" customHeight="1" x14ac:dyDescent="0.25">
      <c r="A1943" s="14" t="s">
        <v>1499</v>
      </c>
      <c r="B1943" s="14" t="s">
        <v>1500</v>
      </c>
      <c r="D1943" s="14" t="s">
        <v>69</v>
      </c>
    </row>
    <row r="1944" spans="1:4" ht="15.75" customHeight="1" x14ac:dyDescent="0.25">
      <c r="A1944" s="14" t="s">
        <v>1501</v>
      </c>
      <c r="B1944" s="14" t="s">
        <v>1502</v>
      </c>
      <c r="D1944" s="14" t="s">
        <v>69</v>
      </c>
    </row>
    <row r="1945" spans="1:4" ht="15.75" customHeight="1" x14ac:dyDescent="0.25">
      <c r="A1945" s="14" t="s">
        <v>1503</v>
      </c>
      <c r="B1945" s="14" t="s">
        <v>1504</v>
      </c>
      <c r="D1945" s="14" t="s">
        <v>69</v>
      </c>
    </row>
    <row r="1946" spans="1:4" ht="15.75" customHeight="1" x14ac:dyDescent="0.25">
      <c r="A1946" s="14" t="s">
        <v>1505</v>
      </c>
      <c r="B1946" s="14" t="s">
        <v>1506</v>
      </c>
      <c r="D1946" s="14" t="s">
        <v>69</v>
      </c>
    </row>
    <row r="1947" spans="1:4" ht="15.75" customHeight="1" x14ac:dyDescent="0.25">
      <c r="A1947" s="14" t="s">
        <v>1507</v>
      </c>
      <c r="B1947" s="14" t="s">
        <v>1508</v>
      </c>
      <c r="D1947" s="14" t="s">
        <v>69</v>
      </c>
    </row>
    <row r="1948" spans="1:4" ht="15.75" customHeight="1" x14ac:dyDescent="0.25">
      <c r="A1948" s="14" t="s">
        <v>1509</v>
      </c>
      <c r="B1948" s="14" t="s">
        <v>1510</v>
      </c>
      <c r="D1948" s="14" t="s">
        <v>69</v>
      </c>
    </row>
    <row r="1949" spans="1:4" ht="15.75" customHeight="1" x14ac:dyDescent="0.25">
      <c r="A1949" s="14" t="s">
        <v>1511</v>
      </c>
      <c r="B1949" s="14" t="s">
        <v>1512</v>
      </c>
      <c r="D1949" s="14" t="s">
        <v>69</v>
      </c>
    </row>
    <row r="1950" spans="1:4" ht="15.75" customHeight="1" x14ac:dyDescent="0.25">
      <c r="A1950" s="14" t="s">
        <v>1513</v>
      </c>
      <c r="B1950" s="14" t="s">
        <v>1514</v>
      </c>
      <c r="D1950" s="14" t="s">
        <v>69</v>
      </c>
    </row>
    <row r="1951" spans="1:4" ht="15.75" customHeight="1" x14ac:dyDescent="0.25">
      <c r="A1951" s="14" t="s">
        <v>1515</v>
      </c>
      <c r="B1951" s="14" t="s">
        <v>1516</v>
      </c>
      <c r="D1951" s="14" t="s">
        <v>69</v>
      </c>
    </row>
    <row r="1952" spans="1:4" ht="15.75" customHeight="1" x14ac:dyDescent="0.25">
      <c r="A1952" s="14" t="s">
        <v>1517</v>
      </c>
      <c r="B1952" s="14" t="s">
        <v>1518</v>
      </c>
      <c r="D1952" s="14" t="s">
        <v>69</v>
      </c>
    </row>
    <row r="1953" spans="1:4" ht="15.75" customHeight="1" x14ac:dyDescent="0.25">
      <c r="A1953" s="14" t="s">
        <v>1519</v>
      </c>
      <c r="B1953" s="14" t="s">
        <v>1520</v>
      </c>
      <c r="D1953" s="14" t="s">
        <v>69</v>
      </c>
    </row>
    <row r="1954" spans="1:4" ht="15.75" customHeight="1" x14ac:dyDescent="0.25">
      <c r="A1954" s="14" t="s">
        <v>1521</v>
      </c>
      <c r="B1954" s="14" t="s">
        <v>1522</v>
      </c>
      <c r="D1954" s="14" t="s">
        <v>69</v>
      </c>
    </row>
    <row r="1955" spans="1:4" ht="15.75" customHeight="1" x14ac:dyDescent="0.25">
      <c r="A1955" s="14" t="s">
        <v>1523</v>
      </c>
      <c r="B1955" s="14" t="s">
        <v>1524</v>
      </c>
      <c r="D1955" s="14" t="s">
        <v>69</v>
      </c>
    </row>
    <row r="1956" spans="1:4" ht="15.75" customHeight="1" x14ac:dyDescent="0.25">
      <c r="A1956" s="14" t="s">
        <v>1525</v>
      </c>
      <c r="B1956" s="14" t="s">
        <v>1526</v>
      </c>
      <c r="D1956" s="14" t="s">
        <v>69</v>
      </c>
    </row>
    <row r="1957" spans="1:4" ht="15.75" customHeight="1" x14ac:dyDescent="0.25">
      <c r="A1957" s="14" t="s">
        <v>3284</v>
      </c>
      <c r="B1957" s="14" t="s">
        <v>3285</v>
      </c>
      <c r="D1957" s="14" t="s">
        <v>69</v>
      </c>
    </row>
    <row r="1958" spans="1:4" ht="15.75" customHeight="1" x14ac:dyDescent="0.25">
      <c r="A1958" s="14" t="s">
        <v>3286</v>
      </c>
      <c r="B1958" s="14" t="s">
        <v>3287</v>
      </c>
      <c r="D1958" s="14" t="s">
        <v>69</v>
      </c>
    </row>
    <row r="1959" spans="1:4" ht="15.75" customHeight="1" x14ac:dyDescent="0.25">
      <c r="A1959" s="14" t="s">
        <v>3288</v>
      </c>
      <c r="B1959" s="14" t="s">
        <v>3289</v>
      </c>
      <c r="D1959" s="14" t="s">
        <v>69</v>
      </c>
    </row>
    <row r="1960" spans="1:4" ht="15.75" customHeight="1" x14ac:dyDescent="0.25">
      <c r="A1960" s="14" t="s">
        <v>3290</v>
      </c>
      <c r="B1960" s="14" t="s">
        <v>3291</v>
      </c>
      <c r="D1960" s="14" t="s">
        <v>69</v>
      </c>
    </row>
    <row r="1961" spans="1:4" ht="15.75" customHeight="1" x14ac:dyDescent="0.25">
      <c r="A1961" s="14" t="s">
        <v>3292</v>
      </c>
      <c r="B1961" s="14" t="s">
        <v>3293</v>
      </c>
      <c r="D1961" s="14" t="s">
        <v>69</v>
      </c>
    </row>
    <row r="1962" spans="1:4" ht="15.75" customHeight="1" x14ac:dyDescent="0.25">
      <c r="A1962" s="14" t="s">
        <v>3294</v>
      </c>
      <c r="B1962" s="14" t="s">
        <v>3295</v>
      </c>
      <c r="D1962" s="14" t="s">
        <v>69</v>
      </c>
    </row>
    <row r="1963" spans="1:4" ht="15.75" customHeight="1" x14ac:dyDescent="0.25">
      <c r="A1963" s="14" t="s">
        <v>3296</v>
      </c>
      <c r="B1963" s="14" t="s">
        <v>3297</v>
      </c>
      <c r="D1963" s="14" t="s">
        <v>69</v>
      </c>
    </row>
    <row r="1964" spans="1:4" ht="15.75" customHeight="1" x14ac:dyDescent="0.25">
      <c r="A1964" s="14" t="s">
        <v>3298</v>
      </c>
      <c r="B1964" s="14" t="s">
        <v>3299</v>
      </c>
      <c r="D1964" s="14" t="s">
        <v>69</v>
      </c>
    </row>
    <row r="1965" spans="1:4" ht="15.75" customHeight="1" x14ac:dyDescent="0.25">
      <c r="A1965" s="14" t="s">
        <v>3300</v>
      </c>
      <c r="B1965" s="14" t="s">
        <v>3301</v>
      </c>
      <c r="D1965" s="14" t="s">
        <v>69</v>
      </c>
    </row>
    <row r="1966" spans="1:4" ht="15.75" customHeight="1" x14ac:dyDescent="0.25">
      <c r="A1966" s="14" t="s">
        <v>3302</v>
      </c>
      <c r="B1966" s="14" t="s">
        <v>3303</v>
      </c>
      <c r="D1966" s="14" t="s">
        <v>69</v>
      </c>
    </row>
    <row r="1967" spans="1:4" ht="15.75" customHeight="1" x14ac:dyDescent="0.25">
      <c r="A1967" s="14" t="s">
        <v>3304</v>
      </c>
      <c r="B1967" s="14" t="s">
        <v>3305</v>
      </c>
      <c r="D1967" s="14" t="s">
        <v>69</v>
      </c>
    </row>
    <row r="1968" spans="1:4" ht="15.75" customHeight="1" x14ac:dyDescent="0.25">
      <c r="A1968" s="14" t="s">
        <v>1551</v>
      </c>
      <c r="B1968" s="14" t="s">
        <v>1552</v>
      </c>
      <c r="D1968" s="14" t="s">
        <v>69</v>
      </c>
    </row>
    <row r="1969" spans="1:4" ht="15.75" customHeight="1" x14ac:dyDescent="0.25">
      <c r="A1969" s="14" t="s">
        <v>1553</v>
      </c>
      <c r="B1969" s="14" t="s">
        <v>1554</v>
      </c>
      <c r="D1969" s="14" t="s">
        <v>69</v>
      </c>
    </row>
    <row r="1970" spans="1:4" ht="15.75" customHeight="1" x14ac:dyDescent="0.25">
      <c r="A1970" s="14" t="s">
        <v>1555</v>
      </c>
      <c r="B1970" s="14" t="s">
        <v>1556</v>
      </c>
      <c r="D1970" s="14" t="s">
        <v>69</v>
      </c>
    </row>
    <row r="1971" spans="1:4" ht="15.75" customHeight="1" x14ac:dyDescent="0.25">
      <c r="A1971" s="14" t="s">
        <v>1557</v>
      </c>
      <c r="B1971" s="14" t="s">
        <v>1558</v>
      </c>
      <c r="D1971" s="14" t="s">
        <v>69</v>
      </c>
    </row>
    <row r="1972" spans="1:4" ht="15.75" customHeight="1" x14ac:dyDescent="0.25">
      <c r="A1972" s="14" t="s">
        <v>1559</v>
      </c>
      <c r="B1972" s="14" t="s">
        <v>1560</v>
      </c>
      <c r="D1972" s="14" t="s">
        <v>69</v>
      </c>
    </row>
    <row r="1973" spans="1:4" ht="15.75" customHeight="1" x14ac:dyDescent="0.25">
      <c r="A1973" s="14" t="s">
        <v>1561</v>
      </c>
      <c r="B1973" s="14" t="s">
        <v>1562</v>
      </c>
      <c r="D1973" s="14" t="s">
        <v>69</v>
      </c>
    </row>
    <row r="1974" spans="1:4" ht="15.75" customHeight="1" x14ac:dyDescent="0.25">
      <c r="A1974" s="14" t="s">
        <v>1563</v>
      </c>
      <c r="B1974" s="14" t="s">
        <v>1564</v>
      </c>
      <c r="D1974" s="14" t="s">
        <v>69</v>
      </c>
    </row>
    <row r="1975" spans="1:4" ht="15.75" customHeight="1" x14ac:dyDescent="0.25">
      <c r="A1975" s="14" t="s">
        <v>1565</v>
      </c>
      <c r="B1975" s="14" t="s">
        <v>1566</v>
      </c>
      <c r="D1975" s="14" t="s">
        <v>69</v>
      </c>
    </row>
    <row r="1976" spans="1:4" ht="15.75" customHeight="1" x14ac:dyDescent="0.25">
      <c r="A1976" s="14" t="s">
        <v>1567</v>
      </c>
      <c r="B1976" s="14" t="s">
        <v>1568</v>
      </c>
      <c r="D1976" s="14" t="s">
        <v>69</v>
      </c>
    </row>
    <row r="1977" spans="1:4" ht="15.75" customHeight="1" x14ac:dyDescent="0.25">
      <c r="A1977" s="14" t="s">
        <v>1569</v>
      </c>
      <c r="B1977" s="14" t="s">
        <v>1570</v>
      </c>
      <c r="D1977" s="14" t="s">
        <v>69</v>
      </c>
    </row>
    <row r="1978" spans="1:4" ht="15.75" customHeight="1" x14ac:dyDescent="0.25">
      <c r="A1978" s="14" t="s">
        <v>1571</v>
      </c>
      <c r="B1978" s="14" t="s">
        <v>1572</v>
      </c>
      <c r="D1978" s="14" t="s">
        <v>69</v>
      </c>
    </row>
    <row r="1979" spans="1:4" ht="15.75" customHeight="1" x14ac:dyDescent="0.25">
      <c r="A1979" s="14" t="s">
        <v>1573</v>
      </c>
      <c r="B1979" s="14" t="s">
        <v>1574</v>
      </c>
      <c r="D1979" s="14" t="s">
        <v>69</v>
      </c>
    </row>
    <row r="1980" spans="1:4" ht="15.75" customHeight="1" x14ac:dyDescent="0.25">
      <c r="A1980" s="14" t="s">
        <v>1575</v>
      </c>
      <c r="B1980" s="14" t="s">
        <v>1576</v>
      </c>
      <c r="D1980" s="14" t="s">
        <v>69</v>
      </c>
    </row>
    <row r="1981" spans="1:4" ht="15.75" customHeight="1" x14ac:dyDescent="0.25">
      <c r="A1981" s="14" t="s">
        <v>1577</v>
      </c>
      <c r="B1981" s="14" t="s">
        <v>1578</v>
      </c>
      <c r="D1981" s="14" t="s">
        <v>69</v>
      </c>
    </row>
    <row r="1982" spans="1:4" ht="15.75" customHeight="1" x14ac:dyDescent="0.25">
      <c r="A1982" s="14" t="s">
        <v>1579</v>
      </c>
      <c r="B1982" s="14" t="s">
        <v>1580</v>
      </c>
      <c r="D1982" s="14" t="s">
        <v>69</v>
      </c>
    </row>
    <row r="1983" spans="1:4" ht="15.75" customHeight="1" x14ac:dyDescent="0.25">
      <c r="A1983" s="14" t="s">
        <v>3306</v>
      </c>
      <c r="B1983" s="14" t="s">
        <v>3307</v>
      </c>
      <c r="D1983" s="14" t="s">
        <v>69</v>
      </c>
    </row>
    <row r="1984" spans="1:4" ht="15.75" customHeight="1" x14ac:dyDescent="0.25">
      <c r="A1984" s="14" t="s">
        <v>3308</v>
      </c>
      <c r="B1984" s="14" t="s">
        <v>3309</v>
      </c>
      <c r="D1984" s="14" t="s">
        <v>69</v>
      </c>
    </row>
    <row r="1985" spans="1:4" ht="15.75" customHeight="1" x14ac:dyDescent="0.25">
      <c r="A1985" s="14" t="s">
        <v>3310</v>
      </c>
      <c r="B1985" s="14" t="s">
        <v>3311</v>
      </c>
      <c r="D1985" s="14" t="s">
        <v>69</v>
      </c>
    </row>
    <row r="1986" spans="1:4" ht="15.75" customHeight="1" x14ac:dyDescent="0.25">
      <c r="A1986" s="14" t="s">
        <v>3312</v>
      </c>
      <c r="B1986" s="14" t="s">
        <v>3313</v>
      </c>
      <c r="D1986" s="14" t="s">
        <v>69</v>
      </c>
    </row>
    <row r="1987" spans="1:4" ht="15.75" customHeight="1" x14ac:dyDescent="0.25">
      <c r="A1987" s="14" t="s">
        <v>3314</v>
      </c>
      <c r="B1987" s="14" t="s">
        <v>3315</v>
      </c>
      <c r="D1987" s="14" t="s">
        <v>69</v>
      </c>
    </row>
    <row r="1988" spans="1:4" ht="15.75" customHeight="1" x14ac:dyDescent="0.25">
      <c r="A1988" s="14" t="s">
        <v>3316</v>
      </c>
      <c r="B1988" s="14" t="s">
        <v>3317</v>
      </c>
      <c r="D1988" s="14" t="s">
        <v>69</v>
      </c>
    </row>
    <row r="1989" spans="1:4" ht="15.75" customHeight="1" x14ac:dyDescent="0.25">
      <c r="A1989" s="14" t="s">
        <v>3318</v>
      </c>
      <c r="B1989" s="14" t="s">
        <v>3319</v>
      </c>
      <c r="D1989" s="14" t="s">
        <v>69</v>
      </c>
    </row>
    <row r="1990" spans="1:4" ht="15.75" customHeight="1" x14ac:dyDescent="0.25">
      <c r="A1990" s="14" t="s">
        <v>3320</v>
      </c>
      <c r="B1990" s="14" t="s">
        <v>3321</v>
      </c>
      <c r="D1990" s="14" t="s">
        <v>69</v>
      </c>
    </row>
    <row r="1991" spans="1:4" ht="15.75" customHeight="1" x14ac:dyDescent="0.25">
      <c r="A1991" s="14" t="s">
        <v>3322</v>
      </c>
      <c r="B1991" s="14" t="s">
        <v>3323</v>
      </c>
      <c r="D1991" s="14" t="s">
        <v>69</v>
      </c>
    </row>
    <row r="1992" spans="1:4" ht="15.75" customHeight="1" x14ac:dyDescent="0.25">
      <c r="A1992" s="14" t="s">
        <v>3324</v>
      </c>
      <c r="B1992" s="14" t="s">
        <v>3325</v>
      </c>
      <c r="D1992" s="14" t="s">
        <v>69</v>
      </c>
    </row>
    <row r="1993" spans="1:4" ht="15.75" customHeight="1" x14ac:dyDescent="0.25">
      <c r="A1993" s="14" t="s">
        <v>3326</v>
      </c>
      <c r="B1993" s="14" t="s">
        <v>3327</v>
      </c>
      <c r="D1993" s="14" t="s">
        <v>69</v>
      </c>
    </row>
    <row r="1994" spans="1:4" ht="15.75" customHeight="1" x14ac:dyDescent="0.25">
      <c r="A1994" s="14" t="s">
        <v>1581</v>
      </c>
      <c r="B1994" s="14" t="s">
        <v>1582</v>
      </c>
      <c r="D1994" s="14" t="s">
        <v>69</v>
      </c>
    </row>
    <row r="1995" spans="1:4" ht="15.75" customHeight="1" x14ac:dyDescent="0.25">
      <c r="A1995" s="14" t="s">
        <v>3328</v>
      </c>
      <c r="B1995" s="14" t="s">
        <v>3329</v>
      </c>
      <c r="D1995" s="14" t="s">
        <v>69</v>
      </c>
    </row>
    <row r="1996" spans="1:4" ht="15.75" customHeight="1" x14ac:dyDescent="0.25">
      <c r="A1996" s="14" t="s">
        <v>3330</v>
      </c>
      <c r="B1996" s="14" t="s">
        <v>3331</v>
      </c>
      <c r="D1996" s="14" t="s">
        <v>69</v>
      </c>
    </row>
    <row r="1997" spans="1:4" ht="15.75" customHeight="1" x14ac:dyDescent="0.25">
      <c r="A1997" s="14" t="s">
        <v>3332</v>
      </c>
      <c r="B1997" s="14" t="s">
        <v>3333</v>
      </c>
      <c r="D1997" s="14" t="s">
        <v>69</v>
      </c>
    </row>
    <row r="1998" spans="1:4" ht="15.75" customHeight="1" x14ac:dyDescent="0.25">
      <c r="A1998" s="14" t="s">
        <v>3334</v>
      </c>
      <c r="B1998" s="14" t="s">
        <v>3335</v>
      </c>
      <c r="D1998" s="14" t="s">
        <v>69</v>
      </c>
    </row>
    <row r="1999" spans="1:4" ht="15.75" customHeight="1" x14ac:dyDescent="0.25">
      <c r="A1999" s="14" t="s">
        <v>3336</v>
      </c>
      <c r="B1999" s="14" t="s">
        <v>3337</v>
      </c>
      <c r="D1999" s="14" t="s">
        <v>69</v>
      </c>
    </row>
    <row r="2000" spans="1:4" ht="15.75" customHeight="1" x14ac:dyDescent="0.25">
      <c r="A2000" s="14" t="s">
        <v>3338</v>
      </c>
      <c r="B2000" s="14" t="s">
        <v>3339</v>
      </c>
      <c r="D2000" s="14" t="s">
        <v>69</v>
      </c>
    </row>
    <row r="2001" spans="1:4" ht="15.75" customHeight="1" x14ac:dyDescent="0.25">
      <c r="A2001" s="14" t="s">
        <v>3340</v>
      </c>
      <c r="B2001" s="14" t="s">
        <v>3341</v>
      </c>
      <c r="D2001" s="14" t="s">
        <v>69</v>
      </c>
    </row>
    <row r="2002" spans="1:4" ht="15.75" customHeight="1" x14ac:dyDescent="0.25">
      <c r="A2002" s="14" t="s">
        <v>3342</v>
      </c>
      <c r="B2002" s="14" t="s">
        <v>3343</v>
      </c>
      <c r="D2002" s="14" t="s">
        <v>69</v>
      </c>
    </row>
    <row r="2003" spans="1:4" ht="15.75" customHeight="1" x14ac:dyDescent="0.25">
      <c r="A2003" s="14" t="s">
        <v>3344</v>
      </c>
      <c r="B2003" s="14" t="s">
        <v>3345</v>
      </c>
      <c r="D2003" s="14" t="s">
        <v>69</v>
      </c>
    </row>
    <row r="2004" spans="1:4" ht="15.75" customHeight="1" x14ac:dyDescent="0.25">
      <c r="A2004" s="14" t="s">
        <v>3346</v>
      </c>
      <c r="B2004" s="14" t="s">
        <v>3347</v>
      </c>
      <c r="D2004" s="14" t="s">
        <v>69</v>
      </c>
    </row>
    <row r="2005" spans="1:4" ht="15.75" customHeight="1" x14ac:dyDescent="0.25">
      <c r="A2005" s="14" t="s">
        <v>3348</v>
      </c>
      <c r="B2005" s="14" t="s">
        <v>3349</v>
      </c>
      <c r="D2005" s="14" t="s">
        <v>69</v>
      </c>
    </row>
    <row r="2006" spans="1:4" ht="15.75" customHeight="1" x14ac:dyDescent="0.25">
      <c r="A2006" s="14" t="s">
        <v>3350</v>
      </c>
      <c r="B2006" s="14" t="s">
        <v>3351</v>
      </c>
      <c r="D2006" s="14" t="s">
        <v>69</v>
      </c>
    </row>
    <row r="2007" spans="1:4" ht="15.75" customHeight="1" x14ac:dyDescent="0.25">
      <c r="A2007" s="14" t="s">
        <v>3352</v>
      </c>
      <c r="B2007" s="14" t="s">
        <v>3353</v>
      </c>
      <c r="D2007" s="14" t="s">
        <v>69</v>
      </c>
    </row>
    <row r="2008" spans="1:4" ht="15.75" customHeight="1" x14ac:dyDescent="0.25">
      <c r="A2008" s="14" t="s">
        <v>3354</v>
      </c>
      <c r="B2008" s="14" t="s">
        <v>3355</v>
      </c>
      <c r="D2008" s="14" t="s">
        <v>69</v>
      </c>
    </row>
    <row r="2009" spans="1:4" ht="15.75" customHeight="1" x14ac:dyDescent="0.25">
      <c r="A2009" s="14" t="s">
        <v>3356</v>
      </c>
      <c r="B2009" s="14" t="s">
        <v>3357</v>
      </c>
      <c r="D2009" s="14" t="s">
        <v>69</v>
      </c>
    </row>
    <row r="2010" spans="1:4" ht="15.75" customHeight="1" x14ac:dyDescent="0.25">
      <c r="A2010" s="14" t="s">
        <v>3358</v>
      </c>
      <c r="B2010" s="14" t="s">
        <v>3359</v>
      </c>
      <c r="D2010" s="14" t="s">
        <v>69</v>
      </c>
    </row>
    <row r="2011" spans="1:4" ht="15.75" customHeight="1" x14ac:dyDescent="0.25">
      <c r="A2011" s="14" t="s">
        <v>3360</v>
      </c>
      <c r="B2011" s="14" t="s">
        <v>3361</v>
      </c>
      <c r="D2011" s="14" t="s">
        <v>69</v>
      </c>
    </row>
    <row r="2012" spans="1:4" ht="15.75" customHeight="1" x14ac:dyDescent="0.25">
      <c r="A2012" s="14" t="s">
        <v>3362</v>
      </c>
      <c r="B2012" s="14" t="s">
        <v>3363</v>
      </c>
      <c r="D2012" s="14" t="s">
        <v>69</v>
      </c>
    </row>
    <row r="2013" spans="1:4" ht="15.75" customHeight="1" x14ac:dyDescent="0.25">
      <c r="A2013" s="14" t="s">
        <v>3364</v>
      </c>
      <c r="B2013" s="14" t="s">
        <v>3365</v>
      </c>
      <c r="D2013" s="14" t="s">
        <v>69</v>
      </c>
    </row>
    <row r="2014" spans="1:4" ht="15.75" customHeight="1" x14ac:dyDescent="0.25">
      <c r="A2014" s="14" t="s">
        <v>3366</v>
      </c>
      <c r="B2014" s="14" t="s">
        <v>3367</v>
      </c>
      <c r="D2014" s="14" t="s">
        <v>69</v>
      </c>
    </row>
    <row r="2015" spans="1:4" ht="15.75" customHeight="1" x14ac:dyDescent="0.25">
      <c r="A2015" s="14" t="s">
        <v>3368</v>
      </c>
      <c r="B2015" s="14" t="s">
        <v>3369</v>
      </c>
      <c r="D2015" s="14" t="s">
        <v>69</v>
      </c>
    </row>
    <row r="2016" spans="1:4" ht="15.75" customHeight="1" x14ac:dyDescent="0.25">
      <c r="A2016" s="14" t="s">
        <v>3370</v>
      </c>
      <c r="B2016" s="14" t="s">
        <v>3371</v>
      </c>
      <c r="D2016" s="14" t="s">
        <v>69</v>
      </c>
    </row>
    <row r="2017" spans="1:4" ht="15.75" customHeight="1" x14ac:dyDescent="0.25">
      <c r="A2017" s="14" t="s">
        <v>3372</v>
      </c>
      <c r="B2017" s="14" t="s">
        <v>3373</v>
      </c>
      <c r="D2017" s="14" t="s">
        <v>69</v>
      </c>
    </row>
    <row r="2018" spans="1:4" ht="15.75" customHeight="1" x14ac:dyDescent="0.25">
      <c r="A2018" s="14" t="s">
        <v>3374</v>
      </c>
      <c r="B2018" s="14" t="s">
        <v>3375</v>
      </c>
      <c r="D2018" s="14" t="s">
        <v>69</v>
      </c>
    </row>
    <row r="2019" spans="1:4" ht="15.75" customHeight="1" x14ac:dyDescent="0.25">
      <c r="A2019" s="14" t="s">
        <v>3376</v>
      </c>
      <c r="B2019" s="14" t="s">
        <v>3377</v>
      </c>
      <c r="D2019" s="14" t="s">
        <v>69</v>
      </c>
    </row>
    <row r="2020" spans="1:4" ht="15.75" customHeight="1" x14ac:dyDescent="0.25">
      <c r="A2020" s="14" t="s">
        <v>3378</v>
      </c>
      <c r="B2020" s="14" t="s">
        <v>3379</v>
      </c>
      <c r="D2020" s="14" t="s">
        <v>69</v>
      </c>
    </row>
    <row r="2021" spans="1:4" ht="15.75" customHeight="1" x14ac:dyDescent="0.25">
      <c r="A2021" s="14" t="s">
        <v>3380</v>
      </c>
      <c r="B2021" s="14" t="s">
        <v>3381</v>
      </c>
      <c r="D2021" s="14" t="s">
        <v>69</v>
      </c>
    </row>
    <row r="2022" spans="1:4" ht="15.75" customHeight="1" x14ac:dyDescent="0.25">
      <c r="A2022" s="14" t="s">
        <v>3382</v>
      </c>
      <c r="B2022" s="14" t="s">
        <v>3383</v>
      </c>
      <c r="D2022" s="14" t="s">
        <v>69</v>
      </c>
    </row>
    <row r="2023" spans="1:4" ht="15.75" customHeight="1" x14ac:dyDescent="0.25">
      <c r="A2023" s="14" t="s">
        <v>1583</v>
      </c>
      <c r="B2023" s="14" t="s">
        <v>1584</v>
      </c>
      <c r="D2023" s="14" t="s">
        <v>69</v>
      </c>
    </row>
    <row r="2024" spans="1:4" ht="15.75" customHeight="1" x14ac:dyDescent="0.25">
      <c r="A2024" s="14" t="s">
        <v>1585</v>
      </c>
      <c r="B2024" s="14" t="s">
        <v>1586</v>
      </c>
      <c r="D2024" s="14" t="s">
        <v>69</v>
      </c>
    </row>
    <row r="2025" spans="1:4" ht="15.75" customHeight="1" x14ac:dyDescent="0.25">
      <c r="A2025" s="14" t="s">
        <v>1587</v>
      </c>
      <c r="B2025" s="14" t="s">
        <v>1588</v>
      </c>
      <c r="D2025" s="14" t="s">
        <v>69</v>
      </c>
    </row>
    <row r="2026" spans="1:4" ht="15.75" customHeight="1" x14ac:dyDescent="0.25">
      <c r="A2026" s="14" t="s">
        <v>1611</v>
      </c>
      <c r="B2026" s="14" t="s">
        <v>1612</v>
      </c>
      <c r="D2026" s="14" t="s">
        <v>69</v>
      </c>
    </row>
    <row r="2027" spans="1:4" ht="15.75" customHeight="1" x14ac:dyDescent="0.25">
      <c r="A2027" s="14" t="s">
        <v>1623</v>
      </c>
      <c r="B2027" s="14" t="s">
        <v>1624</v>
      </c>
      <c r="D2027" s="14" t="s">
        <v>69</v>
      </c>
    </row>
    <row r="2028" spans="1:4" ht="15.75" customHeight="1" x14ac:dyDescent="0.25">
      <c r="A2028" s="14" t="s">
        <v>1625</v>
      </c>
      <c r="B2028" s="14" t="s">
        <v>1626</v>
      </c>
      <c r="D2028" s="14" t="s">
        <v>69</v>
      </c>
    </row>
    <row r="2029" spans="1:4" ht="15.75" customHeight="1" x14ac:dyDescent="0.25">
      <c r="A2029" s="14" t="s">
        <v>1627</v>
      </c>
      <c r="B2029" s="14" t="s">
        <v>1628</v>
      </c>
      <c r="D2029" s="14" t="s">
        <v>69</v>
      </c>
    </row>
    <row r="2030" spans="1:4" ht="15.75" customHeight="1" x14ac:dyDescent="0.25">
      <c r="A2030" s="14" t="s">
        <v>1629</v>
      </c>
      <c r="B2030" s="14" t="s">
        <v>1630</v>
      </c>
      <c r="D2030" s="14" t="s">
        <v>69</v>
      </c>
    </row>
    <row r="2031" spans="1:4" ht="15.75" customHeight="1" x14ac:dyDescent="0.25">
      <c r="A2031" s="14" t="s">
        <v>3384</v>
      </c>
      <c r="B2031" s="14" t="s">
        <v>3385</v>
      </c>
      <c r="D2031" s="14" t="s">
        <v>69</v>
      </c>
    </row>
    <row r="2032" spans="1:4" ht="15.75" customHeight="1" x14ac:dyDescent="0.25">
      <c r="A2032" s="14" t="s">
        <v>3386</v>
      </c>
      <c r="B2032" s="14" t="s">
        <v>3387</v>
      </c>
      <c r="D2032" s="14" t="s">
        <v>69</v>
      </c>
    </row>
    <row r="2033" spans="1:4" ht="15.75" customHeight="1" x14ac:dyDescent="0.25">
      <c r="A2033" s="14" t="s">
        <v>3388</v>
      </c>
      <c r="B2033" s="14" t="s">
        <v>3389</v>
      </c>
      <c r="D2033" s="14" t="s">
        <v>69</v>
      </c>
    </row>
    <row r="2034" spans="1:4" ht="15.75" customHeight="1" x14ac:dyDescent="0.25">
      <c r="A2034" s="14" t="s">
        <v>1643</v>
      </c>
      <c r="B2034" s="14" t="s">
        <v>1644</v>
      </c>
      <c r="D2034" s="14" t="s">
        <v>69</v>
      </c>
    </row>
    <row r="2035" spans="1:4" ht="15.75" customHeight="1" x14ac:dyDescent="0.25">
      <c r="A2035" s="14" t="s">
        <v>1645</v>
      </c>
      <c r="B2035" s="14" t="s">
        <v>1646</v>
      </c>
      <c r="D2035" s="14" t="s">
        <v>69</v>
      </c>
    </row>
    <row r="2036" spans="1:4" ht="15.75" customHeight="1" x14ac:dyDescent="0.25">
      <c r="A2036" s="14" t="s">
        <v>1647</v>
      </c>
      <c r="B2036" s="14" t="s">
        <v>1648</v>
      </c>
      <c r="D2036" s="14" t="s">
        <v>69</v>
      </c>
    </row>
    <row r="2037" spans="1:4" ht="15.75" customHeight="1" x14ac:dyDescent="0.25">
      <c r="A2037" s="14" t="s">
        <v>3390</v>
      </c>
      <c r="B2037" s="14" t="s">
        <v>3391</v>
      </c>
      <c r="D2037" s="14" t="s">
        <v>69</v>
      </c>
    </row>
    <row r="2038" spans="1:4" ht="15.75" customHeight="1" x14ac:dyDescent="0.25">
      <c r="A2038" s="14" t="s">
        <v>1649</v>
      </c>
      <c r="B2038" s="14" t="s">
        <v>1650</v>
      </c>
      <c r="D2038" s="14" t="s">
        <v>69</v>
      </c>
    </row>
    <row r="2039" spans="1:4" ht="15.75" customHeight="1" x14ac:dyDescent="0.25">
      <c r="A2039" s="14" t="s">
        <v>1651</v>
      </c>
      <c r="B2039" s="14" t="s">
        <v>1652</v>
      </c>
      <c r="D2039" s="14" t="s">
        <v>69</v>
      </c>
    </row>
    <row r="2040" spans="1:4" ht="15.75" customHeight="1" x14ac:dyDescent="0.25">
      <c r="A2040" s="14" t="s">
        <v>3392</v>
      </c>
      <c r="B2040" s="14" t="s">
        <v>3393</v>
      </c>
      <c r="D2040" s="14" t="s">
        <v>69</v>
      </c>
    </row>
    <row r="2041" spans="1:4" ht="15.75" customHeight="1" x14ac:dyDescent="0.25">
      <c r="A2041" s="14" t="s">
        <v>3394</v>
      </c>
      <c r="B2041" s="14" t="s">
        <v>3395</v>
      </c>
      <c r="D2041" s="14" t="s">
        <v>69</v>
      </c>
    </row>
    <row r="2042" spans="1:4" ht="15.75" customHeight="1" x14ac:dyDescent="0.25">
      <c r="A2042" s="14" t="s">
        <v>3396</v>
      </c>
      <c r="B2042" s="14" t="s">
        <v>3397</v>
      </c>
      <c r="D2042" s="14" t="s">
        <v>69</v>
      </c>
    </row>
    <row r="2043" spans="1:4" ht="15.75" customHeight="1" x14ac:dyDescent="0.25">
      <c r="A2043" s="14" t="s">
        <v>1653</v>
      </c>
      <c r="B2043" s="14" t="s">
        <v>1654</v>
      </c>
      <c r="D2043" s="14" t="s">
        <v>69</v>
      </c>
    </row>
    <row r="2044" spans="1:4" ht="15.75" customHeight="1" x14ac:dyDescent="0.25">
      <c r="A2044" s="14" t="s">
        <v>3398</v>
      </c>
      <c r="B2044" s="14" t="s">
        <v>3399</v>
      </c>
      <c r="D2044" s="14" t="s">
        <v>69</v>
      </c>
    </row>
    <row r="2045" spans="1:4" ht="15.75" customHeight="1" x14ac:dyDescent="0.25">
      <c r="A2045" s="14" t="s">
        <v>3400</v>
      </c>
      <c r="B2045" s="14" t="s">
        <v>3401</v>
      </c>
      <c r="D2045" s="14" t="s">
        <v>69</v>
      </c>
    </row>
    <row r="2046" spans="1:4" ht="15.75" customHeight="1" x14ac:dyDescent="0.25">
      <c r="A2046" s="14" t="s">
        <v>3402</v>
      </c>
      <c r="B2046" s="14" t="s">
        <v>3403</v>
      </c>
      <c r="D2046" s="14" t="s">
        <v>69</v>
      </c>
    </row>
    <row r="2047" spans="1:4" ht="15.75" customHeight="1" x14ac:dyDescent="0.25">
      <c r="A2047" s="14" t="s">
        <v>3404</v>
      </c>
      <c r="B2047" s="14" t="s">
        <v>3405</v>
      </c>
      <c r="D2047" s="14" t="s">
        <v>69</v>
      </c>
    </row>
    <row r="2048" spans="1:4" ht="15.75" customHeight="1" x14ac:dyDescent="0.25">
      <c r="A2048" s="14" t="s">
        <v>3406</v>
      </c>
      <c r="B2048" s="14" t="s">
        <v>3407</v>
      </c>
      <c r="D2048" s="14" t="s">
        <v>69</v>
      </c>
    </row>
    <row r="2049" spans="1:4" ht="15.75" customHeight="1" x14ac:dyDescent="0.25">
      <c r="A2049" s="14" t="s">
        <v>3408</v>
      </c>
      <c r="B2049" s="14" t="s">
        <v>3409</v>
      </c>
      <c r="D2049" s="14" t="s">
        <v>69</v>
      </c>
    </row>
    <row r="2050" spans="1:4" ht="15.75" customHeight="1" x14ac:dyDescent="0.25">
      <c r="A2050" s="14" t="s">
        <v>3410</v>
      </c>
      <c r="B2050" s="14" t="s">
        <v>3411</v>
      </c>
      <c r="D2050" s="14" t="s">
        <v>69</v>
      </c>
    </row>
    <row r="2051" spans="1:4" ht="15.75" customHeight="1" x14ac:dyDescent="0.25">
      <c r="A2051" s="14" t="s">
        <v>3412</v>
      </c>
      <c r="B2051" s="14" t="s">
        <v>3413</v>
      </c>
      <c r="D2051" s="14" t="s">
        <v>69</v>
      </c>
    </row>
    <row r="2052" spans="1:4" ht="15.75" customHeight="1" x14ac:dyDescent="0.25">
      <c r="A2052" s="14" t="s">
        <v>3414</v>
      </c>
      <c r="B2052" s="14" t="s">
        <v>3415</v>
      </c>
      <c r="D2052" s="14" t="s">
        <v>69</v>
      </c>
    </row>
    <row r="2053" spans="1:4" ht="15.75" customHeight="1" x14ac:dyDescent="0.25">
      <c r="A2053" s="14" t="s">
        <v>3416</v>
      </c>
      <c r="B2053" s="14" t="s">
        <v>3417</v>
      </c>
      <c r="D2053" s="14" t="s">
        <v>69</v>
      </c>
    </row>
    <row r="2054" spans="1:4" ht="15.75" customHeight="1" x14ac:dyDescent="0.25">
      <c r="A2054" s="14" t="s">
        <v>3418</v>
      </c>
      <c r="B2054" s="14" t="s">
        <v>3419</v>
      </c>
      <c r="D2054" s="14" t="s">
        <v>69</v>
      </c>
    </row>
    <row r="2055" spans="1:4" ht="15.75" customHeight="1" x14ac:dyDescent="0.25">
      <c r="A2055" s="14" t="s">
        <v>3420</v>
      </c>
      <c r="B2055" s="14" t="s">
        <v>3421</v>
      </c>
      <c r="D2055" s="14" t="s">
        <v>69</v>
      </c>
    </row>
    <row r="2056" spans="1:4" ht="15.75" customHeight="1" x14ac:dyDescent="0.25">
      <c r="A2056" s="14" t="s">
        <v>3422</v>
      </c>
      <c r="B2056" s="14" t="s">
        <v>3423</v>
      </c>
      <c r="D2056" s="14" t="s">
        <v>69</v>
      </c>
    </row>
    <row r="2057" spans="1:4" ht="15.75" customHeight="1" x14ac:dyDescent="0.25">
      <c r="A2057" s="14" t="s">
        <v>1665</v>
      </c>
      <c r="B2057" s="14" t="s">
        <v>1666</v>
      </c>
      <c r="D2057" s="14" t="s">
        <v>69</v>
      </c>
    </row>
    <row r="2058" spans="1:4" ht="15.75" customHeight="1" x14ac:dyDescent="0.25">
      <c r="A2058" s="14" t="s">
        <v>1675</v>
      </c>
      <c r="B2058" s="14" t="s">
        <v>1676</v>
      </c>
      <c r="D2058" s="14" t="s">
        <v>69</v>
      </c>
    </row>
    <row r="2059" spans="1:4" ht="15.75" customHeight="1" x14ac:dyDescent="0.25">
      <c r="A2059" s="14" t="s">
        <v>1677</v>
      </c>
      <c r="B2059" s="14" t="s">
        <v>1678</v>
      </c>
      <c r="D2059" s="14" t="s">
        <v>69</v>
      </c>
    </row>
    <row r="2060" spans="1:4" ht="15.75" customHeight="1" x14ac:dyDescent="0.25">
      <c r="A2060" s="14" t="s">
        <v>1679</v>
      </c>
      <c r="B2060" s="14" t="s">
        <v>1680</v>
      </c>
      <c r="D2060" s="14" t="s">
        <v>69</v>
      </c>
    </row>
    <row r="2061" spans="1:4" ht="15.75" customHeight="1" x14ac:dyDescent="0.25">
      <c r="A2061" s="14" t="s">
        <v>1681</v>
      </c>
      <c r="B2061" s="14" t="s">
        <v>1682</v>
      </c>
      <c r="D2061" s="14" t="s">
        <v>69</v>
      </c>
    </row>
    <row r="2062" spans="1:4" ht="15.75" customHeight="1" x14ac:dyDescent="0.25">
      <c r="A2062" s="14" t="s">
        <v>1683</v>
      </c>
      <c r="B2062" s="14" t="s">
        <v>1684</v>
      </c>
      <c r="D2062" s="14" t="s">
        <v>69</v>
      </c>
    </row>
    <row r="2063" spans="1:4" ht="15.75" customHeight="1" x14ac:dyDescent="0.25">
      <c r="A2063" s="14" t="s">
        <v>1693</v>
      </c>
      <c r="B2063" s="14" t="s">
        <v>1694</v>
      </c>
      <c r="D2063" s="14" t="s">
        <v>69</v>
      </c>
    </row>
    <row r="2064" spans="1:4" ht="15.75" customHeight="1" x14ac:dyDescent="0.25">
      <c r="A2064" s="14" t="s">
        <v>1695</v>
      </c>
      <c r="B2064" s="14" t="s">
        <v>1696</v>
      </c>
      <c r="D2064" s="14" t="s">
        <v>69</v>
      </c>
    </row>
    <row r="2065" spans="1:4" ht="15.75" customHeight="1" x14ac:dyDescent="0.25">
      <c r="A2065" s="14" t="s">
        <v>3424</v>
      </c>
      <c r="B2065" s="14" t="s">
        <v>3425</v>
      </c>
      <c r="D2065" s="14" t="s">
        <v>69</v>
      </c>
    </row>
    <row r="2066" spans="1:4" ht="15.75" customHeight="1" x14ac:dyDescent="0.25">
      <c r="A2066" s="14" t="s">
        <v>1699</v>
      </c>
      <c r="B2066" s="14" t="s">
        <v>1700</v>
      </c>
      <c r="D2066" s="14" t="s">
        <v>69</v>
      </c>
    </row>
    <row r="2067" spans="1:4" ht="15.75" customHeight="1" x14ac:dyDescent="0.25">
      <c r="A2067" s="14" t="s">
        <v>1701</v>
      </c>
      <c r="B2067" s="14" t="s">
        <v>1702</v>
      </c>
      <c r="D2067" s="14" t="s">
        <v>69</v>
      </c>
    </row>
    <row r="2068" spans="1:4" ht="15.75" customHeight="1" x14ac:dyDescent="0.25">
      <c r="A2068" s="14" t="s">
        <v>1707</v>
      </c>
      <c r="B2068" s="14" t="s">
        <v>1708</v>
      </c>
      <c r="D2068" s="14" t="s">
        <v>69</v>
      </c>
    </row>
    <row r="2069" spans="1:4" ht="15.75" customHeight="1" x14ac:dyDescent="0.25">
      <c r="A2069" s="14" t="s">
        <v>1711</v>
      </c>
      <c r="B2069" s="14" t="s">
        <v>1712</v>
      </c>
      <c r="D2069" s="14" t="s">
        <v>69</v>
      </c>
    </row>
    <row r="2070" spans="1:4" ht="15.75" customHeight="1" x14ac:dyDescent="0.25">
      <c r="A2070" s="14" t="s">
        <v>1713</v>
      </c>
      <c r="B2070" s="14" t="s">
        <v>1714</v>
      </c>
      <c r="D2070" s="14" t="s">
        <v>69</v>
      </c>
    </row>
    <row r="2071" spans="1:4" ht="15.75" customHeight="1" x14ac:dyDescent="0.25">
      <c r="A2071" s="14" t="s">
        <v>1715</v>
      </c>
      <c r="B2071" s="14" t="s">
        <v>1716</v>
      </c>
      <c r="D2071" s="14" t="s">
        <v>69</v>
      </c>
    </row>
    <row r="2072" spans="1:4" ht="15.75" customHeight="1" x14ac:dyDescent="0.25">
      <c r="A2072" s="14" t="s">
        <v>1717</v>
      </c>
      <c r="B2072" s="14" t="s">
        <v>1718</v>
      </c>
      <c r="D2072" s="14" t="s">
        <v>69</v>
      </c>
    </row>
    <row r="2073" spans="1:4" ht="15.75" customHeight="1" x14ac:dyDescent="0.25">
      <c r="A2073" s="14" t="s">
        <v>1719</v>
      </c>
      <c r="B2073" s="14" t="s">
        <v>1720</v>
      </c>
      <c r="D2073" s="14" t="s">
        <v>69</v>
      </c>
    </row>
    <row r="2074" spans="1:4" ht="15.75" customHeight="1" x14ac:dyDescent="0.25">
      <c r="A2074" s="14" t="s">
        <v>1721</v>
      </c>
      <c r="B2074" s="14" t="s">
        <v>1722</v>
      </c>
      <c r="D2074" s="14" t="s">
        <v>69</v>
      </c>
    </row>
    <row r="2075" spans="1:4" ht="15.75" customHeight="1" x14ac:dyDescent="0.25">
      <c r="A2075" s="14" t="s">
        <v>1723</v>
      </c>
      <c r="B2075" s="14" t="s">
        <v>1724</v>
      </c>
      <c r="D2075" s="14" t="s">
        <v>69</v>
      </c>
    </row>
    <row r="2076" spans="1:4" ht="15.75" customHeight="1" x14ac:dyDescent="0.25">
      <c r="A2076" s="14" t="s">
        <v>1725</v>
      </c>
      <c r="B2076" s="14" t="s">
        <v>1726</v>
      </c>
      <c r="D2076" s="14" t="s">
        <v>69</v>
      </c>
    </row>
    <row r="2077" spans="1:4" ht="15.75" customHeight="1" x14ac:dyDescent="0.25">
      <c r="A2077" s="14" t="s">
        <v>1727</v>
      </c>
      <c r="B2077" s="14" t="s">
        <v>1728</v>
      </c>
      <c r="D2077" s="14" t="s">
        <v>69</v>
      </c>
    </row>
    <row r="2078" spans="1:4" ht="15.75" customHeight="1" x14ac:dyDescent="0.25">
      <c r="A2078" s="14" t="s">
        <v>1733</v>
      </c>
      <c r="B2078" s="14" t="s">
        <v>1734</v>
      </c>
      <c r="D2078" s="14" t="s">
        <v>69</v>
      </c>
    </row>
    <row r="2079" spans="1:4" ht="15.75" customHeight="1" x14ac:dyDescent="0.25">
      <c r="A2079" s="14" t="s">
        <v>1735</v>
      </c>
      <c r="B2079" s="14" t="s">
        <v>1736</v>
      </c>
      <c r="D2079" s="14" t="s">
        <v>69</v>
      </c>
    </row>
    <row r="2080" spans="1:4" ht="15.75" customHeight="1" x14ac:dyDescent="0.25">
      <c r="A2080" s="14" t="s">
        <v>1737</v>
      </c>
      <c r="B2080" s="14" t="s">
        <v>1738</v>
      </c>
      <c r="D2080" s="14" t="s">
        <v>69</v>
      </c>
    </row>
    <row r="2081" spans="1:4" ht="15.75" customHeight="1" x14ac:dyDescent="0.25">
      <c r="A2081" s="14" t="s">
        <v>3426</v>
      </c>
      <c r="B2081" s="14" t="s">
        <v>3427</v>
      </c>
      <c r="D2081" s="14" t="s">
        <v>69</v>
      </c>
    </row>
    <row r="2082" spans="1:4" ht="15.75" customHeight="1" x14ac:dyDescent="0.25">
      <c r="A2082" s="14" t="s">
        <v>3428</v>
      </c>
      <c r="B2082" s="14" t="s">
        <v>3429</v>
      </c>
      <c r="D2082" s="14" t="s">
        <v>69</v>
      </c>
    </row>
    <row r="2083" spans="1:4" ht="15.75" customHeight="1" x14ac:dyDescent="0.25">
      <c r="A2083" s="14" t="s">
        <v>3430</v>
      </c>
      <c r="B2083" s="14" t="s">
        <v>3431</v>
      </c>
      <c r="D2083" s="14" t="s">
        <v>69</v>
      </c>
    </row>
    <row r="2084" spans="1:4" ht="15.75" customHeight="1" x14ac:dyDescent="0.25">
      <c r="A2084" s="14" t="s">
        <v>1743</v>
      </c>
      <c r="B2084" s="14" t="s">
        <v>1744</v>
      </c>
      <c r="D2084" s="14" t="s">
        <v>69</v>
      </c>
    </row>
    <row r="2085" spans="1:4" ht="15.75" customHeight="1" x14ac:dyDescent="0.25">
      <c r="A2085" s="14" t="s">
        <v>1745</v>
      </c>
      <c r="B2085" s="14" t="s">
        <v>1746</v>
      </c>
      <c r="D2085" s="14" t="s">
        <v>69</v>
      </c>
    </row>
    <row r="2086" spans="1:4" ht="15.75" customHeight="1" x14ac:dyDescent="0.25">
      <c r="A2086" s="14" t="s">
        <v>1749</v>
      </c>
      <c r="B2086" s="14" t="s">
        <v>1750</v>
      </c>
      <c r="D2086" s="14" t="s">
        <v>69</v>
      </c>
    </row>
    <row r="2087" spans="1:4" ht="15.75" customHeight="1" x14ac:dyDescent="0.25">
      <c r="A2087" s="14" t="s">
        <v>1703</v>
      </c>
      <c r="B2087" s="14" t="s">
        <v>1704</v>
      </c>
      <c r="D2087" s="14" t="s">
        <v>69</v>
      </c>
    </row>
    <row r="2088" spans="1:4" ht="15.75" customHeight="1" x14ac:dyDescent="0.25">
      <c r="A2088" s="14" t="s">
        <v>1705</v>
      </c>
      <c r="B2088" s="14" t="s">
        <v>1706</v>
      </c>
      <c r="D2088" s="14" t="s">
        <v>69</v>
      </c>
    </row>
    <row r="2089" spans="1:4" ht="15.75" customHeight="1" x14ac:dyDescent="0.25">
      <c r="A2089" s="14">
        <v>1000648</v>
      </c>
      <c r="B2089" s="14" t="s">
        <v>1758</v>
      </c>
      <c r="D2089" s="14" t="s">
        <v>69</v>
      </c>
    </row>
    <row r="2090" spans="1:4" ht="15.75" customHeight="1" x14ac:dyDescent="0.25">
      <c r="A2090" s="14">
        <v>1000995</v>
      </c>
      <c r="B2090" s="14" t="s">
        <v>530</v>
      </c>
      <c r="D2090" s="14" t="s">
        <v>69</v>
      </c>
    </row>
    <row r="2091" spans="1:4" ht="15.75" customHeight="1" x14ac:dyDescent="0.25">
      <c r="A2091" s="14">
        <v>1000991</v>
      </c>
      <c r="B2091" s="14" t="s">
        <v>297</v>
      </c>
      <c r="D2091" s="14" t="s">
        <v>69</v>
      </c>
    </row>
    <row r="2092" spans="1:4" ht="15.75" customHeight="1" x14ac:dyDescent="0.25">
      <c r="A2092" s="14">
        <v>251887</v>
      </c>
      <c r="B2092" s="14" t="s">
        <v>3432</v>
      </c>
      <c r="D2092" s="14" t="s">
        <v>69</v>
      </c>
    </row>
    <row r="2093" spans="1:4" ht="15.75" customHeight="1" x14ac:dyDescent="0.25">
      <c r="A2093" s="14">
        <v>1001853</v>
      </c>
      <c r="B2093" s="14" t="s">
        <v>531</v>
      </c>
      <c r="D2093" s="14" t="s">
        <v>69</v>
      </c>
    </row>
    <row r="2094" spans="1:4" ht="15.75" customHeight="1" x14ac:dyDescent="0.25">
      <c r="A2094" s="14">
        <v>1000367</v>
      </c>
      <c r="B2094" s="14" t="s">
        <v>124</v>
      </c>
      <c r="D2094" s="14" t="s">
        <v>69</v>
      </c>
    </row>
    <row r="2095" spans="1:4" ht="15.75" customHeight="1" x14ac:dyDescent="0.25">
      <c r="A2095" s="14">
        <v>1000997</v>
      </c>
      <c r="B2095" s="14" t="s">
        <v>291</v>
      </c>
      <c r="D2095" s="14" t="s">
        <v>69</v>
      </c>
    </row>
  </sheetData>
  <pageMargins left="0.511811024" right="0.511811024" top="0.78740157499999996" bottom="0.78740157499999996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 x14ac:dyDescent="0.25"/>
  <cols>
    <col min="1" max="1" width="15" customWidth="1"/>
    <col min="2" max="2" width="8" customWidth="1"/>
    <col min="3" max="3" width="39.85546875" customWidth="1"/>
    <col min="4" max="4" width="8.42578125" customWidth="1"/>
    <col min="5" max="5" width="10.7109375" customWidth="1"/>
    <col min="6" max="6" width="11.42578125" customWidth="1"/>
    <col min="7" max="26" width="8.7109375" customWidth="1"/>
  </cols>
  <sheetData>
    <row r="1" spans="1:7" x14ac:dyDescent="0.25">
      <c r="A1" s="14" t="s">
        <v>3433</v>
      </c>
      <c r="B1" s="14" t="s">
        <v>3</v>
      </c>
      <c r="C1" s="14" t="s">
        <v>4</v>
      </c>
      <c r="D1" s="14" t="s">
        <v>5</v>
      </c>
      <c r="E1" s="14" t="s">
        <v>3434</v>
      </c>
      <c r="F1" s="14" t="s">
        <v>7</v>
      </c>
    </row>
    <row r="2" spans="1:7" x14ac:dyDescent="0.25">
      <c r="A2" s="14" t="s">
        <v>3435</v>
      </c>
      <c r="B2" s="14">
        <v>1001702</v>
      </c>
      <c r="C2" s="14" t="s">
        <v>20</v>
      </c>
      <c r="D2" s="14" t="s">
        <v>18</v>
      </c>
      <c r="E2" s="30">
        <v>46190</v>
      </c>
      <c r="F2" s="14">
        <v>5</v>
      </c>
      <c r="G2" s="14" t="s">
        <v>57</v>
      </c>
    </row>
    <row r="3" spans="1:7" x14ac:dyDescent="0.25">
      <c r="A3" s="14" t="s">
        <v>3435</v>
      </c>
      <c r="B3" s="14">
        <v>1001190</v>
      </c>
      <c r="C3" s="14" t="s">
        <v>97</v>
      </c>
      <c r="D3" s="14" t="s">
        <v>10</v>
      </c>
      <c r="E3" s="30">
        <v>46190</v>
      </c>
      <c r="F3" s="14">
        <v>108</v>
      </c>
      <c r="G3" s="14" t="s">
        <v>57</v>
      </c>
    </row>
    <row r="4" spans="1:7" x14ac:dyDescent="0.25">
      <c r="A4" s="14" t="s">
        <v>3435</v>
      </c>
      <c r="B4" s="14">
        <v>1000305</v>
      </c>
      <c r="C4" s="14" t="s">
        <v>111</v>
      </c>
      <c r="D4" s="14" t="s">
        <v>10</v>
      </c>
      <c r="E4" s="30">
        <v>46190</v>
      </c>
      <c r="F4" s="14">
        <v>240</v>
      </c>
      <c r="G4" s="14" t="s">
        <v>57</v>
      </c>
    </row>
    <row r="5" spans="1:7" x14ac:dyDescent="0.25">
      <c r="A5" s="14" t="s">
        <v>3435</v>
      </c>
      <c r="B5" s="14">
        <v>1000197</v>
      </c>
      <c r="C5" s="14" t="s">
        <v>53</v>
      </c>
      <c r="D5" s="14" t="s">
        <v>14</v>
      </c>
      <c r="E5" s="30">
        <v>46190</v>
      </c>
      <c r="F5" s="14">
        <v>54</v>
      </c>
      <c r="G5" s="14" t="s">
        <v>57</v>
      </c>
    </row>
    <row r="6" spans="1:7" x14ac:dyDescent="0.25">
      <c r="A6" s="14" t="s">
        <v>3435</v>
      </c>
      <c r="B6" s="14">
        <v>1000665</v>
      </c>
      <c r="C6" s="14" t="s">
        <v>113</v>
      </c>
      <c r="D6" s="14" t="s">
        <v>71</v>
      </c>
      <c r="E6" s="30">
        <v>46190</v>
      </c>
      <c r="F6" s="14">
        <v>170</v>
      </c>
      <c r="G6" s="14" t="s">
        <v>57</v>
      </c>
    </row>
    <row r="7" spans="1:7" x14ac:dyDescent="0.25">
      <c r="A7" s="14" t="s">
        <v>3435</v>
      </c>
      <c r="B7" s="14">
        <v>1000033</v>
      </c>
      <c r="C7" s="14" t="s">
        <v>12</v>
      </c>
      <c r="D7" s="14" t="s">
        <v>10</v>
      </c>
      <c r="E7" s="30">
        <v>46190</v>
      </c>
      <c r="F7" s="14">
        <v>11</v>
      </c>
      <c r="G7" s="14" t="s">
        <v>57</v>
      </c>
    </row>
    <row r="8" spans="1:7" x14ac:dyDescent="0.25">
      <c r="A8" s="14" t="s">
        <v>3435</v>
      </c>
      <c r="B8" s="14">
        <v>1001289</v>
      </c>
      <c r="C8" s="14" t="s">
        <v>266</v>
      </c>
      <c r="D8" s="14" t="s">
        <v>14</v>
      </c>
      <c r="E8" s="30">
        <v>46190</v>
      </c>
      <c r="F8" s="14">
        <v>125</v>
      </c>
      <c r="G8" s="14" t="s">
        <v>57</v>
      </c>
    </row>
    <row r="9" spans="1:7" x14ac:dyDescent="0.25">
      <c r="A9" s="14" t="s">
        <v>3435</v>
      </c>
      <c r="B9" s="14">
        <v>1001705</v>
      </c>
      <c r="C9" s="14" t="s">
        <v>40</v>
      </c>
      <c r="D9" s="14" t="s">
        <v>18</v>
      </c>
      <c r="E9" s="30">
        <v>46190</v>
      </c>
      <c r="F9" s="14">
        <v>3</v>
      </c>
      <c r="G9" s="14" t="s">
        <v>57</v>
      </c>
    </row>
    <row r="10" spans="1:7" x14ac:dyDescent="0.25">
      <c r="A10" s="14" t="s">
        <v>3435</v>
      </c>
      <c r="B10" s="14">
        <v>1001906</v>
      </c>
      <c r="C10" s="14" t="s">
        <v>265</v>
      </c>
      <c r="D10" s="14" t="s">
        <v>18</v>
      </c>
      <c r="E10" s="30">
        <v>46190</v>
      </c>
      <c r="F10" s="14">
        <v>11</v>
      </c>
      <c r="G10" s="14" t="s">
        <v>57</v>
      </c>
    </row>
    <row r="11" spans="1:7" x14ac:dyDescent="0.25">
      <c r="A11" s="14" t="s">
        <v>3435</v>
      </c>
      <c r="B11" s="14">
        <v>1001905</v>
      </c>
      <c r="C11" s="14" t="s">
        <v>265</v>
      </c>
      <c r="D11" s="14" t="s">
        <v>18</v>
      </c>
      <c r="E11" s="30">
        <v>46190</v>
      </c>
      <c r="F11" s="14">
        <v>20</v>
      </c>
      <c r="G11" s="14" t="s">
        <v>57</v>
      </c>
    </row>
    <row r="12" spans="1:7" x14ac:dyDescent="0.25">
      <c r="A12" s="14" t="s">
        <v>3435</v>
      </c>
      <c r="B12" s="14">
        <v>1002169</v>
      </c>
      <c r="C12" s="14" t="s">
        <v>79</v>
      </c>
      <c r="D12" s="14" t="s">
        <v>10</v>
      </c>
      <c r="E12" s="30">
        <v>46190</v>
      </c>
      <c r="F12" s="14">
        <v>18</v>
      </c>
      <c r="G12" s="14" t="s">
        <v>57</v>
      </c>
    </row>
    <row r="13" spans="1:7" x14ac:dyDescent="0.25">
      <c r="A13" s="14" t="s">
        <v>3435</v>
      </c>
      <c r="B13" s="14">
        <v>1000319</v>
      </c>
      <c r="C13" s="14" t="s">
        <v>54</v>
      </c>
      <c r="D13" s="14" t="s">
        <v>14</v>
      </c>
      <c r="E13" s="30">
        <v>46190</v>
      </c>
      <c r="F13" s="14">
        <v>56</v>
      </c>
      <c r="G13" s="14" t="s">
        <v>57</v>
      </c>
    </row>
    <row r="14" spans="1:7" x14ac:dyDescent="0.25">
      <c r="A14" s="14" t="s">
        <v>3435</v>
      </c>
      <c r="B14" s="14">
        <v>1000367</v>
      </c>
      <c r="C14" s="14" t="s">
        <v>124</v>
      </c>
      <c r="D14" s="14" t="s">
        <v>14</v>
      </c>
      <c r="E14" s="30">
        <v>46190</v>
      </c>
      <c r="F14" s="14">
        <v>145</v>
      </c>
      <c r="G14" s="14" t="s">
        <v>57</v>
      </c>
    </row>
    <row r="15" spans="1:7" x14ac:dyDescent="0.25">
      <c r="A15" s="14" t="s">
        <v>3435</v>
      </c>
      <c r="B15" s="14">
        <v>1000184</v>
      </c>
      <c r="C15" s="14" t="s">
        <v>28</v>
      </c>
      <c r="D15" s="14" t="s">
        <v>14</v>
      </c>
      <c r="E15" s="30">
        <v>46190</v>
      </c>
      <c r="F15" s="14">
        <v>91</v>
      </c>
      <c r="G15" s="14" t="s">
        <v>57</v>
      </c>
    </row>
    <row r="16" spans="1:7" x14ac:dyDescent="0.25">
      <c r="A16" s="14" t="s">
        <v>3435</v>
      </c>
      <c r="B16" s="14">
        <v>1000198</v>
      </c>
      <c r="C16" s="14" t="s">
        <v>65</v>
      </c>
      <c r="D16" s="14" t="s">
        <v>14</v>
      </c>
      <c r="E16" s="30">
        <v>46190</v>
      </c>
      <c r="F16" s="14">
        <v>153</v>
      </c>
      <c r="G16" s="14" t="s">
        <v>57</v>
      </c>
    </row>
    <row r="17" spans="1:7" x14ac:dyDescent="0.25">
      <c r="A17" s="14" t="s">
        <v>3435</v>
      </c>
      <c r="B17" s="14">
        <v>1001719</v>
      </c>
      <c r="C17" s="14" t="s">
        <v>193</v>
      </c>
      <c r="D17" s="14" t="s">
        <v>10</v>
      </c>
      <c r="E17" s="30">
        <v>46190</v>
      </c>
      <c r="F17" s="14">
        <v>3</v>
      </c>
      <c r="G17" s="14" t="s">
        <v>57</v>
      </c>
    </row>
    <row r="18" spans="1:7" x14ac:dyDescent="0.25">
      <c r="A18" s="14" t="s">
        <v>3435</v>
      </c>
      <c r="B18" s="14">
        <v>1000583</v>
      </c>
      <c r="C18" s="14" t="s">
        <v>121</v>
      </c>
      <c r="D18" s="14" t="s">
        <v>14</v>
      </c>
      <c r="E18" s="30">
        <v>46190</v>
      </c>
      <c r="F18" s="14">
        <v>248</v>
      </c>
      <c r="G18" s="14" t="s">
        <v>57</v>
      </c>
    </row>
    <row r="19" spans="1:7" x14ac:dyDescent="0.25">
      <c r="A19" s="14" t="s">
        <v>3435</v>
      </c>
      <c r="B19" s="14">
        <v>1000037</v>
      </c>
      <c r="C19" s="14" t="s">
        <v>46</v>
      </c>
      <c r="D19" s="14" t="s">
        <v>10</v>
      </c>
      <c r="E19" s="30">
        <v>46190</v>
      </c>
      <c r="F19" s="14">
        <v>173</v>
      </c>
      <c r="G19" s="14" t="s">
        <v>57</v>
      </c>
    </row>
    <row r="20" spans="1:7" x14ac:dyDescent="0.25">
      <c r="A20" s="14" t="s">
        <v>3435</v>
      </c>
      <c r="B20" s="14">
        <v>1000183</v>
      </c>
      <c r="C20" s="14" t="s">
        <v>51</v>
      </c>
      <c r="D20" s="14" t="s">
        <v>14</v>
      </c>
      <c r="E20" s="30">
        <v>46190</v>
      </c>
      <c r="F20" s="14">
        <v>64</v>
      </c>
      <c r="G20" s="14" t="s">
        <v>57</v>
      </c>
    </row>
    <row r="21" spans="1:7" ht="15.75" customHeight="1" x14ac:dyDescent="0.25">
      <c r="A21" s="14" t="s">
        <v>3435</v>
      </c>
      <c r="B21" s="14">
        <v>1000256</v>
      </c>
      <c r="C21" s="14" t="s">
        <v>36</v>
      </c>
      <c r="D21" s="14" t="s">
        <v>14</v>
      </c>
      <c r="E21" s="30">
        <v>46190</v>
      </c>
      <c r="F21" s="14">
        <v>37</v>
      </c>
      <c r="G21" s="14" t="s">
        <v>57</v>
      </c>
    </row>
    <row r="22" spans="1:7" ht="15.75" customHeight="1" x14ac:dyDescent="0.25">
      <c r="A22" s="14" t="s">
        <v>3435</v>
      </c>
      <c r="B22" s="14">
        <v>1001660</v>
      </c>
      <c r="C22" s="14" t="s">
        <v>41</v>
      </c>
      <c r="D22" s="14" t="s">
        <v>10</v>
      </c>
      <c r="E22" s="30">
        <v>46190</v>
      </c>
      <c r="F22" s="14">
        <v>19</v>
      </c>
      <c r="G22" s="14" t="s">
        <v>57</v>
      </c>
    </row>
    <row r="23" spans="1:7" ht="15.75" customHeight="1" x14ac:dyDescent="0.25">
      <c r="A23" s="14" t="s">
        <v>3435</v>
      </c>
      <c r="B23" s="14">
        <v>1002148</v>
      </c>
      <c r="C23" s="14" t="s">
        <v>80</v>
      </c>
      <c r="D23" s="14" t="s">
        <v>10</v>
      </c>
      <c r="E23" s="30">
        <v>46190</v>
      </c>
      <c r="F23" s="14">
        <v>54</v>
      </c>
      <c r="G23" s="14" t="s">
        <v>57</v>
      </c>
    </row>
    <row r="24" spans="1:7" ht="15.75" customHeight="1" x14ac:dyDescent="0.25">
      <c r="A24" s="14" t="s">
        <v>3435</v>
      </c>
      <c r="B24" s="14">
        <v>1001930</v>
      </c>
      <c r="C24" s="14" t="s">
        <v>84</v>
      </c>
      <c r="D24" s="14" t="s">
        <v>18</v>
      </c>
      <c r="E24" s="30">
        <v>46190</v>
      </c>
      <c r="F24" s="14">
        <v>3</v>
      </c>
      <c r="G24" s="14" t="s">
        <v>57</v>
      </c>
    </row>
    <row r="25" spans="1:7" ht="15.75" customHeight="1" x14ac:dyDescent="0.25">
      <c r="A25" s="14" t="s">
        <v>3435</v>
      </c>
      <c r="B25" s="14">
        <v>1000189</v>
      </c>
      <c r="C25" s="14" t="s">
        <v>63</v>
      </c>
      <c r="D25" s="14" t="s">
        <v>14</v>
      </c>
      <c r="E25" s="30">
        <v>46190</v>
      </c>
      <c r="F25" s="14">
        <v>24</v>
      </c>
      <c r="G25" s="14" t="s">
        <v>57</v>
      </c>
    </row>
    <row r="26" spans="1:7" ht="15.75" customHeight="1" x14ac:dyDescent="0.25">
      <c r="A26" s="14" t="s">
        <v>3435</v>
      </c>
      <c r="B26" s="14">
        <v>1000258</v>
      </c>
      <c r="C26" s="14" t="s">
        <v>35</v>
      </c>
      <c r="D26" s="14" t="s">
        <v>10</v>
      </c>
      <c r="E26" s="30">
        <v>46190</v>
      </c>
      <c r="F26" s="14">
        <v>27</v>
      </c>
      <c r="G26" s="14" t="s">
        <v>57</v>
      </c>
    </row>
    <row r="27" spans="1:7" ht="15.75" customHeight="1" x14ac:dyDescent="0.25">
      <c r="A27" s="14" t="s">
        <v>3435</v>
      </c>
      <c r="B27" s="14">
        <v>1001562</v>
      </c>
      <c r="C27" s="14" t="s">
        <v>44</v>
      </c>
      <c r="D27" s="14" t="s">
        <v>18</v>
      </c>
      <c r="E27" s="30">
        <v>46190</v>
      </c>
      <c r="F27" s="14">
        <v>56</v>
      </c>
      <c r="G27" s="14" t="s">
        <v>57</v>
      </c>
    </row>
    <row r="28" spans="1:7" ht="15.75" customHeight="1" x14ac:dyDescent="0.25">
      <c r="A28" s="14" t="s">
        <v>3435</v>
      </c>
      <c r="B28" s="14">
        <v>1000068</v>
      </c>
      <c r="C28" s="14" t="s">
        <v>73</v>
      </c>
      <c r="D28" s="14" t="s">
        <v>71</v>
      </c>
      <c r="E28" s="30">
        <v>46190</v>
      </c>
      <c r="F28" s="14">
        <v>49</v>
      </c>
      <c r="G28" s="14" t="s">
        <v>57</v>
      </c>
    </row>
    <row r="29" spans="1:7" ht="15.75" customHeight="1" x14ac:dyDescent="0.25">
      <c r="A29" s="14" t="s">
        <v>3435</v>
      </c>
      <c r="B29" s="14">
        <v>1000069</v>
      </c>
      <c r="C29" s="14" t="s">
        <v>74</v>
      </c>
      <c r="D29" s="14" t="s">
        <v>71</v>
      </c>
      <c r="E29" s="30">
        <v>46190</v>
      </c>
      <c r="F29" s="14">
        <v>49</v>
      </c>
      <c r="G29" s="14" t="s">
        <v>57</v>
      </c>
    </row>
    <row r="30" spans="1:7" ht="15.75" customHeight="1" x14ac:dyDescent="0.25">
      <c r="A30" s="14" t="s">
        <v>3435</v>
      </c>
      <c r="B30" s="14">
        <v>1001302</v>
      </c>
      <c r="C30" s="14" t="s">
        <v>96</v>
      </c>
      <c r="D30" s="14" t="s">
        <v>10</v>
      </c>
      <c r="E30" s="30">
        <v>46190</v>
      </c>
      <c r="F30" s="14">
        <v>101</v>
      </c>
      <c r="G30" s="14" t="s">
        <v>57</v>
      </c>
    </row>
    <row r="31" spans="1:7" ht="15.75" customHeight="1" x14ac:dyDescent="0.25">
      <c r="A31" s="14" t="s">
        <v>3435</v>
      </c>
      <c r="B31" s="14">
        <v>1001476</v>
      </c>
      <c r="C31" s="14" t="s">
        <v>3436</v>
      </c>
      <c r="D31" s="14" t="s">
        <v>18</v>
      </c>
      <c r="E31" s="30">
        <v>46190</v>
      </c>
      <c r="F31" s="14">
        <v>164</v>
      </c>
      <c r="G31" s="14" t="s">
        <v>57</v>
      </c>
    </row>
    <row r="32" spans="1:7" ht="15.75" customHeight="1" x14ac:dyDescent="0.25">
      <c r="A32" s="14" t="s">
        <v>3435</v>
      </c>
      <c r="B32" s="14">
        <v>1000470</v>
      </c>
      <c r="C32" s="14" t="s">
        <v>67</v>
      </c>
      <c r="D32" s="14" t="s">
        <v>10</v>
      </c>
      <c r="E32" s="30">
        <v>46190</v>
      </c>
      <c r="F32" s="14">
        <v>74</v>
      </c>
      <c r="G32" s="14" t="s">
        <v>57</v>
      </c>
    </row>
    <row r="33" spans="1:7" ht="15.75" customHeight="1" x14ac:dyDescent="0.25">
      <c r="A33" s="14" t="s">
        <v>3435</v>
      </c>
      <c r="B33" s="14">
        <v>1001455</v>
      </c>
      <c r="C33" s="14" t="s">
        <v>17</v>
      </c>
      <c r="D33" s="14" t="s">
        <v>18</v>
      </c>
      <c r="E33" s="30">
        <v>46190</v>
      </c>
      <c r="F33" s="14">
        <v>103</v>
      </c>
      <c r="G33" s="14" t="s">
        <v>57</v>
      </c>
    </row>
    <row r="34" spans="1:7" ht="15.75" customHeight="1" x14ac:dyDescent="0.25">
      <c r="A34" s="14" t="s">
        <v>3435</v>
      </c>
      <c r="B34" s="14">
        <v>1000348</v>
      </c>
      <c r="C34" s="14" t="s">
        <v>43</v>
      </c>
      <c r="D34" s="14" t="s">
        <v>10</v>
      </c>
      <c r="E34" s="30">
        <v>46190</v>
      </c>
      <c r="F34" s="14">
        <v>67</v>
      </c>
      <c r="G34" s="14" t="s">
        <v>57</v>
      </c>
    </row>
    <row r="35" spans="1:7" ht="15.75" customHeight="1" x14ac:dyDescent="0.25">
      <c r="A35" s="14" t="s">
        <v>3435</v>
      </c>
      <c r="B35" s="14">
        <v>1001622</v>
      </c>
      <c r="C35" s="14" t="s">
        <v>86</v>
      </c>
      <c r="D35" s="14" t="s">
        <v>18</v>
      </c>
      <c r="E35" s="30">
        <v>46190</v>
      </c>
      <c r="F35" s="14">
        <v>9</v>
      </c>
      <c r="G35" s="14" t="s">
        <v>57</v>
      </c>
    </row>
    <row r="36" spans="1:7" ht="15.75" customHeight="1" x14ac:dyDescent="0.25">
      <c r="A36" s="14" t="s">
        <v>3435</v>
      </c>
      <c r="B36" s="14">
        <v>1001512</v>
      </c>
      <c r="C36" s="14" t="s">
        <v>87</v>
      </c>
      <c r="D36" s="14" t="s">
        <v>18</v>
      </c>
      <c r="E36" s="30">
        <v>46190</v>
      </c>
      <c r="F36" s="14">
        <v>14</v>
      </c>
      <c r="G36" s="14" t="s">
        <v>57</v>
      </c>
    </row>
    <row r="37" spans="1:7" ht="15.75" customHeight="1" x14ac:dyDescent="0.25">
      <c r="A37" s="14" t="s">
        <v>3435</v>
      </c>
      <c r="B37" s="14">
        <v>1001973</v>
      </c>
      <c r="C37" s="14" t="s">
        <v>89</v>
      </c>
      <c r="D37" s="14" t="s">
        <v>18</v>
      </c>
      <c r="E37" s="30">
        <v>46190</v>
      </c>
      <c r="F37" s="14">
        <v>16</v>
      </c>
      <c r="G37" s="14" t="s">
        <v>57</v>
      </c>
    </row>
    <row r="38" spans="1:7" ht="15.75" customHeight="1" x14ac:dyDescent="0.25">
      <c r="A38" s="14" t="s">
        <v>3435</v>
      </c>
      <c r="B38" s="14">
        <v>1000206</v>
      </c>
      <c r="C38" s="14" t="s">
        <v>102</v>
      </c>
      <c r="D38" s="14" t="s">
        <v>10</v>
      </c>
      <c r="E38" s="30">
        <v>46190</v>
      </c>
      <c r="F38" s="14">
        <v>186</v>
      </c>
      <c r="G38" s="14" t="s">
        <v>57</v>
      </c>
    </row>
    <row r="39" spans="1:7" ht="15.75" customHeight="1" x14ac:dyDescent="0.25">
      <c r="A39" s="14" t="s">
        <v>3435</v>
      </c>
      <c r="B39" s="14">
        <v>1002158</v>
      </c>
      <c r="C39" s="14" t="s">
        <v>91</v>
      </c>
      <c r="D39" s="14" t="s">
        <v>18</v>
      </c>
      <c r="E39" s="30">
        <v>46190</v>
      </c>
      <c r="F39" s="14">
        <v>5</v>
      </c>
      <c r="G39" s="14" t="s">
        <v>57</v>
      </c>
    </row>
    <row r="40" spans="1:7" ht="15.75" customHeight="1" x14ac:dyDescent="0.25">
      <c r="A40" s="14" t="s">
        <v>3435</v>
      </c>
      <c r="B40" s="14">
        <v>1006150</v>
      </c>
      <c r="C40" s="14" t="s">
        <v>115</v>
      </c>
      <c r="D40" s="14" t="s">
        <v>71</v>
      </c>
      <c r="E40" s="30">
        <v>46190</v>
      </c>
      <c r="F40" s="14">
        <v>88</v>
      </c>
      <c r="G40" s="14" t="s">
        <v>57</v>
      </c>
    </row>
    <row r="41" spans="1:7" ht="15.75" customHeight="1" x14ac:dyDescent="0.25">
      <c r="A41" s="14" t="s">
        <v>3435</v>
      </c>
      <c r="B41" s="14">
        <v>1001696</v>
      </c>
      <c r="C41" s="14" t="s">
        <v>90</v>
      </c>
      <c r="D41" s="14" t="s">
        <v>14</v>
      </c>
      <c r="E41" s="30">
        <v>46190</v>
      </c>
      <c r="F41" s="14">
        <v>21</v>
      </c>
      <c r="G41" s="14" t="s">
        <v>57</v>
      </c>
    </row>
    <row r="42" spans="1:7" ht="15.75" customHeight="1" x14ac:dyDescent="0.25">
      <c r="A42" s="14" t="s">
        <v>3435</v>
      </c>
      <c r="B42" s="14">
        <v>1002253</v>
      </c>
      <c r="C42" s="14" t="s">
        <v>98</v>
      </c>
      <c r="D42" s="14" t="s">
        <v>18</v>
      </c>
      <c r="E42" s="30">
        <v>46190</v>
      </c>
      <c r="F42" s="14">
        <v>3</v>
      </c>
      <c r="G42" s="14" t="s">
        <v>57</v>
      </c>
    </row>
    <row r="43" spans="1:7" ht="15.75" customHeight="1" x14ac:dyDescent="0.25">
      <c r="A43" s="14" t="s">
        <v>3435</v>
      </c>
      <c r="B43" s="14">
        <v>1001248</v>
      </c>
      <c r="C43" s="14" t="s">
        <v>70</v>
      </c>
      <c r="D43" s="14" t="s">
        <v>71</v>
      </c>
      <c r="E43" s="30">
        <v>46190</v>
      </c>
      <c r="F43" s="14">
        <v>6</v>
      </c>
      <c r="G43" s="14" t="s">
        <v>57</v>
      </c>
    </row>
    <row r="44" spans="1:7" ht="15.75" customHeight="1" x14ac:dyDescent="0.25">
      <c r="A44" s="14" t="s">
        <v>3435</v>
      </c>
      <c r="B44" s="14">
        <v>1001249</v>
      </c>
      <c r="C44" s="14" t="s">
        <v>72</v>
      </c>
      <c r="D44" s="14" t="s">
        <v>71</v>
      </c>
      <c r="E44" s="30">
        <v>46190</v>
      </c>
      <c r="F44" s="14">
        <v>16</v>
      </c>
      <c r="G44" s="14" t="s">
        <v>57</v>
      </c>
    </row>
    <row r="45" spans="1:7" ht="15.75" customHeight="1" x14ac:dyDescent="0.25">
      <c r="A45" s="14" t="s">
        <v>3435</v>
      </c>
      <c r="B45" s="14">
        <v>1000185</v>
      </c>
      <c r="C45" s="14" t="s">
        <v>52</v>
      </c>
      <c r="D45" s="14" t="s">
        <v>14</v>
      </c>
      <c r="E45" s="30">
        <v>46190</v>
      </c>
      <c r="F45" s="14">
        <v>88</v>
      </c>
      <c r="G45" s="14" t="s">
        <v>57</v>
      </c>
    </row>
    <row r="46" spans="1:7" ht="15.75" customHeight="1" x14ac:dyDescent="0.25">
      <c r="A46" s="14" t="s">
        <v>3435</v>
      </c>
      <c r="B46" s="14">
        <v>1000262</v>
      </c>
      <c r="C46" s="14" t="s">
        <v>66</v>
      </c>
      <c r="D46" s="14" t="s">
        <v>14</v>
      </c>
      <c r="E46" s="30">
        <v>46190</v>
      </c>
      <c r="F46" s="14">
        <v>107</v>
      </c>
      <c r="G46" s="14" t="s">
        <v>57</v>
      </c>
    </row>
    <row r="47" spans="1:7" ht="15.75" customHeight="1" x14ac:dyDescent="0.25">
      <c r="A47" s="14" t="s">
        <v>3435</v>
      </c>
      <c r="B47" s="14">
        <v>1001712</v>
      </c>
      <c r="C47" s="14" t="s">
        <v>49</v>
      </c>
      <c r="D47" s="14" t="s">
        <v>18</v>
      </c>
      <c r="E47" s="30">
        <v>46190</v>
      </c>
      <c r="F47" s="14">
        <v>5</v>
      </c>
      <c r="G47" s="14" t="s">
        <v>57</v>
      </c>
    </row>
    <row r="48" spans="1:7" ht="15.75" customHeight="1" x14ac:dyDescent="0.25">
      <c r="A48" s="14" t="s">
        <v>3435</v>
      </c>
      <c r="B48" s="14">
        <v>1000195</v>
      </c>
      <c r="C48" s="14" t="s">
        <v>32</v>
      </c>
      <c r="D48" s="14" t="s">
        <v>10</v>
      </c>
      <c r="E48" s="30">
        <v>46190</v>
      </c>
      <c r="F48" s="14">
        <v>101</v>
      </c>
      <c r="G48" s="14" t="s">
        <v>57</v>
      </c>
    </row>
    <row r="49" spans="1:7" ht="15.75" customHeight="1" x14ac:dyDescent="0.25">
      <c r="A49" s="14" t="s">
        <v>3435</v>
      </c>
      <c r="B49" s="14">
        <v>1008890</v>
      </c>
      <c r="C49" s="14" t="s">
        <v>23</v>
      </c>
      <c r="D49" s="14" t="s">
        <v>18</v>
      </c>
      <c r="E49" s="30">
        <v>46190</v>
      </c>
      <c r="F49" s="14">
        <v>6</v>
      </c>
      <c r="G49" s="14" t="s">
        <v>57</v>
      </c>
    </row>
    <row r="50" spans="1:7" ht="15.75" customHeight="1" x14ac:dyDescent="0.25">
      <c r="A50" s="14" t="s">
        <v>3435</v>
      </c>
      <c r="B50" s="14">
        <v>1001122</v>
      </c>
      <c r="C50" s="14" t="s">
        <v>200</v>
      </c>
      <c r="D50" s="14" t="s">
        <v>10</v>
      </c>
      <c r="E50" s="30">
        <v>46190</v>
      </c>
      <c r="F50" s="14">
        <v>9</v>
      </c>
      <c r="G50" s="14" t="s">
        <v>57</v>
      </c>
    </row>
    <row r="51" spans="1:7" ht="15.75" customHeight="1" x14ac:dyDescent="0.25">
      <c r="A51" s="14" t="s">
        <v>3435</v>
      </c>
      <c r="B51" s="14">
        <v>1000196</v>
      </c>
      <c r="C51" s="14" t="s">
        <v>64</v>
      </c>
      <c r="D51" s="14" t="s">
        <v>14</v>
      </c>
      <c r="E51" s="30">
        <v>46190</v>
      </c>
      <c r="F51" s="14">
        <v>30</v>
      </c>
      <c r="G51" s="14" t="s">
        <v>57</v>
      </c>
    </row>
    <row r="52" spans="1:7" ht="15.75" customHeight="1" x14ac:dyDescent="0.25">
      <c r="A52" s="14" t="s">
        <v>3435</v>
      </c>
      <c r="B52" s="14">
        <v>1000478</v>
      </c>
      <c r="C52" s="14" t="s">
        <v>68</v>
      </c>
      <c r="D52" s="14" t="s">
        <v>10</v>
      </c>
      <c r="E52" s="30">
        <v>46190</v>
      </c>
      <c r="F52" s="14">
        <v>30</v>
      </c>
      <c r="G52" s="14" t="s">
        <v>57</v>
      </c>
    </row>
    <row r="53" spans="1:7" ht="15.75" customHeight="1" x14ac:dyDescent="0.25">
      <c r="A53" s="14" t="s">
        <v>3435</v>
      </c>
      <c r="B53" s="14">
        <v>1000171</v>
      </c>
      <c r="C53" s="14" t="s">
        <v>62</v>
      </c>
      <c r="D53" s="14" t="s">
        <v>10</v>
      </c>
      <c r="E53" s="30">
        <v>46190</v>
      </c>
      <c r="F53" s="14">
        <v>31</v>
      </c>
      <c r="G53" s="14" t="s">
        <v>57</v>
      </c>
    </row>
    <row r="54" spans="1:7" ht="15.75" customHeight="1" x14ac:dyDescent="0.25">
      <c r="A54" s="14" t="s">
        <v>3435</v>
      </c>
      <c r="B54" s="14">
        <v>1001941</v>
      </c>
      <c r="C54" s="14" t="s">
        <v>58</v>
      </c>
      <c r="D54" s="14" t="s">
        <v>59</v>
      </c>
      <c r="E54" s="30">
        <v>46190</v>
      </c>
      <c r="F54" s="14">
        <v>49</v>
      </c>
      <c r="G54" s="14" t="s">
        <v>57</v>
      </c>
    </row>
    <row r="55" spans="1:7" ht="15.75" customHeight="1" x14ac:dyDescent="0.25">
      <c r="A55" s="14" t="s">
        <v>3435</v>
      </c>
      <c r="B55" s="14">
        <v>1001667</v>
      </c>
      <c r="C55" s="14" t="s">
        <v>26</v>
      </c>
      <c r="D55" s="14" t="s">
        <v>18</v>
      </c>
      <c r="E55" s="30">
        <v>46190</v>
      </c>
      <c r="F55" s="14">
        <v>116</v>
      </c>
      <c r="G55" s="14" t="s">
        <v>57</v>
      </c>
    </row>
    <row r="56" spans="1:7" ht="15.75" customHeight="1" x14ac:dyDescent="0.25">
      <c r="A56" s="14" t="s">
        <v>3435</v>
      </c>
      <c r="B56" s="14">
        <v>1000170</v>
      </c>
      <c r="C56" s="14" t="s">
        <v>61</v>
      </c>
      <c r="D56" s="14" t="s">
        <v>10</v>
      </c>
      <c r="E56" s="30">
        <v>46190</v>
      </c>
      <c r="F56" s="14">
        <v>11</v>
      </c>
      <c r="G56" s="14" t="s">
        <v>57</v>
      </c>
    </row>
    <row r="57" spans="1:7" ht="15.75" customHeight="1" x14ac:dyDescent="0.25">
      <c r="A57" s="14" t="s">
        <v>3435</v>
      </c>
      <c r="B57" s="14">
        <v>1001146</v>
      </c>
      <c r="C57" s="14" t="s">
        <v>27</v>
      </c>
      <c r="D57" s="14" t="s">
        <v>10</v>
      </c>
      <c r="E57" s="30">
        <v>46190</v>
      </c>
      <c r="F57" s="14">
        <v>59</v>
      </c>
      <c r="G57" s="14" t="s">
        <v>57</v>
      </c>
    </row>
    <row r="58" spans="1:7" ht="15.75" customHeight="1" x14ac:dyDescent="0.25">
      <c r="A58" s="14" t="s">
        <v>3435</v>
      </c>
      <c r="B58" s="14">
        <v>1001680</v>
      </c>
      <c r="C58" s="14" t="s">
        <v>22</v>
      </c>
      <c r="D58" s="14" t="s">
        <v>10</v>
      </c>
      <c r="E58" s="30">
        <v>46190</v>
      </c>
      <c r="F58" s="14">
        <v>43</v>
      </c>
      <c r="G58" s="14" t="s">
        <v>57</v>
      </c>
    </row>
    <row r="59" spans="1:7" ht="15.75" customHeight="1" x14ac:dyDescent="0.25">
      <c r="A59" s="14" t="s">
        <v>3435</v>
      </c>
      <c r="B59" s="14">
        <v>1000036</v>
      </c>
      <c r="C59" s="14" t="s">
        <v>15</v>
      </c>
      <c r="D59" s="14" t="s">
        <v>10</v>
      </c>
      <c r="E59" s="30">
        <v>46190</v>
      </c>
      <c r="F59" s="14">
        <v>50</v>
      </c>
      <c r="G59" s="14" t="s">
        <v>57</v>
      </c>
    </row>
    <row r="60" spans="1:7" ht="15.75" customHeight="1" x14ac:dyDescent="0.25">
      <c r="A60" s="14" t="s">
        <v>3435</v>
      </c>
      <c r="B60" s="14">
        <v>1001513</v>
      </c>
      <c r="C60" s="14" t="s">
        <v>88</v>
      </c>
      <c r="D60" s="14" t="s">
        <v>18</v>
      </c>
      <c r="E60" s="30">
        <v>46190</v>
      </c>
      <c r="F60" s="14">
        <v>12</v>
      </c>
      <c r="G60" s="14" t="s">
        <v>57</v>
      </c>
    </row>
    <row r="61" spans="1:7" ht="15.75" customHeight="1" x14ac:dyDescent="0.25">
      <c r="A61" s="14" t="s">
        <v>3435</v>
      </c>
      <c r="B61" s="14">
        <v>1000089</v>
      </c>
      <c r="C61" s="14" t="s">
        <v>60</v>
      </c>
      <c r="D61" s="14" t="s">
        <v>10</v>
      </c>
      <c r="E61" s="30">
        <v>46190</v>
      </c>
      <c r="F61" s="14">
        <v>122</v>
      </c>
      <c r="G61" s="14" t="s">
        <v>57</v>
      </c>
    </row>
    <row r="62" spans="1:7" ht="15.75" customHeight="1" x14ac:dyDescent="0.25">
      <c r="A62" s="14" t="s">
        <v>3435</v>
      </c>
      <c r="B62" s="14">
        <v>1000208</v>
      </c>
      <c r="C62" s="14" t="s">
        <v>103</v>
      </c>
      <c r="D62" s="14" t="s">
        <v>14</v>
      </c>
      <c r="E62" s="30">
        <v>46190</v>
      </c>
      <c r="F62" s="14">
        <v>393</v>
      </c>
      <c r="G62" s="14" t="s">
        <v>57</v>
      </c>
    </row>
    <row r="63" spans="1:7" ht="15.75" customHeight="1" x14ac:dyDescent="0.25">
      <c r="A63" s="14" t="s">
        <v>3435</v>
      </c>
      <c r="B63" s="14">
        <v>1000049</v>
      </c>
      <c r="C63" s="14" t="s">
        <v>48</v>
      </c>
      <c r="D63" s="14" t="s">
        <v>10</v>
      </c>
      <c r="E63" s="30">
        <v>46190</v>
      </c>
      <c r="F63" s="14">
        <v>74</v>
      </c>
      <c r="G63" s="14" t="s">
        <v>57</v>
      </c>
    </row>
    <row r="64" spans="1:7" ht="15.75" customHeight="1" x14ac:dyDescent="0.25">
      <c r="A64" s="14" t="s">
        <v>3435</v>
      </c>
      <c r="B64" s="14">
        <v>1000366</v>
      </c>
      <c r="C64" s="14" t="s">
        <v>117</v>
      </c>
      <c r="D64" s="14" t="s">
        <v>14</v>
      </c>
      <c r="E64" s="14" t="s">
        <v>3437</v>
      </c>
      <c r="G64" s="14" t="s">
        <v>57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/>
  </sheetViews>
  <sheetFormatPr defaultColWidth="14.42578125" defaultRowHeight="15" customHeight="1" x14ac:dyDescent="0.25"/>
  <cols>
    <col min="1" max="1" width="15" customWidth="1"/>
    <col min="2" max="2" width="8" customWidth="1"/>
    <col min="3" max="3" width="42.140625" customWidth="1"/>
    <col min="4" max="4" width="8.42578125" customWidth="1"/>
    <col min="5" max="5" width="10.7109375" customWidth="1"/>
    <col min="6" max="6" width="11.42578125" customWidth="1"/>
    <col min="7" max="26" width="8.7109375" customWidth="1"/>
  </cols>
  <sheetData>
    <row r="1" spans="1:6" x14ac:dyDescent="0.25">
      <c r="A1" s="14" t="s">
        <v>3433</v>
      </c>
      <c r="B1" s="14" t="s">
        <v>3</v>
      </c>
      <c r="C1" s="14" t="s">
        <v>4</v>
      </c>
      <c r="D1" s="14" t="s">
        <v>5</v>
      </c>
      <c r="E1" s="14" t="s">
        <v>3434</v>
      </c>
      <c r="F1" s="14" t="s">
        <v>7</v>
      </c>
    </row>
    <row r="2" spans="1:6" x14ac:dyDescent="0.25">
      <c r="A2" s="14" t="s">
        <v>3435</v>
      </c>
      <c r="B2" s="14">
        <v>1000071</v>
      </c>
      <c r="C2" s="14" t="s">
        <v>76</v>
      </c>
      <c r="D2" s="14" t="s">
        <v>71</v>
      </c>
      <c r="E2" s="30">
        <v>46190</v>
      </c>
      <c r="F2" s="14">
        <v>15</v>
      </c>
    </row>
    <row r="3" spans="1:6" x14ac:dyDescent="0.25">
      <c r="A3" s="14" t="s">
        <v>3435</v>
      </c>
      <c r="B3" s="14">
        <v>1001476</v>
      </c>
      <c r="C3" s="14" t="s">
        <v>3436</v>
      </c>
      <c r="D3" s="14" t="s">
        <v>18</v>
      </c>
      <c r="E3" s="30">
        <v>46190</v>
      </c>
      <c r="F3" s="14">
        <v>164</v>
      </c>
    </row>
    <row r="4" spans="1:6" x14ac:dyDescent="0.25">
      <c r="A4" s="14" t="s">
        <v>3435</v>
      </c>
      <c r="B4" s="14">
        <v>1000076</v>
      </c>
      <c r="C4" s="14" t="s">
        <v>77</v>
      </c>
      <c r="D4" s="14" t="s">
        <v>71</v>
      </c>
      <c r="E4" s="30">
        <v>46190</v>
      </c>
      <c r="F4" s="14">
        <v>30</v>
      </c>
    </row>
    <row r="5" spans="1:6" x14ac:dyDescent="0.25">
      <c r="A5" s="14" t="s">
        <v>3435</v>
      </c>
      <c r="B5" s="14">
        <v>1001190</v>
      </c>
      <c r="C5" s="14" t="s">
        <v>97</v>
      </c>
      <c r="D5" s="14" t="s">
        <v>10</v>
      </c>
      <c r="E5" s="30">
        <v>46190</v>
      </c>
      <c r="F5" s="14">
        <v>108</v>
      </c>
    </row>
    <row r="6" spans="1:6" x14ac:dyDescent="0.25">
      <c r="A6" s="14" t="s">
        <v>3435</v>
      </c>
      <c r="B6" s="14">
        <v>1000032</v>
      </c>
      <c r="C6" s="14" t="s">
        <v>9</v>
      </c>
      <c r="D6" s="14" t="s">
        <v>10</v>
      </c>
      <c r="E6" s="30">
        <v>46190</v>
      </c>
      <c r="F6" s="14">
        <v>40</v>
      </c>
    </row>
    <row r="7" spans="1:6" x14ac:dyDescent="0.25">
      <c r="A7" s="14" t="s">
        <v>3435</v>
      </c>
      <c r="B7" s="14">
        <v>1001680</v>
      </c>
      <c r="C7" s="14" t="s">
        <v>22</v>
      </c>
      <c r="D7" s="14" t="s">
        <v>10</v>
      </c>
      <c r="E7" s="30">
        <v>46190</v>
      </c>
      <c r="F7" s="14">
        <v>43</v>
      </c>
    </row>
    <row r="8" spans="1:6" x14ac:dyDescent="0.25">
      <c r="A8" s="14" t="s">
        <v>3435</v>
      </c>
      <c r="B8" s="14">
        <v>1000049</v>
      </c>
      <c r="C8" s="14" t="s">
        <v>48</v>
      </c>
      <c r="D8" s="14" t="s">
        <v>10</v>
      </c>
      <c r="E8" s="30">
        <v>46190</v>
      </c>
      <c r="F8" s="14">
        <v>19</v>
      </c>
    </row>
    <row r="9" spans="1:6" x14ac:dyDescent="0.25">
      <c r="A9" s="14" t="s">
        <v>3435</v>
      </c>
      <c r="B9" s="14">
        <v>1001705</v>
      </c>
      <c r="C9" s="14" t="s">
        <v>40</v>
      </c>
      <c r="D9" s="14" t="s">
        <v>18</v>
      </c>
      <c r="E9" s="30">
        <v>46190</v>
      </c>
      <c r="F9" s="14">
        <v>3</v>
      </c>
    </row>
    <row r="10" spans="1:6" x14ac:dyDescent="0.25">
      <c r="A10" s="14" t="s">
        <v>3435</v>
      </c>
      <c r="B10" s="14">
        <v>1001905</v>
      </c>
      <c r="C10" s="14" t="s">
        <v>265</v>
      </c>
      <c r="D10" s="14" t="s">
        <v>18</v>
      </c>
      <c r="E10" s="30">
        <v>46190</v>
      </c>
      <c r="F10" s="14">
        <v>20</v>
      </c>
    </row>
    <row r="11" spans="1:6" x14ac:dyDescent="0.25">
      <c r="A11" s="14" t="s">
        <v>3435</v>
      </c>
      <c r="B11" s="14">
        <v>1000258</v>
      </c>
      <c r="C11" s="14" t="s">
        <v>35</v>
      </c>
      <c r="D11" s="14" t="s">
        <v>10</v>
      </c>
      <c r="E11" s="30">
        <v>46190</v>
      </c>
      <c r="F11" s="14">
        <v>27</v>
      </c>
    </row>
    <row r="12" spans="1:6" x14ac:dyDescent="0.25">
      <c r="A12" s="14" t="s">
        <v>3435</v>
      </c>
      <c r="B12" s="14">
        <v>1001122</v>
      </c>
      <c r="C12" s="14" t="s">
        <v>200</v>
      </c>
      <c r="D12" s="14" t="s">
        <v>10</v>
      </c>
      <c r="E12" s="30">
        <v>46190</v>
      </c>
      <c r="F12" s="14">
        <v>9</v>
      </c>
    </row>
    <row r="13" spans="1:6" x14ac:dyDescent="0.25">
      <c r="A13" s="14" t="s">
        <v>3435</v>
      </c>
      <c r="B13" s="14">
        <v>1006179</v>
      </c>
      <c r="C13" s="14" t="s">
        <v>106</v>
      </c>
      <c r="D13" s="14" t="s">
        <v>18</v>
      </c>
      <c r="E13" s="30">
        <v>46190</v>
      </c>
      <c r="F13" s="14">
        <v>21</v>
      </c>
    </row>
    <row r="14" spans="1:6" x14ac:dyDescent="0.25">
      <c r="A14" s="14" t="s">
        <v>3435</v>
      </c>
      <c r="B14" s="14">
        <v>1001488</v>
      </c>
      <c r="C14" s="14" t="s">
        <v>34</v>
      </c>
      <c r="D14" s="14" t="s">
        <v>18</v>
      </c>
      <c r="E14" s="30">
        <v>46190</v>
      </c>
      <c r="F14" s="14">
        <v>24</v>
      </c>
    </row>
    <row r="15" spans="1:6" x14ac:dyDescent="0.25">
      <c r="A15" s="14" t="s">
        <v>3435</v>
      </c>
      <c r="B15" s="14">
        <v>1000319</v>
      </c>
      <c r="C15" s="14" t="s">
        <v>54</v>
      </c>
      <c r="D15" s="14" t="s">
        <v>14</v>
      </c>
      <c r="E15" s="30">
        <v>46190</v>
      </c>
      <c r="F15" s="14">
        <v>56</v>
      </c>
    </row>
    <row r="16" spans="1:6" x14ac:dyDescent="0.25">
      <c r="A16" s="14" t="s">
        <v>3435</v>
      </c>
      <c r="B16" s="14">
        <v>1001264</v>
      </c>
      <c r="C16" s="14" t="s">
        <v>37</v>
      </c>
      <c r="D16" s="14" t="s">
        <v>14</v>
      </c>
      <c r="E16" s="30">
        <v>46190</v>
      </c>
      <c r="F16" s="14">
        <v>107</v>
      </c>
    </row>
    <row r="17" spans="1:6" x14ac:dyDescent="0.25">
      <c r="A17" s="14" t="s">
        <v>3435</v>
      </c>
      <c r="B17" s="14">
        <v>1000037</v>
      </c>
      <c r="C17" s="14" t="s">
        <v>46</v>
      </c>
      <c r="D17" s="14" t="s">
        <v>10</v>
      </c>
      <c r="E17" s="30">
        <v>46190</v>
      </c>
      <c r="F17" s="14">
        <v>173</v>
      </c>
    </row>
    <row r="18" spans="1:6" x14ac:dyDescent="0.25">
      <c r="A18" s="14" t="s">
        <v>3435</v>
      </c>
      <c r="B18" s="14">
        <v>1001854</v>
      </c>
      <c r="C18" s="14" t="s">
        <v>105</v>
      </c>
      <c r="D18" s="14" t="s">
        <v>10</v>
      </c>
      <c r="E18" s="30">
        <v>46190</v>
      </c>
      <c r="F18" s="14">
        <v>58</v>
      </c>
    </row>
    <row r="19" spans="1:6" x14ac:dyDescent="0.25">
      <c r="A19" s="14" t="s">
        <v>3435</v>
      </c>
      <c r="B19" s="14">
        <v>1000256</v>
      </c>
      <c r="C19" s="14" t="s">
        <v>36</v>
      </c>
      <c r="D19" s="14" t="s">
        <v>14</v>
      </c>
      <c r="E19" s="30">
        <v>46190</v>
      </c>
      <c r="F19" s="14">
        <v>37</v>
      </c>
    </row>
    <row r="20" spans="1:6" x14ac:dyDescent="0.25">
      <c r="A20" s="14" t="s">
        <v>3435</v>
      </c>
      <c r="B20" s="14">
        <v>1000184</v>
      </c>
      <c r="C20" s="14" t="s">
        <v>28</v>
      </c>
      <c r="D20" s="14" t="s">
        <v>14</v>
      </c>
      <c r="E20" s="30">
        <v>46190</v>
      </c>
      <c r="F20" s="14">
        <v>91</v>
      </c>
    </row>
    <row r="21" spans="1:6" ht="15.75" customHeight="1" x14ac:dyDescent="0.25">
      <c r="A21" s="14" t="s">
        <v>3435</v>
      </c>
      <c r="B21" s="14">
        <v>1000305</v>
      </c>
      <c r="C21" s="14" t="s">
        <v>111</v>
      </c>
      <c r="D21" s="14" t="s">
        <v>10</v>
      </c>
      <c r="E21" s="30">
        <v>46190</v>
      </c>
      <c r="F21" s="14">
        <v>240</v>
      </c>
    </row>
    <row r="22" spans="1:6" ht="15.75" customHeight="1" x14ac:dyDescent="0.25">
      <c r="A22" s="14" t="s">
        <v>3435</v>
      </c>
      <c r="B22" s="14">
        <v>1000039</v>
      </c>
      <c r="C22" s="14" t="s">
        <v>16</v>
      </c>
      <c r="D22" s="14" t="s">
        <v>10</v>
      </c>
      <c r="E22" s="30">
        <v>46190</v>
      </c>
      <c r="F22" s="14">
        <v>75</v>
      </c>
    </row>
    <row r="23" spans="1:6" ht="15.75" customHeight="1" x14ac:dyDescent="0.25">
      <c r="A23" s="14" t="s">
        <v>3435</v>
      </c>
      <c r="B23" s="14">
        <v>1002148</v>
      </c>
      <c r="C23" s="14" t="s">
        <v>80</v>
      </c>
      <c r="D23" s="14" t="s">
        <v>10</v>
      </c>
      <c r="E23" s="30">
        <v>46190</v>
      </c>
      <c r="F23" s="14">
        <v>54</v>
      </c>
    </row>
    <row r="24" spans="1:6" ht="15.75" customHeight="1" x14ac:dyDescent="0.25">
      <c r="A24" s="14" t="s">
        <v>3435</v>
      </c>
      <c r="B24" s="14">
        <v>1000183</v>
      </c>
      <c r="C24" s="14" t="s">
        <v>51</v>
      </c>
      <c r="D24" s="14" t="s">
        <v>14</v>
      </c>
      <c r="E24" s="30">
        <v>46190</v>
      </c>
      <c r="F24" s="14">
        <v>64</v>
      </c>
    </row>
    <row r="25" spans="1:6" ht="15.75" customHeight="1" x14ac:dyDescent="0.25">
      <c r="A25" s="14" t="s">
        <v>3435</v>
      </c>
      <c r="B25" s="14">
        <v>1000206</v>
      </c>
      <c r="C25" s="14" t="s">
        <v>102</v>
      </c>
      <c r="D25" s="14" t="s">
        <v>10</v>
      </c>
      <c r="E25" s="30">
        <v>46190</v>
      </c>
      <c r="F25" s="14">
        <v>186</v>
      </c>
    </row>
    <row r="26" spans="1:6" ht="15.75" customHeight="1" x14ac:dyDescent="0.25">
      <c r="A26" s="14" t="s">
        <v>3435</v>
      </c>
      <c r="B26" s="14">
        <v>1000348</v>
      </c>
      <c r="C26" s="14" t="s">
        <v>43</v>
      </c>
      <c r="D26" s="14" t="s">
        <v>10</v>
      </c>
      <c r="E26" s="30">
        <v>46190</v>
      </c>
      <c r="F26" s="14">
        <v>67</v>
      </c>
    </row>
    <row r="27" spans="1:6" ht="15.75" customHeight="1" x14ac:dyDescent="0.25">
      <c r="A27" s="14" t="s">
        <v>3435</v>
      </c>
      <c r="B27" s="14">
        <v>1000648</v>
      </c>
      <c r="C27" s="14" t="s">
        <v>187</v>
      </c>
      <c r="D27" s="14" t="s">
        <v>14</v>
      </c>
      <c r="E27" s="30">
        <v>46190</v>
      </c>
      <c r="F27" s="14">
        <v>58</v>
      </c>
    </row>
    <row r="28" spans="1:6" ht="15.75" customHeight="1" x14ac:dyDescent="0.25">
      <c r="A28" s="14" t="s">
        <v>3435</v>
      </c>
      <c r="B28" s="14">
        <v>1000995</v>
      </c>
      <c r="C28" s="14" t="s">
        <v>188</v>
      </c>
      <c r="D28" s="14" t="s">
        <v>14</v>
      </c>
      <c r="E28" s="30">
        <v>46190</v>
      </c>
      <c r="F28" s="14">
        <v>24</v>
      </c>
    </row>
    <row r="29" spans="1:6" ht="15.75" customHeight="1" x14ac:dyDescent="0.25">
      <c r="A29" s="14" t="s">
        <v>3435</v>
      </c>
      <c r="B29" s="14">
        <v>1001302</v>
      </c>
      <c r="C29" s="14" t="s">
        <v>96</v>
      </c>
      <c r="D29" s="14" t="s">
        <v>10</v>
      </c>
      <c r="E29" s="30">
        <v>46190</v>
      </c>
      <c r="F29" s="14">
        <v>101</v>
      </c>
    </row>
    <row r="30" spans="1:6" ht="15.75" customHeight="1" x14ac:dyDescent="0.25">
      <c r="A30" s="14" t="s">
        <v>3435</v>
      </c>
      <c r="B30" s="14">
        <v>1000036</v>
      </c>
      <c r="C30" s="14" t="s">
        <v>15</v>
      </c>
      <c r="D30" s="14" t="s">
        <v>10</v>
      </c>
      <c r="E30" s="30">
        <v>46190</v>
      </c>
      <c r="F30" s="14">
        <v>50</v>
      </c>
    </row>
    <row r="31" spans="1:6" ht="15.75" customHeight="1" x14ac:dyDescent="0.25">
      <c r="A31" s="14" t="s">
        <v>3435</v>
      </c>
      <c r="B31" s="14">
        <v>1001146</v>
      </c>
      <c r="C31" s="14" t="s">
        <v>27</v>
      </c>
      <c r="D31" s="14" t="s">
        <v>10</v>
      </c>
      <c r="E31" s="30">
        <v>46190</v>
      </c>
      <c r="F31" s="14">
        <v>59</v>
      </c>
    </row>
    <row r="32" spans="1:6" ht="15.75" customHeight="1" x14ac:dyDescent="0.25">
      <c r="A32" s="14" t="s">
        <v>3435</v>
      </c>
      <c r="B32" s="14">
        <v>1008890</v>
      </c>
      <c r="C32" s="14" t="s">
        <v>23</v>
      </c>
      <c r="D32" s="14" t="s">
        <v>18</v>
      </c>
      <c r="E32" s="30">
        <v>46190</v>
      </c>
      <c r="F32" s="14">
        <v>6</v>
      </c>
    </row>
    <row r="33" spans="1:6" ht="15.75" customHeight="1" x14ac:dyDescent="0.25">
      <c r="A33" s="14" t="s">
        <v>3435</v>
      </c>
      <c r="B33" s="14">
        <v>1002108</v>
      </c>
      <c r="C33" s="14" t="s">
        <v>55</v>
      </c>
      <c r="D33" s="14" t="s">
        <v>18</v>
      </c>
      <c r="E33" s="30">
        <v>46190</v>
      </c>
      <c r="F33" s="14">
        <v>13</v>
      </c>
    </row>
    <row r="34" spans="1:6" ht="15.75" customHeight="1" x14ac:dyDescent="0.25">
      <c r="A34" s="14" t="s">
        <v>3435</v>
      </c>
      <c r="B34" s="14">
        <v>1001701</v>
      </c>
      <c r="C34" s="14" t="s">
        <v>21</v>
      </c>
      <c r="D34" s="14" t="s">
        <v>18</v>
      </c>
      <c r="E34" s="30">
        <v>46190</v>
      </c>
      <c r="F34" s="14">
        <v>5</v>
      </c>
    </row>
    <row r="35" spans="1:6" ht="15.75" customHeight="1" x14ac:dyDescent="0.25">
      <c r="A35" s="14" t="s">
        <v>3435</v>
      </c>
      <c r="B35" s="14">
        <v>1001939</v>
      </c>
      <c r="C35" s="14" t="s">
        <v>50</v>
      </c>
      <c r="D35" s="14" t="s">
        <v>18</v>
      </c>
      <c r="E35" s="30">
        <v>46190</v>
      </c>
      <c r="F35" s="14">
        <v>10</v>
      </c>
    </row>
    <row r="36" spans="1:6" ht="15.75" customHeight="1" x14ac:dyDescent="0.25">
      <c r="A36" s="14" t="s">
        <v>3435</v>
      </c>
      <c r="B36" s="14">
        <v>1006116</v>
      </c>
      <c r="C36" s="14" t="s">
        <v>30</v>
      </c>
      <c r="D36" s="14" t="s">
        <v>10</v>
      </c>
      <c r="E36" s="30">
        <v>46190</v>
      </c>
      <c r="F36" s="14">
        <v>54</v>
      </c>
    </row>
    <row r="37" spans="1:6" ht="15.75" customHeight="1" x14ac:dyDescent="0.25">
      <c r="A37" s="14" t="s">
        <v>3435</v>
      </c>
      <c r="B37" s="14">
        <v>1000544</v>
      </c>
      <c r="C37" s="14" t="s">
        <v>116</v>
      </c>
      <c r="D37" s="14" t="s">
        <v>14</v>
      </c>
      <c r="E37" s="30">
        <v>46190</v>
      </c>
      <c r="F37" s="14">
        <v>125</v>
      </c>
    </row>
    <row r="38" spans="1:6" ht="15.75" customHeight="1" x14ac:dyDescent="0.25">
      <c r="A38" s="14" t="s">
        <v>3435</v>
      </c>
      <c r="B38" s="14">
        <v>1000197</v>
      </c>
      <c r="C38" s="14" t="s">
        <v>53</v>
      </c>
      <c r="D38" s="14" t="s">
        <v>14</v>
      </c>
      <c r="E38" s="30">
        <v>46190</v>
      </c>
      <c r="F38" s="14">
        <v>54</v>
      </c>
    </row>
    <row r="39" spans="1:6" ht="15.75" customHeight="1" x14ac:dyDescent="0.25">
      <c r="A39" s="14" t="s">
        <v>3435</v>
      </c>
      <c r="B39" s="14">
        <v>1000146</v>
      </c>
      <c r="C39" s="14" t="s">
        <v>99</v>
      </c>
      <c r="D39" s="14" t="s">
        <v>10</v>
      </c>
      <c r="E39" s="30">
        <v>46190</v>
      </c>
      <c r="F39" s="14">
        <v>252</v>
      </c>
    </row>
    <row r="40" spans="1:6" ht="15.75" customHeight="1" x14ac:dyDescent="0.25">
      <c r="A40" s="14" t="s">
        <v>3435</v>
      </c>
      <c r="B40" s="14">
        <v>1001667</v>
      </c>
      <c r="C40" s="14" t="s">
        <v>26</v>
      </c>
      <c r="D40" s="14" t="s">
        <v>18</v>
      </c>
      <c r="E40" s="30">
        <v>46190</v>
      </c>
      <c r="F40" s="14">
        <v>116</v>
      </c>
    </row>
    <row r="41" spans="1:6" ht="15.75" customHeight="1" x14ac:dyDescent="0.25">
      <c r="A41" s="14" t="s">
        <v>3435</v>
      </c>
      <c r="B41" s="14">
        <v>1001923</v>
      </c>
      <c r="C41" s="14" t="s">
        <v>107</v>
      </c>
      <c r="D41" s="14" t="s">
        <v>18</v>
      </c>
      <c r="E41" s="30">
        <v>46190</v>
      </c>
      <c r="F41" s="14">
        <v>2</v>
      </c>
    </row>
    <row r="42" spans="1:6" ht="15.75" customHeight="1" x14ac:dyDescent="0.25">
      <c r="A42" s="14" t="s">
        <v>3435</v>
      </c>
      <c r="B42" s="14">
        <v>1000208</v>
      </c>
      <c r="C42" s="14" t="s">
        <v>103</v>
      </c>
      <c r="D42" s="14" t="s">
        <v>14</v>
      </c>
      <c r="E42" s="30">
        <v>46190</v>
      </c>
      <c r="F42" s="14">
        <v>393</v>
      </c>
    </row>
    <row r="43" spans="1:6" ht="15.75" customHeight="1" x14ac:dyDescent="0.25">
      <c r="A43" s="14" t="s">
        <v>3435</v>
      </c>
      <c r="B43" s="14">
        <v>1001712</v>
      </c>
      <c r="C43" s="14" t="s">
        <v>49</v>
      </c>
      <c r="D43" s="14" t="s">
        <v>18</v>
      </c>
      <c r="E43" s="30">
        <v>46190</v>
      </c>
      <c r="F43" s="14">
        <v>5</v>
      </c>
    </row>
    <row r="44" spans="1:6" ht="15.75" customHeight="1" x14ac:dyDescent="0.25">
      <c r="A44" s="14" t="s">
        <v>3435</v>
      </c>
      <c r="B44" s="14">
        <v>1000033</v>
      </c>
      <c r="C44" s="14" t="s">
        <v>12</v>
      </c>
      <c r="D44" s="14" t="s">
        <v>10</v>
      </c>
      <c r="E44" s="30">
        <v>46190</v>
      </c>
      <c r="F44" s="14">
        <v>11</v>
      </c>
    </row>
    <row r="45" spans="1:6" ht="15.75" customHeight="1" x14ac:dyDescent="0.25">
      <c r="A45" s="14" t="s">
        <v>3435</v>
      </c>
      <c r="B45" s="14">
        <v>1000284</v>
      </c>
      <c r="C45" s="14" t="s">
        <v>38</v>
      </c>
      <c r="D45" s="14" t="s">
        <v>14</v>
      </c>
      <c r="E45" s="30">
        <v>46190</v>
      </c>
      <c r="F45" s="14">
        <v>23</v>
      </c>
    </row>
    <row r="46" spans="1:6" ht="15.75" customHeight="1" x14ac:dyDescent="0.25">
      <c r="A46" s="14" t="s">
        <v>3435</v>
      </c>
      <c r="B46" s="14">
        <v>1002270</v>
      </c>
      <c r="C46" s="14" t="s">
        <v>39</v>
      </c>
      <c r="D46" s="14" t="s">
        <v>18</v>
      </c>
      <c r="E46" s="30">
        <v>46190</v>
      </c>
      <c r="F46" s="14">
        <v>20</v>
      </c>
    </row>
    <row r="47" spans="1:6" ht="15.75" customHeight="1" x14ac:dyDescent="0.25">
      <c r="A47" s="14" t="s">
        <v>3435</v>
      </c>
      <c r="B47" s="14">
        <v>1000048</v>
      </c>
      <c r="C47" s="14" t="s">
        <v>19</v>
      </c>
      <c r="D47" s="14" t="s">
        <v>10</v>
      </c>
      <c r="E47" s="30">
        <v>46190</v>
      </c>
      <c r="F47" s="14">
        <v>198</v>
      </c>
    </row>
    <row r="48" spans="1:6" ht="15.75" customHeight="1" x14ac:dyDescent="0.25">
      <c r="A48" s="14" t="s">
        <v>3435</v>
      </c>
      <c r="B48" s="14">
        <v>1001696</v>
      </c>
      <c r="C48" s="14" t="s">
        <v>90</v>
      </c>
      <c r="D48" s="14" t="s">
        <v>14</v>
      </c>
      <c r="E48" s="30">
        <v>46190</v>
      </c>
      <c r="F48" s="14">
        <v>21</v>
      </c>
    </row>
    <row r="49" spans="1:6" ht="15.75" customHeight="1" x14ac:dyDescent="0.25">
      <c r="A49" s="14" t="s">
        <v>3435</v>
      </c>
      <c r="B49" s="14">
        <v>1001907</v>
      </c>
      <c r="C49" s="14" t="s">
        <v>265</v>
      </c>
      <c r="D49" s="14" t="s">
        <v>18</v>
      </c>
      <c r="E49" s="30">
        <v>46190</v>
      </c>
      <c r="F49" s="14">
        <v>14</v>
      </c>
    </row>
    <row r="50" spans="1:6" ht="15.75" customHeight="1" x14ac:dyDescent="0.25">
      <c r="A50" s="14" t="s">
        <v>3435</v>
      </c>
      <c r="B50" s="14">
        <v>1002153</v>
      </c>
      <c r="C50" s="14" t="s">
        <v>42</v>
      </c>
      <c r="D50" s="14" t="s">
        <v>18</v>
      </c>
      <c r="E50" s="30">
        <v>46190</v>
      </c>
      <c r="F50" s="14">
        <v>3</v>
      </c>
    </row>
    <row r="51" spans="1:6" ht="15.75" customHeight="1" x14ac:dyDescent="0.25">
      <c r="A51" s="14" t="s">
        <v>3435</v>
      </c>
      <c r="B51" s="14">
        <v>1001925</v>
      </c>
      <c r="C51" s="14" t="s">
        <v>108</v>
      </c>
      <c r="D51" s="14" t="s">
        <v>18</v>
      </c>
      <c r="E51" s="30">
        <v>46190</v>
      </c>
      <c r="F51" s="14">
        <v>1</v>
      </c>
    </row>
    <row r="52" spans="1:6" ht="15.75" customHeight="1" x14ac:dyDescent="0.25">
      <c r="A52" s="14" t="s">
        <v>3435</v>
      </c>
      <c r="B52" s="14">
        <v>1001306</v>
      </c>
      <c r="C52" s="14" t="s">
        <v>13</v>
      </c>
      <c r="D52" s="14" t="s">
        <v>14</v>
      </c>
      <c r="E52" s="30">
        <v>46190</v>
      </c>
      <c r="F52" s="14">
        <v>53</v>
      </c>
    </row>
    <row r="53" spans="1:6" ht="15.75" customHeight="1" x14ac:dyDescent="0.25">
      <c r="A53" s="14" t="s">
        <v>3435</v>
      </c>
      <c r="B53" s="14">
        <v>1001707</v>
      </c>
      <c r="C53" s="14" t="s">
        <v>202</v>
      </c>
      <c r="D53" s="14" t="s">
        <v>18</v>
      </c>
      <c r="E53" s="30">
        <v>46190</v>
      </c>
      <c r="F53" s="14">
        <v>26</v>
      </c>
    </row>
    <row r="54" spans="1:6" ht="15.75" customHeight="1" x14ac:dyDescent="0.25">
      <c r="A54" s="14" t="s">
        <v>3435</v>
      </c>
      <c r="B54" s="14">
        <v>1001660</v>
      </c>
      <c r="C54" s="14" t="s">
        <v>41</v>
      </c>
      <c r="D54" s="14" t="s">
        <v>10</v>
      </c>
      <c r="E54" s="30">
        <v>46190</v>
      </c>
      <c r="F54" s="14">
        <v>19</v>
      </c>
    </row>
    <row r="55" spans="1:6" ht="15.75" customHeight="1" x14ac:dyDescent="0.25">
      <c r="A55" s="14" t="s">
        <v>3435</v>
      </c>
      <c r="B55" s="14">
        <v>1001455</v>
      </c>
      <c r="C55" s="14" t="s">
        <v>17</v>
      </c>
      <c r="D55" s="14" t="s">
        <v>18</v>
      </c>
      <c r="E55" s="30">
        <v>46190</v>
      </c>
      <c r="F55" s="14">
        <v>103</v>
      </c>
    </row>
    <row r="56" spans="1:6" ht="15.75" customHeight="1" x14ac:dyDescent="0.25">
      <c r="A56" s="14" t="s">
        <v>3435</v>
      </c>
      <c r="B56" s="14">
        <v>1002238</v>
      </c>
      <c r="C56" s="14" t="s">
        <v>109</v>
      </c>
      <c r="D56" s="14" t="s">
        <v>18</v>
      </c>
      <c r="E56" s="30">
        <v>46190</v>
      </c>
      <c r="F56" s="14">
        <v>12</v>
      </c>
    </row>
    <row r="57" spans="1:6" ht="15.75" customHeight="1" x14ac:dyDescent="0.25">
      <c r="A57" s="14" t="s">
        <v>3435</v>
      </c>
      <c r="B57" s="14">
        <v>1002239</v>
      </c>
      <c r="C57" s="14" t="s">
        <v>110</v>
      </c>
      <c r="D57" s="14" t="s">
        <v>18</v>
      </c>
      <c r="E57" s="30">
        <v>46190</v>
      </c>
      <c r="F57" s="14">
        <v>12</v>
      </c>
    </row>
    <row r="58" spans="1:6" ht="15.75" customHeight="1" x14ac:dyDescent="0.25">
      <c r="A58" s="14" t="s">
        <v>3435</v>
      </c>
      <c r="B58" s="14">
        <v>1002058</v>
      </c>
      <c r="C58" s="14" t="s">
        <v>3438</v>
      </c>
      <c r="D58" s="14" t="s">
        <v>18</v>
      </c>
      <c r="E58" s="30">
        <v>46190</v>
      </c>
      <c r="F58" s="14">
        <v>2</v>
      </c>
    </row>
    <row r="59" spans="1:6" ht="15.75" customHeight="1" x14ac:dyDescent="0.25">
      <c r="A59" s="14" t="s">
        <v>3435</v>
      </c>
      <c r="B59" s="14">
        <v>1006855</v>
      </c>
      <c r="C59" s="14" t="s">
        <v>78</v>
      </c>
      <c r="D59" s="14" t="s">
        <v>10</v>
      </c>
      <c r="E59" s="30">
        <v>46190</v>
      </c>
      <c r="F59" s="14">
        <v>54</v>
      </c>
    </row>
    <row r="60" spans="1:6" ht="15.75" customHeight="1" x14ac:dyDescent="0.25">
      <c r="A60" s="14" t="s">
        <v>3435</v>
      </c>
      <c r="B60" s="14">
        <v>1001289</v>
      </c>
      <c r="C60" s="14" t="s">
        <v>266</v>
      </c>
      <c r="D60" s="14" t="s">
        <v>14</v>
      </c>
      <c r="E60" s="30">
        <v>46190</v>
      </c>
      <c r="F60" s="14">
        <v>125</v>
      </c>
    </row>
    <row r="61" spans="1:6" ht="15.75" customHeight="1" x14ac:dyDescent="0.25">
      <c r="A61" s="14" t="s">
        <v>3435</v>
      </c>
      <c r="B61" s="14">
        <v>1000209</v>
      </c>
      <c r="C61" s="14" t="s">
        <v>179</v>
      </c>
      <c r="D61" s="14" t="s">
        <v>14</v>
      </c>
      <c r="E61" s="30">
        <v>46190</v>
      </c>
      <c r="F61" s="14">
        <v>16</v>
      </c>
    </row>
    <row r="62" spans="1:6" ht="15.75" customHeight="1" x14ac:dyDescent="0.25">
      <c r="A62" s="14" t="s">
        <v>3435</v>
      </c>
      <c r="B62" s="14">
        <v>1000327</v>
      </c>
      <c r="C62" s="14" t="s">
        <v>114</v>
      </c>
      <c r="D62" s="14" t="s">
        <v>71</v>
      </c>
      <c r="E62" s="30">
        <v>46190</v>
      </c>
      <c r="F62" s="14">
        <v>146</v>
      </c>
    </row>
    <row r="63" spans="1:6" ht="15.75" customHeight="1" x14ac:dyDescent="0.25">
      <c r="A63" s="14" t="s">
        <v>3435</v>
      </c>
      <c r="B63" s="14">
        <v>1000185</v>
      </c>
      <c r="C63" s="14" t="s">
        <v>52</v>
      </c>
      <c r="D63" s="14" t="s">
        <v>14</v>
      </c>
      <c r="E63" s="30">
        <v>46190</v>
      </c>
      <c r="F63" s="14">
        <v>88</v>
      </c>
    </row>
    <row r="64" spans="1:6" ht="15.75" customHeight="1" x14ac:dyDescent="0.25">
      <c r="A64" s="14" t="s">
        <v>3435</v>
      </c>
      <c r="B64" s="14">
        <v>1000195</v>
      </c>
      <c r="C64" s="14" t="s">
        <v>32</v>
      </c>
      <c r="D64" s="14" t="s">
        <v>10</v>
      </c>
      <c r="E64" s="14" t="s">
        <v>3439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defaultColWidth="14.42578125" defaultRowHeight="15" customHeight="1" x14ac:dyDescent="0.25"/>
  <cols>
    <col min="1" max="1" width="15" customWidth="1"/>
    <col min="2" max="2" width="8" customWidth="1"/>
    <col min="3" max="3" width="42.28515625" customWidth="1"/>
    <col min="4" max="4" width="8.42578125" customWidth="1"/>
    <col min="5" max="5" width="10.7109375" customWidth="1"/>
    <col min="6" max="6" width="11.42578125" customWidth="1"/>
    <col min="7" max="26" width="8.7109375" customWidth="1"/>
  </cols>
  <sheetData>
    <row r="1" spans="1:6" x14ac:dyDescent="0.25">
      <c r="A1" s="14" t="s">
        <v>3433</v>
      </c>
      <c r="B1" s="14" t="s">
        <v>3</v>
      </c>
      <c r="C1" s="14" t="s">
        <v>4</v>
      </c>
      <c r="D1" s="14" t="s">
        <v>5</v>
      </c>
      <c r="E1" s="14" t="s">
        <v>3434</v>
      </c>
      <c r="F1" s="14" t="s">
        <v>7</v>
      </c>
    </row>
    <row r="2" spans="1:6" x14ac:dyDescent="0.25">
      <c r="A2" s="14" t="s">
        <v>3435</v>
      </c>
      <c r="B2" s="14">
        <v>1000995</v>
      </c>
      <c r="C2" s="14" t="s">
        <v>123</v>
      </c>
      <c r="D2" s="14" t="s">
        <v>14</v>
      </c>
      <c r="E2" s="30">
        <v>46190</v>
      </c>
      <c r="F2" s="14">
        <v>24</v>
      </c>
    </row>
    <row r="3" spans="1:6" x14ac:dyDescent="0.25">
      <c r="A3" s="14" t="s">
        <v>3435</v>
      </c>
      <c r="B3" s="14">
        <v>1000648</v>
      </c>
      <c r="C3" s="14" t="s">
        <v>122</v>
      </c>
      <c r="D3" s="14" t="s">
        <v>14</v>
      </c>
      <c r="E3" s="30">
        <v>46190</v>
      </c>
      <c r="F3" s="14">
        <v>58</v>
      </c>
    </row>
    <row r="4" spans="1:6" x14ac:dyDescent="0.25">
      <c r="A4" s="14" t="s">
        <v>3435</v>
      </c>
      <c r="B4" s="14">
        <v>1001488</v>
      </c>
      <c r="C4" s="14" t="s">
        <v>34</v>
      </c>
      <c r="D4" s="14" t="s">
        <v>18</v>
      </c>
      <c r="E4" s="30">
        <v>46190</v>
      </c>
      <c r="F4" s="14">
        <v>24</v>
      </c>
    </row>
    <row r="5" spans="1:6" x14ac:dyDescent="0.25">
      <c r="A5" s="14" t="s">
        <v>3435</v>
      </c>
      <c r="B5" s="14">
        <v>1001854</v>
      </c>
      <c r="C5" s="14" t="s">
        <v>105</v>
      </c>
      <c r="D5" s="14" t="s">
        <v>10</v>
      </c>
      <c r="E5" s="30">
        <v>46190</v>
      </c>
      <c r="F5" s="14">
        <v>58</v>
      </c>
    </row>
    <row r="6" spans="1:6" x14ac:dyDescent="0.25">
      <c r="A6" s="14" t="s">
        <v>3435</v>
      </c>
      <c r="B6" s="14">
        <v>1001925</v>
      </c>
      <c r="C6" s="14" t="s">
        <v>108</v>
      </c>
      <c r="D6" s="14" t="s">
        <v>18</v>
      </c>
      <c r="E6" s="30">
        <v>46190</v>
      </c>
      <c r="F6" s="14">
        <v>1</v>
      </c>
    </row>
    <row r="7" spans="1:6" x14ac:dyDescent="0.25">
      <c r="A7" s="14" t="s">
        <v>3435</v>
      </c>
      <c r="B7" s="14">
        <v>1000284</v>
      </c>
      <c r="C7" s="14" t="s">
        <v>38</v>
      </c>
      <c r="D7" s="14" t="s">
        <v>14</v>
      </c>
      <c r="E7" s="30">
        <v>46190</v>
      </c>
      <c r="F7" s="14">
        <v>23</v>
      </c>
    </row>
    <row r="8" spans="1:6" x14ac:dyDescent="0.25">
      <c r="A8" s="14" t="s">
        <v>3435</v>
      </c>
      <c r="B8" s="14">
        <v>1006179</v>
      </c>
      <c r="C8" s="14" t="s">
        <v>106</v>
      </c>
      <c r="D8" s="14" t="s">
        <v>18</v>
      </c>
      <c r="E8" s="30">
        <v>46190</v>
      </c>
      <c r="F8" s="14">
        <v>21</v>
      </c>
    </row>
    <row r="9" spans="1:6" x14ac:dyDescent="0.25">
      <c r="A9" s="14" t="s">
        <v>3435</v>
      </c>
      <c r="B9" s="14">
        <v>1001999</v>
      </c>
      <c r="C9" s="14" t="s">
        <v>3440</v>
      </c>
      <c r="D9" s="14" t="s">
        <v>18</v>
      </c>
      <c r="E9" s="30">
        <v>46190</v>
      </c>
      <c r="F9" s="14">
        <v>75</v>
      </c>
    </row>
    <row r="10" spans="1:6" x14ac:dyDescent="0.25">
      <c r="A10" s="14" t="s">
        <v>3435</v>
      </c>
      <c r="B10" s="14">
        <v>1002153</v>
      </c>
      <c r="C10" s="14" t="s">
        <v>42</v>
      </c>
      <c r="D10" s="14" t="s">
        <v>18</v>
      </c>
      <c r="E10" s="30">
        <v>46190</v>
      </c>
      <c r="F10" s="14">
        <v>3</v>
      </c>
    </row>
    <row r="11" spans="1:6" x14ac:dyDescent="0.25">
      <c r="A11" s="14" t="s">
        <v>3435</v>
      </c>
      <c r="B11" s="14">
        <v>1000048</v>
      </c>
      <c r="C11" s="14" t="s">
        <v>19</v>
      </c>
      <c r="D11" s="14" t="s">
        <v>10</v>
      </c>
      <c r="E11" s="30">
        <v>46190</v>
      </c>
      <c r="F11" s="14">
        <v>198</v>
      </c>
    </row>
    <row r="12" spans="1:6" x14ac:dyDescent="0.25">
      <c r="A12" s="14" t="s">
        <v>3435</v>
      </c>
      <c r="B12" s="14">
        <v>1001707</v>
      </c>
      <c r="C12" s="14" t="s">
        <v>31</v>
      </c>
      <c r="D12" s="14" t="s">
        <v>18</v>
      </c>
      <c r="E12" s="30">
        <v>46190</v>
      </c>
      <c r="F12" s="14">
        <v>26</v>
      </c>
    </row>
    <row r="13" spans="1:6" x14ac:dyDescent="0.25">
      <c r="A13" s="14" t="s">
        <v>3435</v>
      </c>
      <c r="B13" s="14">
        <v>1001741</v>
      </c>
      <c r="C13" s="14" t="s">
        <v>33</v>
      </c>
      <c r="D13" s="14" t="s">
        <v>14</v>
      </c>
      <c r="E13" s="30">
        <v>46190</v>
      </c>
      <c r="F13" s="14">
        <v>47</v>
      </c>
    </row>
    <row r="14" spans="1:6" x14ac:dyDescent="0.25">
      <c r="A14" s="14" t="s">
        <v>3435</v>
      </c>
      <c r="B14" s="14">
        <v>1001562</v>
      </c>
      <c r="C14" s="14" t="s">
        <v>44</v>
      </c>
      <c r="D14" s="14" t="s">
        <v>18</v>
      </c>
      <c r="E14" s="30">
        <v>46190</v>
      </c>
      <c r="F14" s="14">
        <v>56</v>
      </c>
    </row>
    <row r="15" spans="1:6" x14ac:dyDescent="0.25">
      <c r="A15" s="14" t="s">
        <v>3435</v>
      </c>
      <c r="B15" s="14">
        <v>1000195</v>
      </c>
      <c r="C15" s="14" t="s">
        <v>32</v>
      </c>
      <c r="D15" s="14" t="s">
        <v>10</v>
      </c>
      <c r="E15" s="30">
        <v>46190</v>
      </c>
      <c r="F15" s="14">
        <v>101</v>
      </c>
    </row>
    <row r="16" spans="1:6" x14ac:dyDescent="0.25">
      <c r="A16" s="14" t="s">
        <v>3435</v>
      </c>
      <c r="B16" s="14">
        <v>1000209</v>
      </c>
      <c r="C16" s="14" t="s">
        <v>104</v>
      </c>
      <c r="D16" s="14" t="s">
        <v>14</v>
      </c>
      <c r="E16" s="30">
        <v>46190</v>
      </c>
      <c r="F16" s="14">
        <v>16</v>
      </c>
    </row>
    <row r="17" spans="1:6" x14ac:dyDescent="0.25">
      <c r="A17" s="14" t="s">
        <v>3435</v>
      </c>
      <c r="B17" s="14">
        <v>1000208</v>
      </c>
      <c r="C17" s="14" t="s">
        <v>103</v>
      </c>
      <c r="D17" s="14" t="s">
        <v>14</v>
      </c>
      <c r="E17" s="30">
        <v>46190</v>
      </c>
      <c r="F17" s="14">
        <v>393</v>
      </c>
    </row>
    <row r="18" spans="1:6" x14ac:dyDescent="0.25">
      <c r="A18" s="14" t="s">
        <v>3435</v>
      </c>
      <c r="B18" s="14">
        <v>1001696</v>
      </c>
      <c r="C18" s="14" t="s">
        <v>90</v>
      </c>
      <c r="D18" s="14" t="s">
        <v>14</v>
      </c>
      <c r="E18" s="30">
        <v>46190</v>
      </c>
      <c r="F18" s="14">
        <v>21</v>
      </c>
    </row>
    <row r="19" spans="1:6" x14ac:dyDescent="0.25">
      <c r="A19" s="14" t="s">
        <v>3435</v>
      </c>
      <c r="B19" s="14">
        <v>1006826</v>
      </c>
      <c r="C19" s="14" t="s">
        <v>3441</v>
      </c>
      <c r="D19" s="14" t="s">
        <v>18</v>
      </c>
      <c r="E19" s="30">
        <v>46190</v>
      </c>
      <c r="F19" s="14">
        <v>57</v>
      </c>
    </row>
    <row r="20" spans="1:6" x14ac:dyDescent="0.25">
      <c r="A20" s="14" t="s">
        <v>3435</v>
      </c>
      <c r="B20" s="14">
        <v>1001190</v>
      </c>
      <c r="C20" s="14" t="s">
        <v>97</v>
      </c>
      <c r="D20" s="14" t="s">
        <v>10</v>
      </c>
      <c r="E20" s="30">
        <v>46190</v>
      </c>
      <c r="F20" s="14">
        <v>108</v>
      </c>
    </row>
    <row r="21" spans="1:6" ht="15.75" customHeight="1" x14ac:dyDescent="0.25">
      <c r="A21" s="14" t="s">
        <v>3435</v>
      </c>
      <c r="B21" s="14">
        <v>1006116</v>
      </c>
      <c r="C21" s="14" t="s">
        <v>30</v>
      </c>
      <c r="D21" s="14" t="s">
        <v>10</v>
      </c>
      <c r="E21" s="30">
        <v>46190</v>
      </c>
      <c r="F21" s="14">
        <v>54</v>
      </c>
    </row>
    <row r="22" spans="1:6" ht="15.75" customHeight="1" x14ac:dyDescent="0.25">
      <c r="A22" s="14" t="s">
        <v>3435</v>
      </c>
      <c r="B22" s="14">
        <v>1000070</v>
      </c>
      <c r="C22" s="14" t="s">
        <v>75</v>
      </c>
      <c r="D22" s="14" t="s">
        <v>71</v>
      </c>
      <c r="E22" s="30">
        <v>46190</v>
      </c>
      <c r="F22" s="14">
        <v>15</v>
      </c>
    </row>
    <row r="23" spans="1:6" ht="15.75" customHeight="1" x14ac:dyDescent="0.25">
      <c r="A23" s="14" t="s">
        <v>3435</v>
      </c>
      <c r="B23" s="14">
        <v>1001987</v>
      </c>
      <c r="C23" s="14" t="s">
        <v>3441</v>
      </c>
      <c r="D23" s="14" t="s">
        <v>18</v>
      </c>
      <c r="E23" s="30">
        <v>46190</v>
      </c>
      <c r="F23" s="14">
        <v>39</v>
      </c>
    </row>
    <row r="24" spans="1:6" ht="15.75" customHeight="1" x14ac:dyDescent="0.25">
      <c r="A24" s="14" t="s">
        <v>3435</v>
      </c>
      <c r="B24" s="14">
        <v>1001264</v>
      </c>
      <c r="C24" s="14" t="s">
        <v>37</v>
      </c>
      <c r="D24" s="14" t="s">
        <v>14</v>
      </c>
      <c r="E24" s="30">
        <v>46190</v>
      </c>
      <c r="F24" s="14">
        <v>107</v>
      </c>
    </row>
    <row r="25" spans="1:6" ht="15.75" customHeight="1" x14ac:dyDescent="0.25">
      <c r="A25" s="14" t="s">
        <v>3435</v>
      </c>
      <c r="B25" s="14">
        <v>1008890</v>
      </c>
      <c r="C25" s="14" t="s">
        <v>23</v>
      </c>
      <c r="D25" s="14" t="s">
        <v>18</v>
      </c>
      <c r="E25" s="30">
        <v>46190</v>
      </c>
      <c r="F25" s="14">
        <v>6</v>
      </c>
    </row>
    <row r="26" spans="1:6" ht="15.75" customHeight="1" x14ac:dyDescent="0.25">
      <c r="A26" s="14" t="s">
        <v>3435</v>
      </c>
      <c r="B26" s="14">
        <v>1001667</v>
      </c>
      <c r="C26" s="14" t="s">
        <v>26</v>
      </c>
      <c r="D26" s="14" t="s">
        <v>18</v>
      </c>
      <c r="E26" s="30">
        <v>46190</v>
      </c>
      <c r="F26" s="14">
        <v>116</v>
      </c>
    </row>
    <row r="27" spans="1:6" ht="15.75" customHeight="1" x14ac:dyDescent="0.25">
      <c r="A27" s="14" t="s">
        <v>3435</v>
      </c>
      <c r="B27" s="14">
        <v>1001289</v>
      </c>
      <c r="C27" s="14" t="s">
        <v>24</v>
      </c>
      <c r="D27" s="14" t="s">
        <v>14</v>
      </c>
      <c r="E27" s="30">
        <v>46190</v>
      </c>
      <c r="F27" s="14">
        <v>125</v>
      </c>
    </row>
    <row r="28" spans="1:6" ht="15.75" customHeight="1" x14ac:dyDescent="0.25">
      <c r="A28" s="14" t="s">
        <v>3435</v>
      </c>
      <c r="B28" s="14">
        <v>1001306</v>
      </c>
      <c r="C28" s="14" t="s">
        <v>13</v>
      </c>
      <c r="D28" s="14" t="s">
        <v>14</v>
      </c>
      <c r="E28" s="30">
        <v>46190</v>
      </c>
      <c r="F28" s="14">
        <v>53</v>
      </c>
    </row>
    <row r="29" spans="1:6" ht="15.75" customHeight="1" x14ac:dyDescent="0.25">
      <c r="A29" s="14" t="s">
        <v>3435</v>
      </c>
      <c r="B29" s="14">
        <v>1000039</v>
      </c>
      <c r="C29" s="14" t="s">
        <v>16</v>
      </c>
      <c r="D29" s="14" t="s">
        <v>10</v>
      </c>
      <c r="E29" s="30">
        <v>46190</v>
      </c>
      <c r="F29" s="14">
        <v>75</v>
      </c>
    </row>
    <row r="30" spans="1:6" ht="15.75" customHeight="1" x14ac:dyDescent="0.25">
      <c r="A30" s="14" t="s">
        <v>3435</v>
      </c>
      <c r="B30" s="14">
        <v>1000071</v>
      </c>
      <c r="C30" s="14" t="s">
        <v>76</v>
      </c>
      <c r="D30" s="14" t="s">
        <v>71</v>
      </c>
      <c r="E30" s="30">
        <v>46190</v>
      </c>
      <c r="F30" s="14">
        <v>15</v>
      </c>
    </row>
    <row r="31" spans="1:6" ht="15.75" customHeight="1" x14ac:dyDescent="0.25">
      <c r="A31" s="14" t="s">
        <v>3435</v>
      </c>
      <c r="B31" s="14">
        <v>1000076</v>
      </c>
      <c r="C31" s="14" t="s">
        <v>77</v>
      </c>
      <c r="D31" s="14" t="s">
        <v>71</v>
      </c>
      <c r="E31" s="30">
        <v>46190</v>
      </c>
      <c r="F31" s="14">
        <v>30</v>
      </c>
    </row>
    <row r="32" spans="1:6" ht="15.75" customHeight="1" x14ac:dyDescent="0.25">
      <c r="A32" s="14" t="s">
        <v>3435</v>
      </c>
      <c r="B32" s="14">
        <v>1000256</v>
      </c>
      <c r="C32" s="14" t="s">
        <v>36</v>
      </c>
      <c r="D32" s="14" t="s">
        <v>14</v>
      </c>
      <c r="E32" s="30">
        <v>46190</v>
      </c>
      <c r="F32" s="14">
        <v>37</v>
      </c>
    </row>
    <row r="33" spans="1:6" ht="15.75" customHeight="1" x14ac:dyDescent="0.25">
      <c r="A33" s="14" t="s">
        <v>3435</v>
      </c>
      <c r="B33" s="14">
        <v>1001991</v>
      </c>
      <c r="C33" s="14" t="s">
        <v>3441</v>
      </c>
      <c r="D33" s="14" t="s">
        <v>18</v>
      </c>
      <c r="E33" s="30">
        <v>46190</v>
      </c>
      <c r="F33" s="14">
        <v>53</v>
      </c>
    </row>
    <row r="34" spans="1:6" ht="15.75" customHeight="1" x14ac:dyDescent="0.25">
      <c r="A34" s="14" t="s">
        <v>3435</v>
      </c>
      <c r="B34" s="14">
        <v>1001923</v>
      </c>
      <c r="C34" s="14" t="s">
        <v>107</v>
      </c>
      <c r="D34" s="14" t="s">
        <v>18</v>
      </c>
      <c r="E34" s="30">
        <v>46190</v>
      </c>
      <c r="F34" s="14">
        <v>2</v>
      </c>
    </row>
    <row r="35" spans="1:6" ht="15.75" customHeight="1" x14ac:dyDescent="0.25">
      <c r="A35" s="14" t="s">
        <v>3435</v>
      </c>
      <c r="B35" s="14">
        <v>1002097</v>
      </c>
      <c r="C35" s="14" t="s">
        <v>85</v>
      </c>
      <c r="D35" s="14" t="s">
        <v>18</v>
      </c>
      <c r="E35" s="30">
        <v>46190</v>
      </c>
      <c r="F35" s="14">
        <v>5</v>
      </c>
    </row>
    <row r="36" spans="1:6" ht="15.75" customHeight="1" x14ac:dyDescent="0.25">
      <c r="A36" s="14" t="s">
        <v>3435</v>
      </c>
      <c r="B36" s="14">
        <v>1001705</v>
      </c>
      <c r="C36" s="14" t="s">
        <v>40</v>
      </c>
      <c r="D36" s="14" t="s">
        <v>18</v>
      </c>
      <c r="E36" s="30">
        <v>46190</v>
      </c>
      <c r="F36" s="14">
        <v>3</v>
      </c>
    </row>
    <row r="37" spans="1:6" ht="15.75" customHeight="1" x14ac:dyDescent="0.25">
      <c r="A37" s="14" t="s">
        <v>3435</v>
      </c>
      <c r="B37" s="14">
        <v>1002169</v>
      </c>
      <c r="C37" s="14" t="s">
        <v>79</v>
      </c>
      <c r="D37" s="14" t="s">
        <v>10</v>
      </c>
      <c r="E37" s="30">
        <v>46190</v>
      </c>
      <c r="F37" s="14">
        <v>21</v>
      </c>
    </row>
    <row r="38" spans="1:6" ht="15.75" customHeight="1" x14ac:dyDescent="0.25">
      <c r="A38" s="14" t="s">
        <v>3435</v>
      </c>
      <c r="B38" s="14">
        <v>1002262</v>
      </c>
      <c r="C38" s="14" t="s">
        <v>178</v>
      </c>
      <c r="D38" s="14" t="s">
        <v>101</v>
      </c>
      <c r="E38" s="30">
        <v>46190</v>
      </c>
      <c r="F38" s="14">
        <v>24</v>
      </c>
    </row>
    <row r="39" spans="1:6" ht="15.75" customHeight="1" x14ac:dyDescent="0.25">
      <c r="A39" s="14" t="s">
        <v>3435</v>
      </c>
      <c r="B39" s="14">
        <v>1000348</v>
      </c>
      <c r="C39" s="14" t="s">
        <v>43</v>
      </c>
      <c r="D39" s="14" t="s">
        <v>10</v>
      </c>
      <c r="E39" s="30">
        <v>46190</v>
      </c>
      <c r="F39" s="14">
        <v>67</v>
      </c>
    </row>
    <row r="40" spans="1:6" ht="15.75" customHeight="1" x14ac:dyDescent="0.25">
      <c r="A40" s="14" t="s">
        <v>3435</v>
      </c>
      <c r="B40" s="14">
        <v>1001146</v>
      </c>
      <c r="C40" s="14" t="s">
        <v>27</v>
      </c>
      <c r="D40" s="14" t="s">
        <v>10</v>
      </c>
      <c r="E40" s="30">
        <v>46190</v>
      </c>
      <c r="F40" s="14">
        <v>59</v>
      </c>
    </row>
    <row r="41" spans="1:6" ht="15.75" customHeight="1" x14ac:dyDescent="0.25">
      <c r="A41" s="14" t="s">
        <v>3435</v>
      </c>
      <c r="B41" s="14">
        <v>1000032</v>
      </c>
      <c r="C41" s="14" t="s">
        <v>9</v>
      </c>
      <c r="D41" s="14" t="s">
        <v>10</v>
      </c>
      <c r="E41" s="30">
        <v>46190</v>
      </c>
      <c r="F41" s="14">
        <v>40</v>
      </c>
    </row>
    <row r="42" spans="1:6" ht="15.75" customHeight="1" x14ac:dyDescent="0.25">
      <c r="A42" s="14" t="s">
        <v>3435</v>
      </c>
      <c r="B42" s="14">
        <v>1006798</v>
      </c>
      <c r="C42" s="14" t="s">
        <v>3440</v>
      </c>
      <c r="D42" s="14" t="s">
        <v>10</v>
      </c>
      <c r="E42" s="30">
        <v>46190</v>
      </c>
      <c r="F42" s="14">
        <v>47</v>
      </c>
    </row>
    <row r="43" spans="1:6" ht="15.75" customHeight="1" x14ac:dyDescent="0.25">
      <c r="A43" s="14" t="s">
        <v>3435</v>
      </c>
      <c r="B43" s="14">
        <v>1000033</v>
      </c>
      <c r="C43" s="14" t="s">
        <v>12</v>
      </c>
      <c r="D43" s="14" t="s">
        <v>10</v>
      </c>
      <c r="E43" s="30">
        <v>46190</v>
      </c>
      <c r="F43" s="14">
        <v>11</v>
      </c>
    </row>
    <row r="44" spans="1:6" ht="15.75" customHeight="1" x14ac:dyDescent="0.25">
      <c r="A44" s="14" t="s">
        <v>3435</v>
      </c>
      <c r="B44" s="14">
        <v>1001476</v>
      </c>
      <c r="C44" s="14" t="s">
        <v>3436</v>
      </c>
      <c r="D44" s="14" t="s">
        <v>18</v>
      </c>
      <c r="E44" s="30">
        <v>46190</v>
      </c>
      <c r="F44" s="14">
        <v>164</v>
      </c>
    </row>
    <row r="45" spans="1:6" ht="15.75" customHeight="1" x14ac:dyDescent="0.25">
      <c r="A45" s="14" t="s">
        <v>3435</v>
      </c>
      <c r="B45" s="14">
        <v>1001122</v>
      </c>
      <c r="C45" s="14" t="s">
        <v>200</v>
      </c>
      <c r="D45" s="14" t="s">
        <v>10</v>
      </c>
      <c r="E45" s="30">
        <v>46190</v>
      </c>
      <c r="F45" s="14">
        <v>9</v>
      </c>
    </row>
    <row r="46" spans="1:6" ht="15.75" customHeight="1" x14ac:dyDescent="0.25">
      <c r="A46" s="14" t="s">
        <v>3435</v>
      </c>
      <c r="B46" s="14">
        <v>1001660</v>
      </c>
      <c r="C46" s="14" t="s">
        <v>41</v>
      </c>
      <c r="D46" s="14" t="s">
        <v>10</v>
      </c>
      <c r="E46" s="30">
        <v>46190</v>
      </c>
      <c r="F46" s="14">
        <v>19</v>
      </c>
    </row>
    <row r="47" spans="1:6" ht="15.75" customHeight="1" x14ac:dyDescent="0.25">
      <c r="A47" s="14" t="s">
        <v>3435</v>
      </c>
      <c r="B47" s="14">
        <v>1001996</v>
      </c>
      <c r="C47" s="14" t="s">
        <v>3440</v>
      </c>
      <c r="D47" s="14" t="s">
        <v>18</v>
      </c>
      <c r="E47" s="30">
        <v>46190</v>
      </c>
      <c r="F47" s="14">
        <v>2</v>
      </c>
    </row>
    <row r="48" spans="1:6" ht="15.75" customHeight="1" x14ac:dyDescent="0.25">
      <c r="A48" s="14" t="s">
        <v>3435</v>
      </c>
      <c r="B48" s="14">
        <v>1000258</v>
      </c>
      <c r="C48" s="14" t="s">
        <v>35</v>
      </c>
      <c r="D48" s="14" t="s">
        <v>10</v>
      </c>
      <c r="E48" s="30">
        <v>46190</v>
      </c>
      <c r="F48" s="14">
        <v>27</v>
      </c>
    </row>
    <row r="49" spans="1:6" ht="15.75" customHeight="1" x14ac:dyDescent="0.25">
      <c r="A49" s="14" t="s">
        <v>3435</v>
      </c>
      <c r="B49" s="14">
        <v>1001702</v>
      </c>
      <c r="C49" s="14" t="s">
        <v>20</v>
      </c>
      <c r="D49" s="14" t="s">
        <v>18</v>
      </c>
      <c r="E49" s="30">
        <v>46190</v>
      </c>
      <c r="F49" s="14">
        <v>5</v>
      </c>
    </row>
    <row r="50" spans="1:6" ht="15.75" customHeight="1" x14ac:dyDescent="0.25">
      <c r="A50" s="14" t="s">
        <v>3435</v>
      </c>
      <c r="B50" s="14">
        <v>1001680</v>
      </c>
      <c r="C50" s="14" t="s">
        <v>22</v>
      </c>
      <c r="D50" s="14" t="s">
        <v>10</v>
      </c>
      <c r="E50" s="30">
        <v>46190</v>
      </c>
      <c r="F50" s="14">
        <v>43</v>
      </c>
    </row>
    <row r="51" spans="1:6" ht="15.75" customHeight="1" x14ac:dyDescent="0.25">
      <c r="A51" s="14" t="s">
        <v>3435</v>
      </c>
      <c r="B51" s="14">
        <v>1002270</v>
      </c>
      <c r="C51" s="14" t="s">
        <v>39</v>
      </c>
      <c r="D51" s="14" t="s">
        <v>18</v>
      </c>
      <c r="E51" s="30">
        <v>46190</v>
      </c>
      <c r="F51" s="14">
        <v>20</v>
      </c>
    </row>
    <row r="52" spans="1:6" ht="15.75" customHeight="1" x14ac:dyDescent="0.25">
      <c r="A52" s="14" t="s">
        <v>3435</v>
      </c>
      <c r="B52" s="14">
        <v>1001909</v>
      </c>
      <c r="C52" s="14" t="s">
        <v>3442</v>
      </c>
      <c r="D52" s="14" t="s">
        <v>18</v>
      </c>
      <c r="E52" s="30">
        <v>46190</v>
      </c>
      <c r="F52" s="14">
        <v>9</v>
      </c>
    </row>
    <row r="53" spans="1:6" ht="15.75" customHeight="1" x14ac:dyDescent="0.25">
      <c r="A53" s="14" t="s">
        <v>3435</v>
      </c>
      <c r="B53" s="14">
        <v>1001906</v>
      </c>
      <c r="C53" s="14" t="s">
        <v>3442</v>
      </c>
      <c r="D53" s="14" t="s">
        <v>18</v>
      </c>
      <c r="E53" s="30">
        <v>46190</v>
      </c>
      <c r="F53" s="14">
        <v>11</v>
      </c>
    </row>
    <row r="54" spans="1:6" ht="15.75" customHeight="1" x14ac:dyDescent="0.25">
      <c r="A54" s="14" t="s">
        <v>3435</v>
      </c>
      <c r="B54" s="14">
        <v>1000184</v>
      </c>
      <c r="C54" s="14" t="s">
        <v>28</v>
      </c>
      <c r="D54" s="14" t="s">
        <v>14</v>
      </c>
      <c r="E54" s="30">
        <v>46190</v>
      </c>
      <c r="F54" s="14">
        <v>91</v>
      </c>
    </row>
    <row r="55" spans="1:6" ht="15.75" customHeight="1" x14ac:dyDescent="0.25">
      <c r="A55" s="14" t="s">
        <v>3435</v>
      </c>
      <c r="B55" s="14">
        <v>1000305</v>
      </c>
      <c r="C55" s="14" t="s">
        <v>111</v>
      </c>
      <c r="D55" s="14" t="s">
        <v>10</v>
      </c>
      <c r="E55" s="30">
        <v>46190</v>
      </c>
      <c r="F55" s="14">
        <v>240</v>
      </c>
    </row>
    <row r="56" spans="1:6" ht="15.75" customHeight="1" x14ac:dyDescent="0.25">
      <c r="A56" s="14" t="s">
        <v>3435</v>
      </c>
      <c r="B56" s="14">
        <v>1000036</v>
      </c>
      <c r="C56" s="14" t="s">
        <v>15</v>
      </c>
      <c r="D56" s="14" t="s">
        <v>10</v>
      </c>
      <c r="E56" s="30">
        <v>46190</v>
      </c>
      <c r="F56" s="14">
        <v>50</v>
      </c>
    </row>
    <row r="57" spans="1:6" ht="15.75" customHeight="1" x14ac:dyDescent="0.25">
      <c r="A57" s="14" t="s">
        <v>3435</v>
      </c>
      <c r="B57" s="14">
        <v>1001701</v>
      </c>
      <c r="C57" s="14" t="s">
        <v>21</v>
      </c>
      <c r="D57" s="14" t="s">
        <v>18</v>
      </c>
      <c r="E57" s="30">
        <v>46190</v>
      </c>
      <c r="F57" s="14">
        <v>5</v>
      </c>
    </row>
    <row r="58" spans="1:6" ht="15.75" customHeight="1" x14ac:dyDescent="0.25">
      <c r="A58" s="14" t="s">
        <v>3435</v>
      </c>
      <c r="B58" s="14">
        <v>1000206</v>
      </c>
      <c r="C58" s="14" t="s">
        <v>102</v>
      </c>
      <c r="D58" s="14" t="s">
        <v>10</v>
      </c>
      <c r="E58" s="30">
        <v>46190</v>
      </c>
      <c r="F58" s="14">
        <v>186</v>
      </c>
    </row>
    <row r="59" spans="1:6" ht="15.75" customHeight="1" x14ac:dyDescent="0.25">
      <c r="A59" s="14" t="s">
        <v>3435</v>
      </c>
      <c r="B59" s="14">
        <v>1001455</v>
      </c>
      <c r="C59" s="14" t="s">
        <v>17</v>
      </c>
      <c r="D59" s="14" t="s">
        <v>18</v>
      </c>
      <c r="E59" s="30">
        <v>46190</v>
      </c>
      <c r="F59" s="14">
        <v>103</v>
      </c>
    </row>
    <row r="60" spans="1:6" ht="15.75" customHeight="1" x14ac:dyDescent="0.25">
      <c r="A60" s="14" t="s">
        <v>3435</v>
      </c>
      <c r="B60" s="14">
        <v>1002158</v>
      </c>
      <c r="C60" s="14" t="s">
        <v>91</v>
      </c>
      <c r="D60" s="14" t="s">
        <v>18</v>
      </c>
      <c r="E60" s="30">
        <v>46190</v>
      </c>
      <c r="F60" s="14">
        <v>5</v>
      </c>
    </row>
    <row r="61" spans="1:6" ht="15.75" customHeight="1" x14ac:dyDescent="0.25">
      <c r="A61" s="14" t="s">
        <v>3435</v>
      </c>
      <c r="B61" s="14">
        <v>1000146</v>
      </c>
      <c r="C61" s="14" t="s">
        <v>99</v>
      </c>
      <c r="D61" s="14" t="s">
        <v>10</v>
      </c>
      <c r="E61" s="30">
        <v>46190</v>
      </c>
      <c r="F61" s="14">
        <v>252</v>
      </c>
    </row>
    <row r="62" spans="1:6" ht="15.75" customHeight="1" x14ac:dyDescent="0.25">
      <c r="A62" s="14" t="s">
        <v>3435</v>
      </c>
      <c r="B62" s="14">
        <v>1001478</v>
      </c>
      <c r="C62" s="14" t="s">
        <v>29</v>
      </c>
    </row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902744-2B94-40F5-96B8-9BBC03D0F2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RIO DE JANEIRO</vt:lpstr>
      <vt:lpstr>VITORIA</vt:lpstr>
      <vt:lpstr>CONTAGEM</vt:lpstr>
      <vt:lpstr>LAGOS</vt:lpstr>
      <vt:lpstr>TERESOPOLIS</vt:lpstr>
      <vt:lpstr>PETROPOLIS</vt:lpstr>
      <vt:lpstr>CAMPOS DOS GOYTACAZES</vt:lpstr>
      <vt:lpstr>SAO PAULO</vt:lpstr>
      <vt:lpstr>NOVA FRIBURGO</vt:lpstr>
      <vt:lpstr>CAMPO GRANDE</vt:lpstr>
      <vt:lpstr>NITEROI</vt:lpstr>
      <vt:lpstr>BELO HORIZONTE</vt:lpstr>
      <vt:lpstr>JUIZ DE FORA</vt:lpstr>
      <vt:lpstr>UBERLANDIA</vt:lpstr>
      <vt:lpstr>VARGINIA</vt:lpstr>
      <vt:lpstr>VALADARES</vt:lpstr>
      <vt:lpstr>de para codigo</vt:lpstr>
      <vt:lpstr>de para abc</vt:lpstr>
      <vt:lpstr>c</vt:lpstr>
      <vt:lpstr>b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USER-0064</dc:creator>
  <cp:lastModifiedBy>Armando Rocha</cp:lastModifiedBy>
  <dcterms:created xsi:type="dcterms:W3CDTF">2026-06-19T18:24:24Z</dcterms:created>
  <dcterms:modified xsi:type="dcterms:W3CDTF">2026-06-27T04:30:55Z</dcterms:modified>
</cp:coreProperties>
</file>